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L Platform\"/>
    </mc:Choice>
  </mc:AlternateContent>
  <xr:revisionPtr revIDLastSave="0" documentId="8_{72DF220B-4D00-4999-BCCF-D56341A0BCD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mmary" sheetId="1" r:id="rId1"/>
    <sheet name="Sheet1" sheetId="7" r:id="rId2"/>
    <sheet name="All Members Allocation" sheetId="2" r:id="rId3"/>
    <sheet name="3 to 5 Need" sheetId="3" r:id="rId4"/>
    <sheet name="54 Seat Allocation" sheetId="4" r:id="rId5"/>
    <sheet name="Final 54 List" sheetId="5" r:id="rId6"/>
    <sheet name="Excluded" sheetId="6" r:id="rId7"/>
  </sheets>
  <definedNames>
    <definedName name="_xlnm._FilterDatabase" localSheetId="2" hidden="1">'All Members Allocation'!$A$1:$Q$86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7" l="1"/>
  <c r="D12" i="4"/>
  <c r="C12" i="4"/>
  <c r="B12" i="4"/>
</calcChain>
</file>

<file path=xl/sharedStrings.xml><?xml version="1.0" encoding="utf-8"?>
<sst xmlns="http://schemas.openxmlformats.org/spreadsheetml/2006/main" count="1445" uniqueCount="296">
  <si>
    <t>GL / Team</t>
  </si>
  <si>
    <t>Member # In Team</t>
  </si>
  <si>
    <t>All Team Count</t>
  </si>
  <si>
    <t>Eligible Count Used For Ratio</t>
  </si>
  <si>
    <t>3:5 Team Need</t>
  </si>
  <si>
    <t>54 Seat Team Allocation</t>
  </si>
  <si>
    <t>Name</t>
  </si>
  <si>
    <t>Email</t>
  </si>
  <si>
    <t>Group</t>
  </si>
  <si>
    <t>Org Level</t>
  </si>
  <si>
    <t>Job Title</t>
  </si>
  <si>
    <t>Eligibility For 3:5 Ratio</t>
  </si>
  <si>
    <t>Eligibility Reason</t>
  </si>
  <si>
    <t>Recommended For 3:5 Allocation</t>
  </si>
  <si>
    <t>Included In 54 Seat Allocation</t>
  </si>
  <si>
    <t>Current SketchUp Assigned</t>
  </si>
  <si>
    <t>Note</t>
  </si>
  <si>
    <t>Amita Goel</t>
  </si>
  <si>
    <t>Bharati Asmita</t>
  </si>
  <si>
    <t>asmita.bharati@studiolotus.in</t>
  </si>
  <si>
    <t>BD &amp; Comms</t>
  </si>
  <si>
    <t>Member</t>
  </si>
  <si>
    <t>Communications Manager</t>
  </si>
  <si>
    <t>Yes</t>
  </si>
  <si>
    <t>Eligible</t>
  </si>
  <si>
    <t>Mandatory Asmita seat</t>
  </si>
  <si>
    <t>Atharv Subharwal</t>
  </si>
  <si>
    <t>atharv@studiolotus.in</t>
  </si>
  <si>
    <t>Sr. 3D Artist</t>
  </si>
  <si>
    <t>No</t>
  </si>
  <si>
    <t>Garima Sharma</t>
  </si>
  <si>
    <t>garima.sharma@studiolotus.in</t>
  </si>
  <si>
    <t>Manager Business Development</t>
  </si>
  <si>
    <t>Karishma Patidar</t>
  </si>
  <si>
    <t>karishma.patidar@studiolotus.in</t>
  </si>
  <si>
    <t>Architect</t>
  </si>
  <si>
    <t>amita@studiolotus.in</t>
  </si>
  <si>
    <t>Team Lead</t>
  </si>
  <si>
    <t>Associate Principal</t>
  </si>
  <si>
    <t>Named GL excluded from direct license assignment</t>
  </si>
  <si>
    <t>Kruthika DVS</t>
  </si>
  <si>
    <t>kruthika.dvs@studiolotus.in</t>
  </si>
  <si>
    <t>Intern</t>
  </si>
  <si>
    <t>Nikita Dhyani</t>
  </si>
  <si>
    <t>nikita.dhyani@studiolotus.in</t>
  </si>
  <si>
    <t>Rohan Kodag</t>
  </si>
  <si>
    <t>rohan.kodag@studiolotus.in</t>
  </si>
  <si>
    <t>Harsh (Homes)</t>
  </si>
  <si>
    <t>Anandita Kaur Narula</t>
  </si>
  <si>
    <t>anandita.narula@studiolotus.in</t>
  </si>
  <si>
    <t>Homes</t>
  </si>
  <si>
    <t>Sr. Architect</t>
  </si>
  <si>
    <t>Anshika Maheshwari</t>
  </si>
  <si>
    <t>anshika@studiolotus.in</t>
  </si>
  <si>
    <t>Maitrayee Takale</t>
  </si>
  <si>
    <t>maitrayee@studiolotus.in</t>
  </si>
  <si>
    <t>Sarthak Sharma</t>
  </si>
  <si>
    <t>sarthak.sharma@studiolotus.in</t>
  </si>
  <si>
    <t>Aditi Agashe</t>
  </si>
  <si>
    <t>aditi.agashe@studiolotus.in</t>
  </si>
  <si>
    <t>Project Architect</t>
  </si>
  <si>
    <t>Ambar Agarwal</t>
  </si>
  <si>
    <t>ambaragarwal7459@gmail.com</t>
  </si>
  <si>
    <t>Harsh Vardhan</t>
  </si>
  <si>
    <t>harsh@studiolotus.in</t>
  </si>
  <si>
    <t>Principal</t>
  </si>
  <si>
    <t>Insiya Pithawala</t>
  </si>
  <si>
    <t>Anishaa Kashyap</t>
  </si>
  <si>
    <t>anishaa.kashyap@studiolotus.in</t>
  </si>
  <si>
    <t>Insiya Pithawala Team</t>
  </si>
  <si>
    <t>Copywriter</t>
  </si>
  <si>
    <t>Isha Agrawal</t>
  </si>
  <si>
    <t>isha.agrawal@studiolotus.in</t>
  </si>
  <si>
    <t>Sr. Designer</t>
  </si>
  <si>
    <t>Rashika Lungani</t>
  </si>
  <si>
    <t>rashika.lungani@studiolotus.in</t>
  </si>
  <si>
    <t>Designer</t>
  </si>
  <si>
    <t>Reetika Singh</t>
  </si>
  <si>
    <t>reetika.singh@studiolotus.in</t>
  </si>
  <si>
    <t>Rudvi Senthil Kumar</t>
  </si>
  <si>
    <t>rudvi@studiolotus.in</t>
  </si>
  <si>
    <t>Vartika Sood</t>
  </si>
  <si>
    <t>vartika.sood@studiolotus.in</t>
  </si>
  <si>
    <t>Sanya Mathur</t>
  </si>
  <si>
    <t>sanya.mathur@studiolotus.in</t>
  </si>
  <si>
    <t>insiya@studiolotus.in</t>
  </si>
  <si>
    <t>Group Leader</t>
  </si>
  <si>
    <t>Upangna Singh</t>
  </si>
  <si>
    <t>singhupangna@gmail.com</t>
  </si>
  <si>
    <t>Neelam Das</t>
  </si>
  <si>
    <t>Abdul Kalam</t>
  </si>
  <si>
    <t>abdul@studiolotus.in</t>
  </si>
  <si>
    <t>Neelam Das Team</t>
  </si>
  <si>
    <t>Project Designer</t>
  </si>
  <si>
    <t>Abhijeet Roy</t>
  </si>
  <si>
    <t>abhijeet.roy@studiolotus.in</t>
  </si>
  <si>
    <t>Aditya Pandoh</t>
  </si>
  <si>
    <t>aditya.pandoh@studiolotus.in</t>
  </si>
  <si>
    <t>Aditya manually mapped to Neelam team</t>
  </si>
  <si>
    <t>Amrapali Patra</t>
  </si>
  <si>
    <t>amrapali@studiolotus.in</t>
  </si>
  <si>
    <t>Kadambari Kumar</t>
  </si>
  <si>
    <t>kadambari@studiolotus.in</t>
  </si>
  <si>
    <t>Krishna Mandviwala</t>
  </si>
  <si>
    <t>krishna.mandviwala@studiolotus.in</t>
  </si>
  <si>
    <t>Neha Keshri</t>
  </si>
  <si>
    <t>neha.keshri@studiolotus.in</t>
  </si>
  <si>
    <t>Shailen Sharma</t>
  </si>
  <si>
    <t>shailen.sharma@studiolotus.in</t>
  </si>
  <si>
    <t>Siya Suri</t>
  </si>
  <si>
    <t>siya.suri@studiolotus.in</t>
  </si>
  <si>
    <t>Sujata Kumari</t>
  </si>
  <si>
    <t>sujata.kumari@studiolotus.in</t>
  </si>
  <si>
    <t>Akshita Kalia</t>
  </si>
  <si>
    <t>akshita.kalia@studiolotus.in</t>
  </si>
  <si>
    <t>Ananya Bhardwaj</t>
  </si>
  <si>
    <t>ananya.bhardwaj@studiolotus.in</t>
  </si>
  <si>
    <t>Anushka Jindal</t>
  </si>
  <si>
    <t>anushkajindal2004@gmail.com</t>
  </si>
  <si>
    <t>neelam@studiolotus.in</t>
  </si>
  <si>
    <t>Sukhmani Kaur</t>
  </si>
  <si>
    <t>sukhmani.kaur@studiolotus.in</t>
  </si>
  <si>
    <t>Prajwal Yashwant Amin</t>
  </si>
  <si>
    <t>Aditi Panwar</t>
  </si>
  <si>
    <t>aditi.panwar@studiolotus.in</t>
  </si>
  <si>
    <t>Prajwal Yashwant Amin Team</t>
  </si>
  <si>
    <t>prajwal@studiolotus.in</t>
  </si>
  <si>
    <t>Puru Bhatia</t>
  </si>
  <si>
    <t>puru.bhatia@studiolotus.in</t>
  </si>
  <si>
    <t>Suhani Khandelwal</t>
  </si>
  <si>
    <t>suhani.khandelwal@studiolotus.in</t>
  </si>
  <si>
    <t>Ayushi Patwari</t>
  </si>
  <si>
    <t>ayushi.patwari@studiolotus.in</t>
  </si>
  <si>
    <t>Prashant Bharadwaj</t>
  </si>
  <si>
    <t>Anisha Khandelwal</t>
  </si>
  <si>
    <t>anisha.khandelwal@studiolotus.in</t>
  </si>
  <si>
    <t>Prashant Bharadwaj Team</t>
  </si>
  <si>
    <t>Ankeeta Champatiray</t>
  </si>
  <si>
    <t>ankeeta@studiolotus.in</t>
  </si>
  <si>
    <t>Raunak Bhagat</t>
  </si>
  <si>
    <t>raunak.bhagat@studiolotus.in</t>
  </si>
  <si>
    <t>Sanya Jain</t>
  </si>
  <si>
    <t>sanya.jain@studiolotus.in</t>
  </si>
  <si>
    <t>Vishal Kumar</t>
  </si>
  <si>
    <t>vishal.kumar@studiolotus.in</t>
  </si>
  <si>
    <t>Deeptha Madan Gopal</t>
  </si>
  <si>
    <t>deeptha.mg@studiolotus.in</t>
  </si>
  <si>
    <t>Aditi Sudheer Kari</t>
  </si>
  <si>
    <t>aditi3641arch22@spa.ac.in</t>
  </si>
  <si>
    <t>prashant.bharadwaj@studiolotus.in</t>
  </si>
  <si>
    <t>Randhir Kumar</t>
  </si>
  <si>
    <t>Sheetal Vishwakarma</t>
  </si>
  <si>
    <t>sheetal@studiolotus.in</t>
  </si>
  <si>
    <t>Randhir Kumar Team</t>
  </si>
  <si>
    <t>Himanshi Wadhwa</t>
  </si>
  <si>
    <t>himanshi.wadhwa@studiolotus.in</t>
  </si>
  <si>
    <t>randhir.kumar@studiolotus.in</t>
  </si>
  <si>
    <t>Swati Seshadri</t>
  </si>
  <si>
    <t>Arham Jain</t>
  </si>
  <si>
    <t>arham.jain@studiolotus.in</t>
  </si>
  <si>
    <t>Swati Seshadri Team</t>
  </si>
  <si>
    <t>Devenpreet Singh Wahi</t>
  </si>
  <si>
    <t>devenpreet@studiolotus.in</t>
  </si>
  <si>
    <t>Kunal Sagar</t>
  </si>
  <si>
    <t>kunal.sagar@studiolotus.in</t>
  </si>
  <si>
    <t>Nabajyoti Dutta Choudhury</t>
  </si>
  <si>
    <t>nabajyoti.dutta@studiolotus.in</t>
  </si>
  <si>
    <t>Sharan S</t>
  </si>
  <si>
    <t>sharan.s@studiolotus.in</t>
  </si>
  <si>
    <t>Siddharth Ramkumar</t>
  </si>
  <si>
    <t>siddharth.ramkumar@studiolotus.in</t>
  </si>
  <si>
    <t>Tanmay Vaid</t>
  </si>
  <si>
    <t>tanmay.vaid@studiolotus.in</t>
  </si>
  <si>
    <t>Vijeet Shah</t>
  </si>
  <si>
    <t>vijeet.shah@studiolotus.in</t>
  </si>
  <si>
    <t>Alpika Pandey</t>
  </si>
  <si>
    <t>alpika.pandey@studiolotus.in</t>
  </si>
  <si>
    <t>swati.seshadri@studiolotus.in</t>
  </si>
  <si>
    <t>Varun Srivastava</t>
  </si>
  <si>
    <t>Adhiraj Sirkeck</t>
  </si>
  <si>
    <t>adhiraj.sirkeck@studiolotus.in</t>
  </si>
  <si>
    <t>Varun Srivastava Team</t>
  </si>
  <si>
    <t>Khushboo Pandey</t>
  </si>
  <si>
    <t>khushboo.pandey@studiolotus.in</t>
  </si>
  <si>
    <t>Nikita Bhatia</t>
  </si>
  <si>
    <t>nikita.bhatia@studiolotus.in</t>
  </si>
  <si>
    <t>Rida Drabu</t>
  </si>
  <si>
    <t>rida@studiolotus.in</t>
  </si>
  <si>
    <t>Rushil Jain</t>
  </si>
  <si>
    <t>rushil.jain@studiolotus.in</t>
  </si>
  <si>
    <t>Satwik Singh Rathour</t>
  </si>
  <si>
    <t>satwik@studiolotus.in</t>
  </si>
  <si>
    <t>varun.srivastava@studiolotus.in</t>
  </si>
  <si>
    <t>Vivin Neelankavil</t>
  </si>
  <si>
    <t>vivin@studiolotus.in</t>
  </si>
  <si>
    <t>Harsha Singh</t>
  </si>
  <si>
    <t>harsha.singh@studiolotus.in</t>
  </si>
  <si>
    <t>Manan Jain</t>
  </si>
  <si>
    <t>manan.jain@studiolotus.in</t>
  </si>
  <si>
    <t>Yatin Tokas</t>
  </si>
  <si>
    <t>Deepak Chakicherla</t>
  </si>
  <si>
    <t>deepak.chakicherla@studiolotus.in</t>
  </si>
  <si>
    <t>Yatin Tokas Team</t>
  </si>
  <si>
    <t>Karthick R</t>
  </si>
  <si>
    <t>karthick.r@studiolotus.in</t>
  </si>
  <si>
    <t>Kashish Singh</t>
  </si>
  <si>
    <t>kashish.singh@studiolotus.in</t>
  </si>
  <si>
    <t>Mihir Jagdishbhai Ramani</t>
  </si>
  <si>
    <t>mihir.ramani@studiolotus.in</t>
  </si>
  <si>
    <t>Priyanka Jawa</t>
  </si>
  <si>
    <t>priyanka.jawa@studiolotus.in</t>
  </si>
  <si>
    <t>Vishal Dubey</t>
  </si>
  <si>
    <t>vishal.dubey@studiolotus.in</t>
  </si>
  <si>
    <t>yatin.tokas@studiolotus.in</t>
  </si>
  <si>
    <t>Project Lead</t>
  </si>
  <si>
    <t>Abiyah Grace Ebby</t>
  </si>
  <si>
    <t>abiyah.grace@studiolotus.in</t>
  </si>
  <si>
    <t>Jagdish Samal</t>
  </si>
  <si>
    <t>jagdish.samal@studiolotus.in</t>
  </si>
  <si>
    <t>Abdu Sameeh</t>
  </si>
  <si>
    <t>abdu.sameeh@studiolotus.in</t>
  </si>
  <si>
    <t>Item</t>
  </si>
  <si>
    <t>Value</t>
  </si>
  <si>
    <t>Generated</t>
  </si>
  <si>
    <t>2026-07-03 10:18 IST</t>
  </si>
  <si>
    <t>Manual correction</t>
  </si>
  <si>
    <t>Aditya Pandoh mapped to Neelam Das team</t>
  </si>
  <si>
    <t>Fixed teams</t>
  </si>
  <si>
    <t>Amita Goel = 1 license for Asmita; Randhir Kumar = 1 license</t>
  </si>
  <si>
    <t>Teams included</t>
  </si>
  <si>
    <t>Amita Goel, Harsh (Homes), Insiya Pithawala, Neelam Das, Prajwal Yashwant Amin, Prashant Bharadwaj, Randhir Kumar, Swati Seshadri, Varun Srivastava, Yatin Tokas</t>
  </si>
  <si>
    <t>Direct assignment exclusions</t>
  </si>
  <si>
    <t>Amita Goel, Harsh Vardhan, Insiya Pithawala, Neelam Das, Prashant Bharadwaj, Randhir Kumar, Swati Seshadri</t>
  </si>
  <si>
    <t>Other exclusions</t>
  </si>
  <si>
    <t>Interns and principals</t>
  </si>
  <si>
    <t>3:5 calculation method</t>
  </si>
  <si>
    <t>Amita and Randhir fixed to 1; all other teams use ceil(eligible users * 3 / 5)</t>
  </si>
  <si>
    <t>Total eligible users</t>
  </si>
  <si>
    <t>Total licenses needed for adjusted 3:5</t>
  </si>
  <si>
    <t>Current available seats used for distribution</t>
  </si>
  <si>
    <t>54-seat distribution method</t>
  </si>
  <si>
    <t>Amita and Randhir fixed at 1 each; remaining 52 seats proportional by eligible users across other teams</t>
  </si>
  <si>
    <t>Added tab</t>
  </si>
  <si>
    <t>All Members Allocation includes every listed team member, eligibility, and 54-seat inclusion.</t>
  </si>
  <si>
    <t>Eligible Users</t>
  </si>
  <si>
    <t>3:5 License Need</t>
  </si>
  <si>
    <t>Ratio Used</t>
  </si>
  <si>
    <t>Amita Goel fixed to 1</t>
  </si>
  <si>
    <t>3 licenses per 5 eligible users</t>
  </si>
  <si>
    <t>Randhir Kumar fixed to 1</t>
  </si>
  <si>
    <t>54-Seat Allocation</t>
  </si>
  <si>
    <t>Team Allocation Ratio</t>
  </si>
  <si>
    <t>Coverage %</t>
  </si>
  <si>
    <t>Currently Assigned Among Final List</t>
  </si>
  <si>
    <t>New/Reassign Needed</t>
  </si>
  <si>
    <t>1:4</t>
  </si>
  <si>
    <t>25.0%</t>
  </si>
  <si>
    <t>4:5</t>
  </si>
  <si>
    <t>80.0%</t>
  </si>
  <si>
    <t>6:8</t>
  </si>
  <si>
    <t>75.0%</t>
  </si>
  <si>
    <t>11:13</t>
  </si>
  <si>
    <t>84.6%</t>
  </si>
  <si>
    <t>5:6</t>
  </si>
  <si>
    <t>83.3%</t>
  </si>
  <si>
    <t>1:2</t>
  </si>
  <si>
    <t>50.0%</t>
  </si>
  <si>
    <t>7:9</t>
  </si>
  <si>
    <t>77.8%</t>
  </si>
  <si>
    <t>8:10</t>
  </si>
  <si>
    <t>Total</t>
  </si>
  <si>
    <t>Status</t>
  </si>
  <si>
    <t>Already assigned</t>
  </si>
  <si>
    <t>Mandatory only license for Amita team / Asmita</t>
  </si>
  <si>
    <t>Suryansh Agarwal</t>
  </si>
  <si>
    <t>suryansh@studiolotus.in</t>
  </si>
  <si>
    <t>Huda Ateeque</t>
  </si>
  <si>
    <t>huda@studiolotus.in</t>
  </si>
  <si>
    <t>New / reassign needed</t>
  </si>
  <si>
    <t>Team</t>
  </si>
  <si>
    <t>Reason</t>
  </si>
  <si>
    <t>Saurabh Jangid</t>
  </si>
  <si>
    <t>saurabh.jangid@krvia.ac.in</t>
  </si>
  <si>
    <t>Kimaya Shashank Kamat</t>
  </si>
  <si>
    <t>kimaya.kamat@studiolotus.in</t>
  </si>
  <si>
    <t>Vipul Sharma</t>
  </si>
  <si>
    <t>vipulsh1402@gmail.com</t>
  </si>
  <si>
    <t>Awani Devgan</t>
  </si>
  <si>
    <t>awanidevgan1921@gmail.com</t>
  </si>
  <si>
    <t>Grand Total</t>
  </si>
  <si>
    <t>Total Members</t>
  </si>
  <si>
    <t>Current Sketchup Count</t>
  </si>
  <si>
    <t>Intern Count</t>
  </si>
  <si>
    <t>3:5 license</t>
  </si>
  <si>
    <t>54 Seats</t>
  </si>
  <si>
    <t>Interns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</si>
</sst>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" refreshedDate="46206.577509027775" createdVersion="8" refreshedVersion="8" minRefreshableVersion="3" recordCount="85" xr:uid="{A00588E1-9A42-4488-8F68-963E527F0372}">
  <cacheSource type="worksheet">
    <worksheetSource ref="A1:Q86" sheet="All Members Allocation"/>
  </cacheSource>
  <cacheFields count="17">
    <cacheField name="GL / Team" numFmtId="0">
      <sharedItems count="10">
        <s v="Amita Goel"/>
        <s v="Harsh (Homes)"/>
        <s v="Insiya Pithawala"/>
        <s v="Neelam Das"/>
        <s v="Prajwal Yashwant Amin"/>
        <s v="Prashant Bharadwaj"/>
        <s v="Randhir Kumar"/>
        <s v="Swati Seshadri"/>
        <s v="Varun Srivastava"/>
        <s v="Yatin Tokas"/>
      </sharedItems>
    </cacheField>
    <cacheField name="Member # In Team" numFmtId="0">
      <sharedItems containsSemiMixedTypes="0" containsString="0" containsNumber="1" containsInteger="1" minValue="1" maxValue="15"/>
    </cacheField>
    <cacheField name="All Team Count" numFmtId="0">
      <sharedItems containsSemiMixedTypes="0" containsString="0" containsNumber="1" containsInteger="1" minValue="3" maxValue="15"/>
    </cacheField>
    <cacheField name="Eligible Count Used For Ratio" numFmtId="0">
      <sharedItems containsSemiMixedTypes="0" containsString="0" containsNumber="1" containsInteger="1" minValue="2" maxValue="12"/>
    </cacheField>
    <cacheField name="3:5 Team Need" numFmtId="0">
      <sharedItems containsString="0" containsBlank="1" containsNumber="1" containsInteger="1" minValue="1" maxValue="8"/>
    </cacheField>
    <cacheField name="54 Seat Team Allocation" numFmtId="0">
      <sharedItems containsString="0" containsBlank="1" containsNumber="1" containsInteger="1" minValue="1" maxValue="10"/>
    </cacheField>
    <cacheField name="Name" numFmtId="0">
      <sharedItems/>
    </cacheField>
    <cacheField name="Email" numFmtId="0">
      <sharedItems/>
    </cacheField>
    <cacheField name="Group" numFmtId="0">
      <sharedItems/>
    </cacheField>
    <cacheField name="Org Level" numFmtId="0">
      <sharedItems/>
    </cacheField>
    <cacheField name="Job Title" numFmtId="0">
      <sharedItems count="15">
        <s v="Communications Manager"/>
        <s v="Sr. 3D Artist"/>
        <s v="Manager Business Development"/>
        <s v="Architect"/>
        <s v="Associate Principal"/>
        <s v="Intern"/>
        <s v="Sr. Architect"/>
        <s v="Project Architect"/>
        <s v="Principal"/>
        <s v="Copywriter"/>
        <s v="Sr. Designer"/>
        <s v="Designer"/>
        <s v="Group Leader"/>
        <s v="Project Designer"/>
        <s v="Project Lead"/>
      </sharedItems>
    </cacheField>
    <cacheField name="Eligibility For 3:5 Ratio" numFmtId="0">
      <sharedItems/>
    </cacheField>
    <cacheField name="Eligibility Reason" numFmtId="0">
      <sharedItems/>
    </cacheField>
    <cacheField name="Recommended For 3:5 Allocation" numFmtId="0">
      <sharedItems/>
    </cacheField>
    <cacheField name="Included In 54 Seat Allocation" numFmtId="0">
      <sharedItems/>
    </cacheField>
    <cacheField name="Current SketchUp Assigned" numFmtId="0">
      <sharedItems containsSemiMixedTypes="0" containsString="0" containsNumber="1" containsInteger="1" minValue="0" maxValue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n v="1"/>
    <n v="8"/>
    <n v="4"/>
    <n v="1"/>
    <n v="1"/>
    <s v="Bharati Asmita"/>
    <s v="asmita.bharati@studiolotus.in"/>
    <s v="BD &amp; Comms"/>
    <s v="Member"/>
    <x v="0"/>
    <s v="Yes"/>
    <s v="Eligible"/>
    <s v="Yes"/>
    <s v="Yes"/>
    <n v="1"/>
    <s v="Mandatory Asmita seat"/>
  </r>
  <r>
    <x v="0"/>
    <n v="2"/>
    <n v="8"/>
    <n v="4"/>
    <m/>
    <m/>
    <s v="Atharv Subharwal"/>
    <s v="atharv@studiolotus.in"/>
    <s v="BD &amp; Comms"/>
    <s v="Member"/>
    <x v="1"/>
    <s v="Yes"/>
    <s v="Eligible"/>
    <s v="No"/>
    <s v="No"/>
    <n v="1"/>
    <m/>
  </r>
  <r>
    <x v="0"/>
    <n v="3"/>
    <n v="8"/>
    <n v="4"/>
    <m/>
    <m/>
    <s v="Garima Sharma"/>
    <s v="garima.sharma@studiolotus.in"/>
    <s v="BD &amp; Comms"/>
    <s v="Member"/>
    <x v="2"/>
    <s v="Yes"/>
    <s v="Eligible"/>
    <s v="No"/>
    <s v="No"/>
    <n v="0"/>
    <m/>
  </r>
  <r>
    <x v="0"/>
    <n v="4"/>
    <n v="8"/>
    <n v="4"/>
    <m/>
    <m/>
    <s v="Karishma Patidar"/>
    <s v="karishma.patidar@studiolotus.in"/>
    <s v="BD &amp; Comms"/>
    <s v="Member"/>
    <x v="3"/>
    <s v="Yes"/>
    <s v="Eligible"/>
    <s v="No"/>
    <s v="No"/>
    <n v="0"/>
    <m/>
  </r>
  <r>
    <x v="0"/>
    <n v="5"/>
    <n v="8"/>
    <n v="4"/>
    <m/>
    <m/>
    <s v="Amita Goel"/>
    <s v="amita@studiolotus.in"/>
    <s v="BD &amp; Comms"/>
    <s v="Team Lead"/>
    <x v="4"/>
    <s v="No"/>
    <s v="Named GL excluded from direct license assignment"/>
    <s v="No"/>
    <s v="No"/>
    <n v="0"/>
    <m/>
  </r>
  <r>
    <x v="0"/>
    <n v="6"/>
    <n v="8"/>
    <n v="4"/>
    <m/>
    <m/>
    <s v="Kruthika DVS"/>
    <s v="kruthika.dvs@studiolotus.in"/>
    <s v="BD &amp; Comms"/>
    <s v="Member"/>
    <x v="5"/>
    <s v="No"/>
    <s v="Intern"/>
    <s v="No"/>
    <s v="No"/>
    <n v="0"/>
    <m/>
  </r>
  <r>
    <x v="0"/>
    <n v="7"/>
    <n v="8"/>
    <n v="4"/>
    <m/>
    <m/>
    <s v="Nikita Dhyani"/>
    <s v="nikita.dhyani@studiolotus.in"/>
    <s v="BD &amp; Comms"/>
    <s v="Member"/>
    <x v="5"/>
    <s v="No"/>
    <s v="Intern"/>
    <s v="No"/>
    <s v="No"/>
    <n v="0"/>
    <m/>
  </r>
  <r>
    <x v="0"/>
    <n v="8"/>
    <n v="8"/>
    <n v="4"/>
    <m/>
    <m/>
    <s v="Rohan Kodag"/>
    <s v="rohan.kodag@studiolotus.in"/>
    <s v="BD &amp; Comms"/>
    <s v="Member"/>
    <x v="5"/>
    <s v="No"/>
    <s v="Intern"/>
    <s v="No"/>
    <s v="No"/>
    <n v="0"/>
    <m/>
  </r>
  <r>
    <x v="1"/>
    <n v="1"/>
    <n v="7"/>
    <n v="5"/>
    <n v="3"/>
    <n v="4"/>
    <s v="Anandita Kaur Narula"/>
    <s v="anandita.narula@studiolotus.in"/>
    <s v="Homes"/>
    <s v="Member"/>
    <x v="6"/>
    <s v="Yes"/>
    <s v="Eligible"/>
    <s v="Yes"/>
    <s v="Yes"/>
    <n v="1"/>
    <m/>
  </r>
  <r>
    <x v="1"/>
    <n v="2"/>
    <n v="7"/>
    <n v="5"/>
    <m/>
    <m/>
    <s v="Anshika Maheshwari"/>
    <s v="anshika@studiolotus.in"/>
    <s v="Homes"/>
    <s v="Member"/>
    <x v="3"/>
    <s v="Yes"/>
    <s v="Eligible"/>
    <s v="Yes"/>
    <s v="Yes"/>
    <n v="1"/>
    <m/>
  </r>
  <r>
    <x v="1"/>
    <n v="3"/>
    <n v="7"/>
    <n v="5"/>
    <m/>
    <m/>
    <s v="Maitrayee Takale"/>
    <s v="maitrayee@studiolotus.in"/>
    <s v="Homes"/>
    <s v="Member"/>
    <x v="6"/>
    <s v="Yes"/>
    <s v="Eligible"/>
    <s v="Yes"/>
    <s v="Yes"/>
    <n v="1"/>
    <m/>
  </r>
  <r>
    <x v="1"/>
    <n v="4"/>
    <n v="7"/>
    <n v="5"/>
    <m/>
    <m/>
    <s v="Sarthak Sharma"/>
    <s v="sarthak.sharma@studiolotus.in"/>
    <s v="Homes"/>
    <s v="Member"/>
    <x v="3"/>
    <s v="Yes"/>
    <s v="Eligible"/>
    <s v="No"/>
    <s v="Yes"/>
    <n v="1"/>
    <m/>
  </r>
  <r>
    <x v="1"/>
    <n v="5"/>
    <n v="7"/>
    <n v="5"/>
    <m/>
    <m/>
    <s v="Aditi Agashe"/>
    <s v="aditi.agashe@studiolotus.in"/>
    <s v="Homes"/>
    <s v="Member"/>
    <x v="7"/>
    <s v="Yes"/>
    <s v="Eligible"/>
    <s v="No"/>
    <s v="No"/>
    <n v="0"/>
    <m/>
  </r>
  <r>
    <x v="1"/>
    <n v="6"/>
    <n v="7"/>
    <n v="5"/>
    <m/>
    <m/>
    <s v="Ambar Agarwal"/>
    <s v="ambaragarwal7459@gmail.com"/>
    <s v="Homes"/>
    <s v="Member"/>
    <x v="5"/>
    <s v="No"/>
    <s v="Intern"/>
    <s v="No"/>
    <s v="No"/>
    <n v="0"/>
    <m/>
  </r>
  <r>
    <x v="1"/>
    <n v="7"/>
    <n v="7"/>
    <n v="5"/>
    <m/>
    <m/>
    <s v="Harsh Vardhan"/>
    <s v="harsh@studiolotus.in"/>
    <s v="Homes"/>
    <s v="Principal"/>
    <x v="8"/>
    <s v="No"/>
    <s v="Named GL excluded from direct license assignment"/>
    <s v="No"/>
    <s v="No"/>
    <n v="0"/>
    <m/>
  </r>
  <r>
    <x v="2"/>
    <n v="1"/>
    <n v="9"/>
    <n v="7"/>
    <n v="5"/>
    <n v="6"/>
    <s v="Anishaa Kashyap"/>
    <s v="anishaa.kashyap@studiolotus.in"/>
    <s v="Insiya Pithawala Team"/>
    <s v="Member"/>
    <x v="9"/>
    <s v="Yes"/>
    <s v="Eligible"/>
    <s v="Yes"/>
    <s v="Yes"/>
    <n v="1"/>
    <m/>
  </r>
  <r>
    <x v="2"/>
    <n v="2"/>
    <n v="9"/>
    <n v="7"/>
    <m/>
    <m/>
    <s v="Isha Agrawal"/>
    <s v="isha.agrawal@studiolotus.in"/>
    <s v="Insiya Pithawala Team"/>
    <s v="Member"/>
    <x v="10"/>
    <s v="Yes"/>
    <s v="Eligible"/>
    <s v="Yes"/>
    <s v="Yes"/>
    <n v="1"/>
    <m/>
  </r>
  <r>
    <x v="2"/>
    <n v="3"/>
    <n v="9"/>
    <n v="7"/>
    <m/>
    <m/>
    <s v="Rashika Lungani"/>
    <s v="rashika.lungani@studiolotus.in"/>
    <s v="Insiya Pithawala Team"/>
    <s v="Member"/>
    <x v="11"/>
    <s v="Yes"/>
    <s v="Eligible"/>
    <s v="Yes"/>
    <s v="Yes"/>
    <n v="1"/>
    <m/>
  </r>
  <r>
    <x v="2"/>
    <n v="4"/>
    <n v="9"/>
    <n v="7"/>
    <m/>
    <m/>
    <s v="Reetika Singh"/>
    <s v="reetika.singh@studiolotus.in"/>
    <s v="Insiya Pithawala Team"/>
    <s v="Member"/>
    <x v="11"/>
    <s v="Yes"/>
    <s v="Eligible"/>
    <s v="Yes"/>
    <s v="Yes"/>
    <n v="1"/>
    <m/>
  </r>
  <r>
    <x v="2"/>
    <n v="5"/>
    <n v="9"/>
    <n v="7"/>
    <m/>
    <m/>
    <s v="Rudvi Senthil Kumar"/>
    <s v="rudvi@studiolotus.in"/>
    <s v="Insiya Pithawala Team"/>
    <s v="Member"/>
    <x v="11"/>
    <s v="Yes"/>
    <s v="Eligible"/>
    <s v="No"/>
    <s v="Yes"/>
    <n v="0"/>
    <m/>
  </r>
  <r>
    <x v="2"/>
    <n v="6"/>
    <n v="9"/>
    <n v="7"/>
    <m/>
    <m/>
    <s v="Vartika Sood"/>
    <s v="vartika.sood@studiolotus.in"/>
    <s v="Insiya Pithawala Team"/>
    <s v="Member"/>
    <x v="10"/>
    <s v="Yes"/>
    <s v="Eligible"/>
    <s v="Yes"/>
    <s v="Yes"/>
    <n v="1"/>
    <m/>
  </r>
  <r>
    <x v="2"/>
    <n v="7"/>
    <n v="9"/>
    <n v="7"/>
    <m/>
    <m/>
    <s v="Sanya Mathur"/>
    <s v="sanya.mathur@studiolotus.in"/>
    <s v="Insiya Pithawala Team"/>
    <s v="Member"/>
    <x v="11"/>
    <s v="Yes"/>
    <s v="Eligible"/>
    <s v="No"/>
    <s v="No"/>
    <n v="0"/>
    <m/>
  </r>
  <r>
    <x v="2"/>
    <n v="8"/>
    <n v="9"/>
    <n v="7"/>
    <m/>
    <m/>
    <s v="Insiya Pithawala"/>
    <s v="insiya@studiolotus.in"/>
    <s v="Insiya Pithawala Team"/>
    <s v="Team Lead"/>
    <x v="12"/>
    <s v="No"/>
    <s v="Named GL excluded from direct license assignment"/>
    <s v="No"/>
    <s v="No"/>
    <n v="0"/>
    <m/>
  </r>
  <r>
    <x v="2"/>
    <n v="9"/>
    <n v="9"/>
    <n v="7"/>
    <m/>
    <m/>
    <s v="Upangna Singh"/>
    <s v="singhupangna@gmail.com"/>
    <s v="Insiya Pithawala Team"/>
    <s v="Member"/>
    <x v="5"/>
    <s v="No"/>
    <s v="Intern"/>
    <s v="No"/>
    <s v="No"/>
    <n v="0"/>
    <m/>
  </r>
  <r>
    <x v="3"/>
    <n v="1"/>
    <n v="15"/>
    <n v="12"/>
    <n v="8"/>
    <n v="10"/>
    <s v="Abdul Kalam"/>
    <s v="abdul@studiolotus.in"/>
    <s v="Neelam Das Team"/>
    <s v="Member"/>
    <x v="13"/>
    <s v="Yes"/>
    <s v="Eligible"/>
    <s v="Yes"/>
    <s v="Yes"/>
    <n v="1"/>
    <m/>
  </r>
  <r>
    <x v="3"/>
    <n v="2"/>
    <n v="15"/>
    <n v="12"/>
    <m/>
    <m/>
    <s v="Abhijeet Roy"/>
    <s v="abhijeet.roy@studiolotus.in"/>
    <s v="Neelam Das Team"/>
    <s v="Member"/>
    <x v="10"/>
    <s v="Yes"/>
    <s v="Eligible"/>
    <s v="Yes"/>
    <s v="Yes"/>
    <n v="1"/>
    <m/>
  </r>
  <r>
    <x v="3"/>
    <n v="3"/>
    <n v="15"/>
    <n v="12"/>
    <m/>
    <m/>
    <s v="Aditya Pandoh"/>
    <s v="aditya.pandoh@studiolotus.in"/>
    <s v="Neelam Das Team"/>
    <s v="Member"/>
    <x v="11"/>
    <s v="Yes"/>
    <s v="Eligible"/>
    <s v="Yes"/>
    <s v="Yes"/>
    <n v="1"/>
    <s v="Aditya manually mapped to Neelam team"/>
  </r>
  <r>
    <x v="3"/>
    <n v="4"/>
    <n v="15"/>
    <n v="12"/>
    <m/>
    <m/>
    <s v="Amrapali Patra"/>
    <s v="amrapali@studiolotus.in"/>
    <s v="Neelam Das Team"/>
    <s v="Member"/>
    <x v="3"/>
    <s v="Yes"/>
    <s v="Eligible"/>
    <s v="Yes"/>
    <s v="Yes"/>
    <n v="1"/>
    <m/>
  </r>
  <r>
    <x v="3"/>
    <n v="5"/>
    <n v="15"/>
    <n v="12"/>
    <m/>
    <m/>
    <s v="Kadambari Kumar"/>
    <s v="kadambari@studiolotus.in"/>
    <s v="Neelam Das Team"/>
    <s v="Member"/>
    <x v="13"/>
    <s v="Yes"/>
    <s v="Eligible"/>
    <s v="No"/>
    <s v="Yes"/>
    <n v="0"/>
    <m/>
  </r>
  <r>
    <x v="3"/>
    <n v="6"/>
    <n v="15"/>
    <n v="12"/>
    <m/>
    <m/>
    <s v="Krishna Mandviwala"/>
    <s v="krishna.mandviwala@studiolotus.in"/>
    <s v="Neelam Das Team"/>
    <s v="Member"/>
    <x v="11"/>
    <s v="Yes"/>
    <s v="Eligible"/>
    <s v="Yes"/>
    <s v="Yes"/>
    <n v="1"/>
    <m/>
  </r>
  <r>
    <x v="3"/>
    <n v="7"/>
    <n v="15"/>
    <n v="12"/>
    <m/>
    <m/>
    <s v="Neha Keshri"/>
    <s v="neha.keshri@studiolotus.in"/>
    <s v="Neelam Das Team"/>
    <s v="Member"/>
    <x v="11"/>
    <s v="Yes"/>
    <s v="Eligible"/>
    <s v="Yes"/>
    <s v="Yes"/>
    <n v="1"/>
    <m/>
  </r>
  <r>
    <x v="3"/>
    <n v="8"/>
    <n v="15"/>
    <n v="12"/>
    <m/>
    <m/>
    <s v="Shailen Sharma"/>
    <s v="shailen.sharma@studiolotus.in"/>
    <s v="Neelam Das Team"/>
    <s v="Member"/>
    <x v="11"/>
    <s v="Yes"/>
    <s v="Eligible"/>
    <s v="Yes"/>
    <s v="Yes"/>
    <n v="1"/>
    <m/>
  </r>
  <r>
    <x v="3"/>
    <n v="9"/>
    <n v="15"/>
    <n v="12"/>
    <m/>
    <m/>
    <s v="Siya Suri"/>
    <s v="siya.suri@studiolotus.in"/>
    <s v="Neelam Das Team"/>
    <s v="Member"/>
    <x v="11"/>
    <s v="Yes"/>
    <s v="Eligible"/>
    <s v="Yes"/>
    <s v="Yes"/>
    <n v="1"/>
    <m/>
  </r>
  <r>
    <x v="3"/>
    <n v="10"/>
    <n v="15"/>
    <n v="12"/>
    <m/>
    <m/>
    <s v="Sujata Kumari"/>
    <s v="sujata.kumari@studiolotus.in"/>
    <s v="Neelam Das Team"/>
    <s v="Member"/>
    <x v="3"/>
    <s v="Yes"/>
    <s v="Eligible"/>
    <s v="No"/>
    <s v="Yes"/>
    <n v="0"/>
    <m/>
  </r>
  <r>
    <x v="3"/>
    <n v="11"/>
    <n v="15"/>
    <n v="12"/>
    <m/>
    <m/>
    <s v="Akshita Kalia"/>
    <s v="akshita.kalia@studiolotus.in"/>
    <s v="Neelam Das Team"/>
    <s v="Member"/>
    <x v="11"/>
    <s v="Yes"/>
    <s v="Eligible"/>
    <s v="No"/>
    <s v="No"/>
    <n v="0"/>
    <m/>
  </r>
  <r>
    <x v="3"/>
    <n v="12"/>
    <n v="15"/>
    <n v="12"/>
    <m/>
    <m/>
    <s v="Ananya Bhardwaj"/>
    <s v="ananya.bhardwaj@studiolotus.in"/>
    <s v="Neelam Das Team"/>
    <s v="Member"/>
    <x v="11"/>
    <s v="Yes"/>
    <s v="Eligible"/>
    <s v="No"/>
    <s v="No"/>
    <n v="0"/>
    <m/>
  </r>
  <r>
    <x v="3"/>
    <n v="13"/>
    <n v="15"/>
    <n v="12"/>
    <m/>
    <m/>
    <s v="Anushka Jindal"/>
    <s v="anushkajindal2004@gmail.com"/>
    <s v="Neelam Das Team"/>
    <s v="Member"/>
    <x v="5"/>
    <s v="No"/>
    <s v="Intern"/>
    <s v="No"/>
    <s v="No"/>
    <n v="0"/>
    <m/>
  </r>
  <r>
    <x v="3"/>
    <n v="14"/>
    <n v="15"/>
    <n v="12"/>
    <m/>
    <m/>
    <s v="Neelam Das"/>
    <s v="neelam@studiolotus.in"/>
    <s v="Neelam Das Team"/>
    <s v="Team Lead"/>
    <x v="4"/>
    <s v="No"/>
    <s v="Named GL excluded from direct license assignment"/>
    <s v="No"/>
    <s v="No"/>
    <n v="0"/>
    <m/>
  </r>
  <r>
    <x v="3"/>
    <n v="15"/>
    <n v="15"/>
    <n v="12"/>
    <m/>
    <m/>
    <s v="Sukhmani Kaur"/>
    <s v="sukhmani.kaur@studiolotus.in"/>
    <s v="Neelam Das Team"/>
    <s v="Member"/>
    <x v="5"/>
    <s v="No"/>
    <s v="Intern"/>
    <s v="No"/>
    <s v="No"/>
    <n v="0"/>
    <m/>
  </r>
  <r>
    <x v="4"/>
    <n v="1"/>
    <n v="5"/>
    <n v="5"/>
    <n v="3"/>
    <n v="4"/>
    <s v="Aditi Panwar"/>
    <s v="aditi.panwar@studiolotus.in"/>
    <s v="Prajwal Yashwant Amin Team"/>
    <s v="Member"/>
    <x v="3"/>
    <s v="Yes"/>
    <s v="Eligible"/>
    <s v="Yes"/>
    <s v="Yes"/>
    <n v="1"/>
    <m/>
  </r>
  <r>
    <x v="4"/>
    <n v="2"/>
    <n v="5"/>
    <n v="5"/>
    <m/>
    <m/>
    <s v="Prajwal Yashwant Amin"/>
    <s v="prajwal@studiolotus.in"/>
    <s v="Prajwal Yashwant Amin Team"/>
    <s v="Team Lead"/>
    <x v="7"/>
    <s v="Yes"/>
    <s v="Eligible"/>
    <s v="Yes"/>
    <s v="Yes"/>
    <n v="1"/>
    <m/>
  </r>
  <r>
    <x v="4"/>
    <n v="3"/>
    <n v="5"/>
    <n v="5"/>
    <m/>
    <m/>
    <s v="Puru Bhatia"/>
    <s v="puru.bhatia@studiolotus.in"/>
    <s v="Prajwal Yashwant Amin Team"/>
    <s v="Member"/>
    <x v="3"/>
    <s v="Yes"/>
    <s v="Eligible"/>
    <s v="Yes"/>
    <s v="Yes"/>
    <n v="1"/>
    <m/>
  </r>
  <r>
    <x v="4"/>
    <n v="4"/>
    <n v="5"/>
    <n v="5"/>
    <m/>
    <m/>
    <s v="Suhani Khandelwal"/>
    <s v="suhani.khandelwal@studiolotus.in"/>
    <s v="Prajwal Yashwant Amin Team"/>
    <s v="Member"/>
    <x v="3"/>
    <s v="Yes"/>
    <s v="Eligible"/>
    <s v="No"/>
    <s v="Yes"/>
    <n v="1"/>
    <m/>
  </r>
  <r>
    <x v="4"/>
    <n v="5"/>
    <n v="5"/>
    <n v="5"/>
    <m/>
    <m/>
    <s v="Ayushi Patwari"/>
    <s v="ayushi.patwari@studiolotus.in"/>
    <s v="Prajwal Yashwant Amin Team"/>
    <s v="Member"/>
    <x v="3"/>
    <s v="Yes"/>
    <s v="Eligible"/>
    <s v="No"/>
    <s v="No"/>
    <n v="1"/>
    <m/>
  </r>
  <r>
    <x v="5"/>
    <n v="1"/>
    <n v="8"/>
    <n v="6"/>
    <n v="4"/>
    <n v="5"/>
    <s v="Anisha Khandelwal"/>
    <s v="anisha.khandelwal@studiolotus.in"/>
    <s v="Prashant Bharadwaj Team"/>
    <s v="Member"/>
    <x v="6"/>
    <s v="Yes"/>
    <s v="Eligible"/>
    <s v="Yes"/>
    <s v="Yes"/>
    <n v="0"/>
    <m/>
  </r>
  <r>
    <x v="5"/>
    <n v="2"/>
    <n v="8"/>
    <n v="6"/>
    <m/>
    <m/>
    <s v="Ankeeta Champatiray"/>
    <s v="ankeeta@studiolotus.in"/>
    <s v="Prashant Bharadwaj Team"/>
    <s v="Member"/>
    <x v="6"/>
    <s v="Yes"/>
    <s v="Eligible"/>
    <s v="Yes"/>
    <s v="Yes"/>
    <n v="1"/>
    <m/>
  </r>
  <r>
    <x v="5"/>
    <n v="3"/>
    <n v="8"/>
    <n v="6"/>
    <m/>
    <m/>
    <s v="Raunak Bhagat"/>
    <s v="raunak.bhagat@studiolotus.in"/>
    <s v="Prashant Bharadwaj Team"/>
    <s v="Member"/>
    <x v="3"/>
    <s v="Yes"/>
    <s v="Eligible"/>
    <s v="No"/>
    <s v="Yes"/>
    <n v="0"/>
    <m/>
  </r>
  <r>
    <x v="5"/>
    <n v="4"/>
    <n v="8"/>
    <n v="6"/>
    <m/>
    <m/>
    <s v="Sanya Jain"/>
    <s v="sanya.jain@studiolotus.in"/>
    <s v="Prashant Bharadwaj Team"/>
    <s v="Member"/>
    <x v="3"/>
    <s v="Yes"/>
    <s v="Eligible"/>
    <s v="Yes"/>
    <s v="Yes"/>
    <n v="1"/>
    <m/>
  </r>
  <r>
    <x v="5"/>
    <n v="5"/>
    <n v="8"/>
    <n v="6"/>
    <m/>
    <m/>
    <s v="Vishal Kumar"/>
    <s v="vishal.kumar@studiolotus.in"/>
    <s v="Prashant Bharadwaj Team"/>
    <s v="Member"/>
    <x v="13"/>
    <s v="Yes"/>
    <s v="Eligible"/>
    <s v="Yes"/>
    <s v="Yes"/>
    <n v="1"/>
    <m/>
  </r>
  <r>
    <x v="5"/>
    <n v="6"/>
    <n v="8"/>
    <n v="6"/>
    <m/>
    <m/>
    <s v="Deeptha Madan Gopal"/>
    <s v="deeptha.mg@studiolotus.in"/>
    <s v="Prashant Bharadwaj Team"/>
    <s v="Member"/>
    <x v="3"/>
    <s v="Yes"/>
    <s v="Eligible"/>
    <s v="No"/>
    <s v="No"/>
    <n v="0"/>
    <m/>
  </r>
  <r>
    <x v="5"/>
    <n v="7"/>
    <n v="8"/>
    <n v="6"/>
    <m/>
    <m/>
    <s v="Aditi Sudheer Kari"/>
    <s v="aditi3641arch22@spa.ac.in"/>
    <s v="Prashant Bharadwaj Team"/>
    <s v="Member"/>
    <x v="5"/>
    <s v="No"/>
    <s v="Intern"/>
    <s v="No"/>
    <s v="No"/>
    <n v="0"/>
    <m/>
  </r>
  <r>
    <x v="5"/>
    <n v="8"/>
    <n v="8"/>
    <n v="6"/>
    <m/>
    <m/>
    <s v="Prashant Bharadwaj"/>
    <s v="prashant.bharadwaj@studiolotus.in"/>
    <s v="Prashant Bharadwaj Team"/>
    <s v="Team Lead"/>
    <x v="4"/>
    <s v="No"/>
    <s v="Named GL excluded from direct license assignment"/>
    <s v="No"/>
    <s v="No"/>
    <n v="1"/>
    <m/>
  </r>
  <r>
    <x v="6"/>
    <n v="1"/>
    <n v="3"/>
    <n v="2"/>
    <n v="1"/>
    <n v="1"/>
    <s v="Sheetal Vishwakarma"/>
    <s v="sheetal@studiolotus.in"/>
    <s v="Randhir Kumar Team"/>
    <s v="Member"/>
    <x v="10"/>
    <s v="Yes"/>
    <s v="Eligible"/>
    <s v="Yes"/>
    <s v="Yes"/>
    <n v="1"/>
    <m/>
  </r>
  <r>
    <x v="6"/>
    <n v="2"/>
    <n v="3"/>
    <n v="2"/>
    <m/>
    <m/>
    <s v="Himanshi Wadhwa"/>
    <s v="himanshi.wadhwa@studiolotus.in"/>
    <s v="Randhir Kumar Team"/>
    <s v="Member"/>
    <x v="11"/>
    <s v="Yes"/>
    <s v="Eligible"/>
    <s v="No"/>
    <s v="No"/>
    <n v="0"/>
    <m/>
  </r>
  <r>
    <x v="6"/>
    <n v="3"/>
    <n v="3"/>
    <n v="2"/>
    <m/>
    <m/>
    <s v="Randhir Kumar"/>
    <s v="randhir.kumar@studiolotus.in"/>
    <s v="Randhir Kumar Team"/>
    <s v="Team Lead"/>
    <x v="13"/>
    <s v="No"/>
    <s v="Named GL excluded from direct license assignment"/>
    <s v="No"/>
    <s v="No"/>
    <n v="0"/>
    <m/>
  </r>
  <r>
    <x v="7"/>
    <n v="1"/>
    <n v="10"/>
    <n v="9"/>
    <n v="6"/>
    <n v="8"/>
    <s v="Arham Jain"/>
    <s v="arham.jain@studiolotus.in"/>
    <s v="Swati Seshadri Team"/>
    <s v="Member"/>
    <x v="3"/>
    <s v="Yes"/>
    <s v="Eligible"/>
    <s v="Yes"/>
    <s v="Yes"/>
    <n v="1"/>
    <m/>
  </r>
  <r>
    <x v="7"/>
    <n v="2"/>
    <n v="10"/>
    <n v="9"/>
    <m/>
    <m/>
    <s v="Devenpreet Singh Wahi"/>
    <s v="devenpreet@studiolotus.in"/>
    <s v="Swati Seshadri Team"/>
    <s v="Member"/>
    <x v="6"/>
    <s v="Yes"/>
    <s v="Eligible"/>
    <s v="Yes"/>
    <s v="Yes"/>
    <n v="1"/>
    <m/>
  </r>
  <r>
    <x v="7"/>
    <n v="3"/>
    <n v="10"/>
    <n v="9"/>
    <m/>
    <m/>
    <s v="Kunal Sagar"/>
    <s v="kunal.sagar@studiolotus.in"/>
    <s v="Swati Seshadri Team"/>
    <s v="Member"/>
    <x v="7"/>
    <s v="Yes"/>
    <s v="Eligible"/>
    <s v="Yes"/>
    <s v="Yes"/>
    <n v="1"/>
    <m/>
  </r>
  <r>
    <x v="7"/>
    <n v="4"/>
    <n v="10"/>
    <n v="9"/>
    <m/>
    <m/>
    <s v="Nabajyoti Dutta Choudhury"/>
    <s v="nabajyoti.dutta@studiolotus.in"/>
    <s v="Swati Seshadri Team"/>
    <s v="Member"/>
    <x v="7"/>
    <s v="Yes"/>
    <s v="Eligible"/>
    <s v="No"/>
    <s v="Yes"/>
    <n v="0"/>
    <m/>
  </r>
  <r>
    <x v="7"/>
    <n v="5"/>
    <n v="10"/>
    <n v="9"/>
    <m/>
    <m/>
    <s v="Sharan S"/>
    <s v="sharan.s@studiolotus.in"/>
    <s v="Swati Seshadri Team"/>
    <s v="Member"/>
    <x v="6"/>
    <s v="Yes"/>
    <s v="Eligible"/>
    <s v="No"/>
    <s v="Yes"/>
    <n v="0"/>
    <m/>
  </r>
  <r>
    <x v="7"/>
    <n v="6"/>
    <n v="10"/>
    <n v="9"/>
    <m/>
    <m/>
    <s v="Siddharth Ramkumar"/>
    <s v="siddharth.ramkumar@studiolotus.in"/>
    <s v="Swati Seshadri Team"/>
    <s v="Member"/>
    <x v="6"/>
    <s v="Yes"/>
    <s v="Eligible"/>
    <s v="Yes"/>
    <s v="Yes"/>
    <n v="1"/>
    <m/>
  </r>
  <r>
    <x v="7"/>
    <n v="7"/>
    <n v="10"/>
    <n v="9"/>
    <m/>
    <m/>
    <s v="Tanmay Vaid"/>
    <s v="tanmay.vaid@studiolotus.in"/>
    <s v="Swati Seshadri Team"/>
    <s v="Member"/>
    <x v="3"/>
    <s v="Yes"/>
    <s v="Eligible"/>
    <s v="Yes"/>
    <s v="Yes"/>
    <n v="1"/>
    <m/>
  </r>
  <r>
    <x v="7"/>
    <n v="8"/>
    <n v="10"/>
    <n v="9"/>
    <m/>
    <m/>
    <s v="Vijeet Shah"/>
    <s v="vijeet.shah@studiolotus.in"/>
    <s v="Swati Seshadri Team"/>
    <s v="Member"/>
    <x v="3"/>
    <s v="Yes"/>
    <s v="Eligible"/>
    <s v="Yes"/>
    <s v="Yes"/>
    <n v="1"/>
    <m/>
  </r>
  <r>
    <x v="7"/>
    <n v="9"/>
    <n v="10"/>
    <n v="9"/>
    <m/>
    <m/>
    <s v="Alpika Pandey"/>
    <s v="alpika.pandey@studiolotus.in"/>
    <s v="Swati Seshadri Team"/>
    <s v="Member"/>
    <x v="3"/>
    <s v="Yes"/>
    <s v="Eligible"/>
    <s v="No"/>
    <s v="No"/>
    <n v="0"/>
    <m/>
  </r>
  <r>
    <x v="7"/>
    <n v="10"/>
    <n v="10"/>
    <n v="9"/>
    <m/>
    <m/>
    <s v="Swati Seshadri"/>
    <s v="swati.seshadri@studiolotus.in"/>
    <s v="Swati Seshadri Team"/>
    <s v="Team Lead"/>
    <x v="12"/>
    <s v="No"/>
    <s v="Named GL excluded from direct license assignment"/>
    <s v="No"/>
    <s v="No"/>
    <n v="0"/>
    <m/>
  </r>
  <r>
    <x v="8"/>
    <n v="1"/>
    <n v="10"/>
    <n v="10"/>
    <n v="6"/>
    <n v="8"/>
    <s v="Adhiraj Sirkeck"/>
    <s v="adhiraj.sirkeck@studiolotus.in"/>
    <s v="Varun Srivastava Team"/>
    <s v="Member"/>
    <x v="6"/>
    <s v="Yes"/>
    <s v="Eligible"/>
    <s v="Yes"/>
    <s v="Yes"/>
    <n v="1"/>
    <m/>
  </r>
  <r>
    <x v="8"/>
    <n v="2"/>
    <n v="10"/>
    <n v="10"/>
    <m/>
    <m/>
    <s v="Khushboo Pandey"/>
    <s v="khushboo.pandey@studiolotus.in"/>
    <s v="Varun Srivastava Team"/>
    <s v="Member"/>
    <x v="7"/>
    <s v="Yes"/>
    <s v="Eligible"/>
    <s v="Yes"/>
    <s v="Yes"/>
    <n v="1"/>
    <m/>
  </r>
  <r>
    <x v="8"/>
    <n v="3"/>
    <n v="10"/>
    <n v="10"/>
    <m/>
    <m/>
    <s v="Nikita Bhatia"/>
    <s v="nikita.bhatia@studiolotus.in"/>
    <s v="Varun Srivastava Team"/>
    <s v="Member"/>
    <x v="7"/>
    <s v="Yes"/>
    <s v="Eligible"/>
    <s v="Yes"/>
    <s v="Yes"/>
    <n v="1"/>
    <m/>
  </r>
  <r>
    <x v="8"/>
    <n v="4"/>
    <n v="10"/>
    <n v="10"/>
    <m/>
    <m/>
    <s v="Rida Drabu"/>
    <s v="rida@studiolotus.in"/>
    <s v="Varun Srivastava Team"/>
    <s v="Member"/>
    <x v="3"/>
    <s v="Yes"/>
    <s v="Eligible"/>
    <s v="Yes"/>
    <s v="Yes"/>
    <n v="1"/>
    <m/>
  </r>
  <r>
    <x v="8"/>
    <n v="5"/>
    <n v="10"/>
    <n v="10"/>
    <m/>
    <m/>
    <s v="Rushil Jain"/>
    <s v="rushil.jain@studiolotus.in"/>
    <s v="Varun Srivastava Team"/>
    <s v="Member"/>
    <x v="3"/>
    <s v="Yes"/>
    <s v="Eligible"/>
    <s v="No"/>
    <s v="Yes"/>
    <n v="1"/>
    <m/>
  </r>
  <r>
    <x v="8"/>
    <n v="6"/>
    <n v="10"/>
    <n v="10"/>
    <m/>
    <m/>
    <s v="Satwik Singh Rathour"/>
    <s v="satwik@studiolotus.in"/>
    <s v="Varun Srivastava Team"/>
    <s v="Member"/>
    <x v="6"/>
    <s v="Yes"/>
    <s v="Eligible"/>
    <s v="Yes"/>
    <s v="Yes"/>
    <n v="1"/>
    <m/>
  </r>
  <r>
    <x v="8"/>
    <n v="7"/>
    <n v="10"/>
    <n v="10"/>
    <m/>
    <m/>
    <s v="Varun Srivastava"/>
    <s v="varun.srivastava@studiolotus.in"/>
    <s v="Varun Srivastava Team"/>
    <s v="Team Lead"/>
    <x v="12"/>
    <s v="Yes"/>
    <s v="Eligible"/>
    <s v="No"/>
    <s v="Yes"/>
    <n v="0"/>
    <m/>
  </r>
  <r>
    <x v="8"/>
    <n v="8"/>
    <n v="10"/>
    <n v="10"/>
    <m/>
    <m/>
    <s v="Vivin Neelankavil"/>
    <s v="vivin@studiolotus.in"/>
    <s v="Varun Srivastava Team"/>
    <s v="Member"/>
    <x v="6"/>
    <s v="Yes"/>
    <s v="Eligible"/>
    <s v="Yes"/>
    <s v="Yes"/>
    <n v="1"/>
    <m/>
  </r>
  <r>
    <x v="8"/>
    <n v="9"/>
    <n v="10"/>
    <n v="10"/>
    <m/>
    <m/>
    <s v="Harsha Singh"/>
    <s v="harsha.singh@studiolotus.in"/>
    <s v="Varun Srivastava Team"/>
    <s v="Member"/>
    <x v="3"/>
    <s v="Yes"/>
    <s v="Eligible"/>
    <s v="No"/>
    <s v="No"/>
    <n v="0"/>
    <m/>
  </r>
  <r>
    <x v="8"/>
    <n v="10"/>
    <n v="10"/>
    <n v="10"/>
    <m/>
    <m/>
    <s v="Manan Jain"/>
    <s v="manan.jain@studiolotus.in"/>
    <s v="Varun Srivastava Team"/>
    <s v="Member"/>
    <x v="3"/>
    <s v="Yes"/>
    <s v="Eligible"/>
    <s v="No"/>
    <s v="No"/>
    <n v="0"/>
    <m/>
  </r>
  <r>
    <x v="9"/>
    <n v="1"/>
    <n v="10"/>
    <n v="9"/>
    <n v="6"/>
    <n v="7"/>
    <s v="Deepak Chakicherla"/>
    <s v="deepak.chakicherla@studiolotus.in"/>
    <s v="Yatin Tokas Team"/>
    <s v="Member"/>
    <x v="3"/>
    <s v="Yes"/>
    <s v="Eligible"/>
    <s v="Yes"/>
    <s v="Yes"/>
    <n v="1"/>
    <m/>
  </r>
  <r>
    <x v="9"/>
    <n v="2"/>
    <n v="10"/>
    <n v="9"/>
    <m/>
    <m/>
    <s v="Karthick R"/>
    <s v="karthick.r@studiolotus.in"/>
    <s v="Yatin Tokas Team"/>
    <s v="Member"/>
    <x v="6"/>
    <s v="Yes"/>
    <s v="Eligible"/>
    <s v="Yes"/>
    <s v="Yes"/>
    <n v="1"/>
    <m/>
  </r>
  <r>
    <x v="9"/>
    <n v="3"/>
    <n v="10"/>
    <n v="9"/>
    <m/>
    <m/>
    <s v="Kashish Singh"/>
    <s v="kashish.singh@studiolotus.in"/>
    <s v="Yatin Tokas Team"/>
    <s v="Member"/>
    <x v="3"/>
    <s v="Yes"/>
    <s v="Eligible"/>
    <s v="No"/>
    <s v="Yes"/>
    <n v="0"/>
    <m/>
  </r>
  <r>
    <x v="9"/>
    <n v="4"/>
    <n v="10"/>
    <n v="9"/>
    <m/>
    <m/>
    <s v="Mihir Jagdishbhai Ramani"/>
    <s v="mihir.ramani@studiolotus.in"/>
    <s v="Yatin Tokas Team"/>
    <s v="Member"/>
    <x v="3"/>
    <s v="Yes"/>
    <s v="Eligible"/>
    <s v="Yes"/>
    <s v="Yes"/>
    <n v="1"/>
    <m/>
  </r>
  <r>
    <x v="9"/>
    <n v="5"/>
    <n v="10"/>
    <n v="9"/>
    <m/>
    <m/>
    <s v="Priyanka Jawa"/>
    <s v="priyanka.jawa@studiolotus.in"/>
    <s v="Yatin Tokas Team"/>
    <s v="Member"/>
    <x v="6"/>
    <s v="Yes"/>
    <s v="Eligible"/>
    <s v="Yes"/>
    <s v="Yes"/>
    <n v="1"/>
    <m/>
  </r>
  <r>
    <x v="9"/>
    <n v="6"/>
    <n v="10"/>
    <n v="9"/>
    <m/>
    <m/>
    <s v="Vishal Dubey"/>
    <s v="vishal.dubey@studiolotus.in"/>
    <s v="Yatin Tokas Team"/>
    <s v="Member"/>
    <x v="7"/>
    <s v="Yes"/>
    <s v="Eligible"/>
    <s v="Yes"/>
    <s v="Yes"/>
    <n v="0"/>
    <m/>
  </r>
  <r>
    <x v="9"/>
    <n v="7"/>
    <n v="10"/>
    <n v="9"/>
    <m/>
    <m/>
    <s v="Yatin Tokas"/>
    <s v="yatin.tokas@studiolotus.in"/>
    <s v="Yatin Tokas Team"/>
    <s v="Team Lead"/>
    <x v="14"/>
    <s v="Yes"/>
    <s v="Eligible"/>
    <s v="Yes"/>
    <s v="Yes"/>
    <n v="1"/>
    <m/>
  </r>
  <r>
    <x v="9"/>
    <n v="8"/>
    <n v="10"/>
    <n v="9"/>
    <m/>
    <m/>
    <s v="Abiyah Grace Ebby"/>
    <s v="abiyah.grace@studiolotus.in"/>
    <s v="Yatin Tokas Team"/>
    <s v="Member"/>
    <x v="3"/>
    <s v="Yes"/>
    <s v="Eligible"/>
    <s v="No"/>
    <s v="No"/>
    <n v="0"/>
    <m/>
  </r>
  <r>
    <x v="9"/>
    <n v="9"/>
    <n v="10"/>
    <n v="9"/>
    <m/>
    <m/>
    <s v="Jagdish Samal"/>
    <s v="jagdish.samal@studiolotus.in"/>
    <s v="Yatin Tokas Team"/>
    <s v="Member"/>
    <x v="3"/>
    <s v="Yes"/>
    <s v="Eligible"/>
    <s v="No"/>
    <s v="No"/>
    <n v="0"/>
    <m/>
  </r>
  <r>
    <x v="9"/>
    <n v="10"/>
    <n v="10"/>
    <n v="9"/>
    <m/>
    <m/>
    <s v="Abdu Sameeh"/>
    <s v="abdu.sameeh@studiolotus.in"/>
    <s v="Yatin Tokas Team"/>
    <s v="Member"/>
    <x v="5"/>
    <s v="No"/>
    <s v="Intern"/>
    <s v="No"/>
    <s v="No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F1B22-F201-42BD-B4B9-36B6A6BB1C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am">
  <location ref="A3:B14" firstHeaderRow="1" firstDataRow="1" firstDataCol="1"/>
  <pivotFields count="1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Member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00136-6558-4330-AB8A-220222C035A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am">
  <location ref="G3:K14" firstHeaderRow="0" firstDataRow="1" firstDataCol="1"/>
  <pivotFields count="1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Members" fld="1" subtotal="count" baseField="0" baseItem="0"/>
    <dataField name="Current Sketchup Count" fld="15" baseField="0" baseItem="0"/>
    <dataField name="3:5 license" fld="4" baseField="0" baseItem="0"/>
    <dataField name="54 Seats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65C63-D9F1-42FF-89FF-C7DD69069B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am">
  <location ref="D3:E10" firstHeaderRow="1" firstDataRow="1" firstDataCol="1" rowPageCount="1" colPageCount="1"/>
  <pivotFields count="1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6">
        <item x="3"/>
        <item x="4"/>
        <item x="0"/>
        <item x="9"/>
        <item x="11"/>
        <item x="12"/>
        <item x="5"/>
        <item x="2"/>
        <item x="8"/>
        <item x="7"/>
        <item x="13"/>
        <item x="14"/>
        <item x="1"/>
        <item x="6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5"/>
    </i>
    <i>
      <x v="9"/>
    </i>
    <i t="grand">
      <x/>
    </i>
  </rowItems>
  <colItems count="1">
    <i/>
  </colItems>
  <pageFields count="1">
    <pageField fld="10" item="6" hier="-1"/>
  </pageFields>
  <dataFields count="1">
    <dataField name="Intern 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4" customWidth="1"/>
  </cols>
  <sheetData>
    <row r="1" spans="1:2" x14ac:dyDescent="0.25">
      <c r="A1" s="1" t="s">
        <v>221</v>
      </c>
      <c r="B1" s="1" t="s">
        <v>222</v>
      </c>
    </row>
    <row r="2" spans="1:2" x14ac:dyDescent="0.25">
      <c r="A2" s="2" t="s">
        <v>223</v>
      </c>
      <c r="B2" s="2" t="s">
        <v>224</v>
      </c>
    </row>
    <row r="3" spans="1:2" x14ac:dyDescent="0.25">
      <c r="A3" s="2" t="s">
        <v>225</v>
      </c>
      <c r="B3" s="2" t="s">
        <v>226</v>
      </c>
    </row>
    <row r="4" spans="1:2" ht="30" customHeight="1" x14ac:dyDescent="0.25">
      <c r="A4" s="2" t="s">
        <v>227</v>
      </c>
      <c r="B4" s="2" t="s">
        <v>228</v>
      </c>
    </row>
    <row r="5" spans="1:2" ht="60" customHeight="1" x14ac:dyDescent="0.25">
      <c r="A5" s="2" t="s">
        <v>229</v>
      </c>
      <c r="B5" s="2" t="s">
        <v>230</v>
      </c>
    </row>
    <row r="6" spans="1:2" ht="45" customHeight="1" x14ac:dyDescent="0.25">
      <c r="A6" s="2" t="s">
        <v>231</v>
      </c>
      <c r="B6" s="2" t="s">
        <v>232</v>
      </c>
    </row>
    <row r="7" spans="1:2" x14ac:dyDescent="0.25">
      <c r="A7" s="2" t="s">
        <v>233</v>
      </c>
      <c r="B7" s="2" t="s">
        <v>234</v>
      </c>
    </row>
    <row r="8" spans="1:2" ht="30" customHeight="1" x14ac:dyDescent="0.25">
      <c r="A8" s="2" t="s">
        <v>235</v>
      </c>
      <c r="B8" s="2" t="s">
        <v>236</v>
      </c>
    </row>
    <row r="9" spans="1:2" x14ac:dyDescent="0.25">
      <c r="A9" s="2" t="s">
        <v>237</v>
      </c>
      <c r="B9" s="2">
        <v>71</v>
      </c>
    </row>
    <row r="10" spans="1:2" x14ac:dyDescent="0.25">
      <c r="A10" s="2" t="s">
        <v>238</v>
      </c>
      <c r="B10" s="2">
        <v>43</v>
      </c>
    </row>
    <row r="11" spans="1:2" x14ac:dyDescent="0.25">
      <c r="A11" s="2" t="s">
        <v>239</v>
      </c>
      <c r="B11" s="2">
        <v>54</v>
      </c>
    </row>
    <row r="12" spans="1:2" ht="45" customHeight="1" x14ac:dyDescent="0.25">
      <c r="A12" s="2" t="s">
        <v>240</v>
      </c>
      <c r="B12" s="2" t="s">
        <v>241</v>
      </c>
    </row>
    <row r="13" spans="1:2" x14ac:dyDescent="0.25">
      <c r="A13" t="s">
        <v>242</v>
      </c>
      <c r="B13" t="s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B181-0859-4CDC-A39A-B48F6EC81583}">
  <dimension ref="A1:K31"/>
  <sheetViews>
    <sheetView workbookViewId="0">
      <selection activeCell="A23" sqref="A20:F31"/>
    </sheetView>
  </sheetViews>
  <sheetFormatPr defaultRowHeight="15" x14ac:dyDescent="0.25"/>
  <cols>
    <col min="1" max="1" width="22" bestFit="1" customWidth="1"/>
    <col min="2" max="2" width="14.42578125" bestFit="1" customWidth="1"/>
    <col min="3" max="3" width="7.28515625" bestFit="1" customWidth="1"/>
    <col min="4" max="4" width="22.42578125" bestFit="1" customWidth="1"/>
    <col min="5" max="5" width="10.28515625" bestFit="1" customWidth="1"/>
    <col min="6" max="6" width="8.140625" bestFit="1" customWidth="1"/>
    <col min="7" max="7" width="22" bestFit="1" customWidth="1"/>
    <col min="8" max="8" width="14.5703125" bestFit="1" customWidth="1"/>
    <col min="9" max="9" width="22.42578125" bestFit="1" customWidth="1"/>
    <col min="10" max="10" width="21" bestFit="1" customWidth="1"/>
    <col min="11" max="11" width="29.140625" bestFit="1" customWidth="1"/>
  </cols>
  <sheetData>
    <row r="1" spans="1:11" x14ac:dyDescent="0.25">
      <c r="D1" s="15" t="s">
        <v>10</v>
      </c>
      <c r="E1" t="s">
        <v>42</v>
      </c>
    </row>
    <row r="3" spans="1:11" x14ac:dyDescent="0.25">
      <c r="A3" s="15" t="s">
        <v>279</v>
      </c>
      <c r="B3" t="s">
        <v>290</v>
      </c>
      <c r="D3" s="15" t="s">
        <v>279</v>
      </c>
      <c r="E3" t="s">
        <v>292</v>
      </c>
      <c r="G3" s="17" t="s">
        <v>279</v>
      </c>
      <c r="H3" s="18" t="s">
        <v>290</v>
      </c>
      <c r="I3" s="18" t="s">
        <v>291</v>
      </c>
      <c r="J3" s="18" t="s">
        <v>293</v>
      </c>
      <c r="K3" s="18" t="s">
        <v>294</v>
      </c>
    </row>
    <row r="4" spans="1:11" x14ac:dyDescent="0.25">
      <c r="A4" s="16" t="s">
        <v>17</v>
      </c>
      <c r="B4">
        <v>8</v>
      </c>
      <c r="D4" s="16" t="s">
        <v>17</v>
      </c>
      <c r="E4">
        <v>3</v>
      </c>
      <c r="G4" s="19" t="s">
        <v>17</v>
      </c>
      <c r="H4" s="18">
        <v>8</v>
      </c>
      <c r="I4" s="18">
        <v>2</v>
      </c>
      <c r="J4" s="18">
        <v>1</v>
      </c>
      <c r="K4" s="18">
        <v>1</v>
      </c>
    </row>
    <row r="5" spans="1:11" x14ac:dyDescent="0.25">
      <c r="A5" s="16" t="s">
        <v>47</v>
      </c>
      <c r="B5">
        <v>7</v>
      </c>
      <c r="D5" s="16" t="s">
        <v>47</v>
      </c>
      <c r="E5">
        <v>1</v>
      </c>
      <c r="G5" s="19" t="s">
        <v>47</v>
      </c>
      <c r="H5" s="18">
        <v>7</v>
      </c>
      <c r="I5" s="18">
        <v>4</v>
      </c>
      <c r="J5" s="18">
        <v>3</v>
      </c>
      <c r="K5" s="18">
        <v>4</v>
      </c>
    </row>
    <row r="6" spans="1:11" x14ac:dyDescent="0.25">
      <c r="A6" s="16" t="s">
        <v>66</v>
      </c>
      <c r="B6">
        <v>9</v>
      </c>
      <c r="D6" s="16" t="s">
        <v>66</v>
      </c>
      <c r="E6">
        <v>1</v>
      </c>
      <c r="G6" s="19" t="s">
        <v>66</v>
      </c>
      <c r="H6" s="18">
        <v>9</v>
      </c>
      <c r="I6" s="18">
        <v>5</v>
      </c>
      <c r="J6" s="18">
        <v>5</v>
      </c>
      <c r="K6" s="18">
        <v>6</v>
      </c>
    </row>
    <row r="7" spans="1:11" x14ac:dyDescent="0.25">
      <c r="A7" s="16" t="s">
        <v>89</v>
      </c>
      <c r="B7">
        <v>15</v>
      </c>
      <c r="D7" s="16" t="s">
        <v>89</v>
      </c>
      <c r="E7">
        <v>2</v>
      </c>
      <c r="G7" s="19" t="s">
        <v>89</v>
      </c>
      <c r="H7" s="18">
        <v>15</v>
      </c>
      <c r="I7" s="18">
        <v>8</v>
      </c>
      <c r="J7" s="18">
        <v>8</v>
      </c>
      <c r="K7" s="18">
        <v>10</v>
      </c>
    </row>
    <row r="8" spans="1:11" x14ac:dyDescent="0.25">
      <c r="A8" s="16" t="s">
        <v>122</v>
      </c>
      <c r="B8">
        <v>5</v>
      </c>
      <c r="D8" s="16" t="s">
        <v>133</v>
      </c>
      <c r="E8">
        <v>1</v>
      </c>
      <c r="G8" s="19" t="s">
        <v>122</v>
      </c>
      <c r="H8" s="18">
        <v>5</v>
      </c>
      <c r="I8" s="18">
        <v>5</v>
      </c>
      <c r="J8" s="18">
        <v>3</v>
      </c>
      <c r="K8" s="18">
        <v>4</v>
      </c>
    </row>
    <row r="9" spans="1:11" x14ac:dyDescent="0.25">
      <c r="A9" s="16" t="s">
        <v>133</v>
      </c>
      <c r="B9">
        <v>8</v>
      </c>
      <c r="D9" s="16" t="s">
        <v>199</v>
      </c>
      <c r="E9">
        <v>1</v>
      </c>
      <c r="G9" s="19" t="s">
        <v>133</v>
      </c>
      <c r="H9" s="18">
        <v>8</v>
      </c>
      <c r="I9" s="18">
        <v>4</v>
      </c>
      <c r="J9" s="18">
        <v>4</v>
      </c>
      <c r="K9" s="18">
        <v>5</v>
      </c>
    </row>
    <row r="10" spans="1:11" x14ac:dyDescent="0.25">
      <c r="A10" s="16" t="s">
        <v>150</v>
      </c>
      <c r="B10">
        <v>3</v>
      </c>
      <c r="D10" s="16" t="s">
        <v>289</v>
      </c>
      <c r="E10">
        <v>9</v>
      </c>
      <c r="G10" s="19" t="s">
        <v>150</v>
      </c>
      <c r="H10" s="18">
        <v>3</v>
      </c>
      <c r="I10" s="18">
        <v>1</v>
      </c>
      <c r="J10" s="18">
        <v>1</v>
      </c>
      <c r="K10" s="18">
        <v>1</v>
      </c>
    </row>
    <row r="11" spans="1:11" x14ac:dyDescent="0.25">
      <c r="A11" s="16" t="s">
        <v>157</v>
      </c>
      <c r="B11">
        <v>10</v>
      </c>
      <c r="G11" s="19" t="s">
        <v>157</v>
      </c>
      <c r="H11" s="18">
        <v>10</v>
      </c>
      <c r="I11" s="18">
        <v>6</v>
      </c>
      <c r="J11" s="18">
        <v>6</v>
      </c>
      <c r="K11" s="18">
        <v>8</v>
      </c>
    </row>
    <row r="12" spans="1:11" x14ac:dyDescent="0.25">
      <c r="A12" s="16" t="s">
        <v>178</v>
      </c>
      <c r="B12">
        <v>10</v>
      </c>
      <c r="G12" s="19" t="s">
        <v>178</v>
      </c>
      <c r="H12" s="18">
        <v>10</v>
      </c>
      <c r="I12" s="18">
        <v>7</v>
      </c>
      <c r="J12" s="18">
        <v>6</v>
      </c>
      <c r="K12" s="18">
        <v>8</v>
      </c>
    </row>
    <row r="13" spans="1:11" x14ac:dyDescent="0.25">
      <c r="A13" s="16" t="s">
        <v>199</v>
      </c>
      <c r="B13">
        <v>10</v>
      </c>
      <c r="G13" s="19" t="s">
        <v>199</v>
      </c>
      <c r="H13" s="18">
        <v>10</v>
      </c>
      <c r="I13" s="18">
        <v>5</v>
      </c>
      <c r="J13" s="18">
        <v>6</v>
      </c>
      <c r="K13" s="18">
        <v>7</v>
      </c>
    </row>
    <row r="14" spans="1:11" x14ac:dyDescent="0.25">
      <c r="A14" s="16" t="s">
        <v>289</v>
      </c>
      <c r="B14">
        <v>85</v>
      </c>
      <c r="G14" s="19" t="s">
        <v>289</v>
      </c>
      <c r="H14" s="18">
        <v>85</v>
      </c>
      <c r="I14" s="18">
        <v>47</v>
      </c>
      <c r="J14" s="18">
        <v>43</v>
      </c>
      <c r="K14" s="18">
        <v>54</v>
      </c>
    </row>
    <row r="20" spans="1:6" x14ac:dyDescent="0.25">
      <c r="A20" s="21" t="s">
        <v>279</v>
      </c>
      <c r="B20" s="21" t="s">
        <v>290</v>
      </c>
      <c r="C20" s="21" t="s">
        <v>295</v>
      </c>
      <c r="D20" s="21" t="s">
        <v>291</v>
      </c>
      <c r="E20" s="21" t="s">
        <v>293</v>
      </c>
      <c r="F20" s="21" t="s">
        <v>294</v>
      </c>
    </row>
    <row r="21" spans="1:6" x14ac:dyDescent="0.25">
      <c r="A21" s="20" t="s">
        <v>17</v>
      </c>
      <c r="B21" s="20">
        <v>8</v>
      </c>
      <c r="C21" s="20">
        <v>3</v>
      </c>
      <c r="D21" s="20">
        <v>2</v>
      </c>
      <c r="E21" s="20">
        <v>1</v>
      </c>
      <c r="F21" s="20">
        <v>1</v>
      </c>
    </row>
    <row r="22" spans="1:6" x14ac:dyDescent="0.25">
      <c r="A22" s="20" t="s">
        <v>47</v>
      </c>
      <c r="B22" s="20">
        <v>7</v>
      </c>
      <c r="C22" s="20">
        <v>1</v>
      </c>
      <c r="D22" s="20">
        <v>4</v>
      </c>
      <c r="E22" s="20">
        <v>3</v>
      </c>
      <c r="F22" s="20">
        <v>4</v>
      </c>
    </row>
    <row r="23" spans="1:6" x14ac:dyDescent="0.25">
      <c r="A23" s="20" t="s">
        <v>66</v>
      </c>
      <c r="B23" s="20">
        <v>9</v>
      </c>
      <c r="C23" s="20">
        <v>1</v>
      </c>
      <c r="D23" s="20">
        <v>5</v>
      </c>
      <c r="E23" s="20">
        <v>5</v>
      </c>
      <c r="F23" s="20">
        <v>6</v>
      </c>
    </row>
    <row r="24" spans="1:6" x14ac:dyDescent="0.25">
      <c r="A24" s="20" t="s">
        <v>89</v>
      </c>
      <c r="B24" s="20">
        <v>15</v>
      </c>
      <c r="C24" s="20">
        <v>2</v>
      </c>
      <c r="D24" s="20">
        <v>8</v>
      </c>
      <c r="E24" s="20">
        <v>8</v>
      </c>
      <c r="F24" s="20">
        <v>10</v>
      </c>
    </row>
    <row r="25" spans="1:6" x14ac:dyDescent="0.25">
      <c r="A25" s="20" t="s">
        <v>122</v>
      </c>
      <c r="B25" s="20">
        <v>5</v>
      </c>
      <c r="C25" s="20"/>
      <c r="D25" s="20">
        <v>5</v>
      </c>
      <c r="E25" s="20">
        <v>3</v>
      </c>
      <c r="F25" s="20">
        <v>4</v>
      </c>
    </row>
    <row r="26" spans="1:6" x14ac:dyDescent="0.25">
      <c r="A26" s="20" t="s">
        <v>133</v>
      </c>
      <c r="B26" s="20">
        <v>8</v>
      </c>
      <c r="C26" s="20">
        <v>1</v>
      </c>
      <c r="D26" s="20">
        <v>4</v>
      </c>
      <c r="E26" s="20">
        <v>4</v>
      </c>
      <c r="F26" s="20">
        <v>5</v>
      </c>
    </row>
    <row r="27" spans="1:6" x14ac:dyDescent="0.25">
      <c r="A27" s="20" t="s">
        <v>150</v>
      </c>
      <c r="B27" s="20">
        <v>3</v>
      </c>
      <c r="C27" s="20"/>
      <c r="D27" s="20">
        <v>1</v>
      </c>
      <c r="E27" s="20">
        <v>1</v>
      </c>
      <c r="F27" s="20">
        <v>1</v>
      </c>
    </row>
    <row r="28" spans="1:6" x14ac:dyDescent="0.25">
      <c r="A28" s="20" t="s">
        <v>157</v>
      </c>
      <c r="B28" s="20">
        <v>10</v>
      </c>
      <c r="C28" s="20"/>
      <c r="D28" s="20">
        <v>6</v>
      </c>
      <c r="E28" s="20">
        <v>6</v>
      </c>
      <c r="F28" s="20">
        <v>8</v>
      </c>
    </row>
    <row r="29" spans="1:6" x14ac:dyDescent="0.25">
      <c r="A29" s="20" t="s">
        <v>178</v>
      </c>
      <c r="B29" s="20">
        <v>10</v>
      </c>
      <c r="C29" s="20"/>
      <c r="D29" s="20">
        <v>7</v>
      </c>
      <c r="E29" s="20">
        <v>6</v>
      </c>
      <c r="F29" s="20">
        <v>8</v>
      </c>
    </row>
    <row r="30" spans="1:6" x14ac:dyDescent="0.25">
      <c r="A30" s="20" t="s">
        <v>199</v>
      </c>
      <c r="B30" s="20">
        <v>10</v>
      </c>
      <c r="C30" s="20">
        <v>1</v>
      </c>
      <c r="D30" s="20">
        <v>5</v>
      </c>
      <c r="E30" s="20">
        <v>6</v>
      </c>
      <c r="F30" s="20">
        <v>7</v>
      </c>
    </row>
    <row r="31" spans="1:6" x14ac:dyDescent="0.25">
      <c r="A31" s="21" t="s">
        <v>289</v>
      </c>
      <c r="B31" s="21">
        <v>85</v>
      </c>
      <c r="C31" s="21">
        <f>SUM(C21:C30)</f>
        <v>9</v>
      </c>
      <c r="D31" s="21">
        <v>47</v>
      </c>
      <c r="E31" s="21">
        <v>43</v>
      </c>
      <c r="F31" s="2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2"/>
  <sheetViews>
    <sheetView tabSelected="1" zoomScaleNormal="100" workbookViewId="0">
      <pane ySplit="1" topLeftCell="A38" activePane="bottomLeft" state="frozen"/>
      <selection pane="bottomLeft" activeCell="F57" sqref="F57"/>
    </sheetView>
  </sheetViews>
  <sheetFormatPr defaultColWidth="39" defaultRowHeight="16.5" customHeight="1" x14ac:dyDescent="0.2"/>
  <cols>
    <col min="1" max="1" width="23" style="9" bestFit="1" customWidth="1"/>
    <col min="2" max="2" width="18" style="9" customWidth="1"/>
    <col min="3" max="3" width="16" style="9" customWidth="1"/>
    <col min="4" max="4" width="31" style="9" bestFit="1" customWidth="1"/>
    <col min="5" max="5" width="15" style="9" customWidth="1"/>
    <col min="6" max="6" width="25" style="9" customWidth="1"/>
    <col min="7" max="7" width="27" style="9" bestFit="1" customWidth="1"/>
    <col min="8" max="8" width="35" style="9" bestFit="1" customWidth="1"/>
    <col min="9" max="9" width="28" style="9" bestFit="1" customWidth="1"/>
    <col min="10" max="10" width="12" style="9" bestFit="1" customWidth="1"/>
    <col min="11" max="11" width="30" style="9" bestFit="1" customWidth="1"/>
    <col min="12" max="12" width="27" style="9" customWidth="1"/>
    <col min="13" max="13" width="44" style="9" bestFit="1" customWidth="1"/>
    <col min="14" max="15" width="32" style="9" customWidth="1"/>
    <col min="16" max="16" width="27" style="9" customWidth="1"/>
    <col min="17" max="18" width="39" style="9" customWidth="1"/>
    <col min="19" max="16384" width="39" style="9"/>
  </cols>
  <sheetData>
    <row r="1" spans="1:17" s="10" customFormat="1" ht="29.2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ht="16.5" customHeight="1" x14ac:dyDescent="0.2">
      <c r="A2" s="12" t="s">
        <v>17</v>
      </c>
      <c r="B2" s="12">
        <v>1</v>
      </c>
      <c r="C2" s="12">
        <v>8</v>
      </c>
      <c r="D2" s="12">
        <v>4</v>
      </c>
      <c r="E2" s="12">
        <v>1</v>
      </c>
      <c r="F2" s="12">
        <v>1</v>
      </c>
      <c r="G2" s="12" t="s">
        <v>18</v>
      </c>
      <c r="H2" s="12" t="s">
        <v>19</v>
      </c>
      <c r="I2" s="12" t="s">
        <v>20</v>
      </c>
      <c r="J2" s="12" t="s">
        <v>21</v>
      </c>
      <c r="K2" s="12" t="s">
        <v>22</v>
      </c>
      <c r="L2" s="13" t="s">
        <v>23</v>
      </c>
      <c r="M2" s="12" t="s">
        <v>24</v>
      </c>
      <c r="N2" s="13" t="s">
        <v>23</v>
      </c>
      <c r="O2" s="13" t="s">
        <v>23</v>
      </c>
      <c r="P2" s="12">
        <v>1</v>
      </c>
      <c r="Q2" s="12" t="s">
        <v>25</v>
      </c>
    </row>
    <row r="3" spans="1:17" ht="16.5" customHeight="1" x14ac:dyDescent="0.2">
      <c r="A3" s="12" t="s">
        <v>17</v>
      </c>
      <c r="B3" s="12">
        <v>2</v>
      </c>
      <c r="C3" s="12">
        <v>8</v>
      </c>
      <c r="D3" s="12">
        <v>4</v>
      </c>
      <c r="E3" s="12"/>
      <c r="F3" s="12"/>
      <c r="G3" s="12" t="s">
        <v>26</v>
      </c>
      <c r="H3" s="12" t="s">
        <v>27</v>
      </c>
      <c r="I3" s="12" t="s">
        <v>20</v>
      </c>
      <c r="J3" s="12" t="s">
        <v>21</v>
      </c>
      <c r="K3" s="12" t="s">
        <v>28</v>
      </c>
      <c r="L3" s="13" t="s">
        <v>23</v>
      </c>
      <c r="M3" s="12" t="s">
        <v>24</v>
      </c>
      <c r="N3" s="14" t="s">
        <v>29</v>
      </c>
      <c r="O3" s="14" t="s">
        <v>29</v>
      </c>
      <c r="P3" s="12">
        <v>1</v>
      </c>
      <c r="Q3" s="12"/>
    </row>
    <row r="4" spans="1:17" ht="16.5" customHeight="1" x14ac:dyDescent="0.2">
      <c r="A4" s="12" t="s">
        <v>17</v>
      </c>
      <c r="B4" s="12">
        <v>3</v>
      </c>
      <c r="C4" s="12">
        <v>8</v>
      </c>
      <c r="D4" s="12">
        <v>4</v>
      </c>
      <c r="E4" s="12"/>
      <c r="F4" s="12"/>
      <c r="G4" s="12" t="s">
        <v>30</v>
      </c>
      <c r="H4" s="12" t="s">
        <v>31</v>
      </c>
      <c r="I4" s="12" t="s">
        <v>20</v>
      </c>
      <c r="J4" s="12" t="s">
        <v>21</v>
      </c>
      <c r="K4" s="12" t="s">
        <v>32</v>
      </c>
      <c r="L4" s="13" t="s">
        <v>23</v>
      </c>
      <c r="M4" s="12" t="s">
        <v>24</v>
      </c>
      <c r="N4" s="14" t="s">
        <v>29</v>
      </c>
      <c r="O4" s="14" t="s">
        <v>29</v>
      </c>
      <c r="P4" s="12">
        <v>0</v>
      </c>
      <c r="Q4" s="12"/>
    </row>
    <row r="5" spans="1:17" ht="16.5" customHeight="1" x14ac:dyDescent="0.2">
      <c r="A5" s="12" t="s">
        <v>17</v>
      </c>
      <c r="B5" s="12">
        <v>4</v>
      </c>
      <c r="C5" s="12">
        <v>8</v>
      </c>
      <c r="D5" s="12">
        <v>4</v>
      </c>
      <c r="E5" s="12"/>
      <c r="F5" s="12"/>
      <c r="G5" s="12" t="s">
        <v>33</v>
      </c>
      <c r="H5" s="12" t="s">
        <v>34</v>
      </c>
      <c r="I5" s="12" t="s">
        <v>20</v>
      </c>
      <c r="J5" s="12" t="s">
        <v>21</v>
      </c>
      <c r="K5" s="12" t="s">
        <v>35</v>
      </c>
      <c r="L5" s="13" t="s">
        <v>23</v>
      </c>
      <c r="M5" s="12" t="s">
        <v>24</v>
      </c>
      <c r="N5" s="14" t="s">
        <v>29</v>
      </c>
      <c r="O5" s="14" t="s">
        <v>29</v>
      </c>
      <c r="P5" s="12">
        <v>0</v>
      </c>
      <c r="Q5" s="12"/>
    </row>
    <row r="6" spans="1:17" ht="16.5" customHeight="1" x14ac:dyDescent="0.2">
      <c r="A6" s="12" t="s">
        <v>17</v>
      </c>
      <c r="B6" s="12">
        <v>5</v>
      </c>
      <c r="C6" s="12">
        <v>8</v>
      </c>
      <c r="D6" s="12">
        <v>4</v>
      </c>
      <c r="E6" s="12"/>
      <c r="F6" s="12"/>
      <c r="G6" s="12" t="s">
        <v>17</v>
      </c>
      <c r="H6" s="12" t="s">
        <v>36</v>
      </c>
      <c r="I6" s="12" t="s">
        <v>20</v>
      </c>
      <c r="J6" s="12" t="s">
        <v>37</v>
      </c>
      <c r="K6" s="12" t="s">
        <v>38</v>
      </c>
      <c r="L6" s="14" t="s">
        <v>29</v>
      </c>
      <c r="M6" s="12" t="s">
        <v>39</v>
      </c>
      <c r="N6" s="14" t="s">
        <v>29</v>
      </c>
      <c r="O6" s="14" t="s">
        <v>29</v>
      </c>
      <c r="P6" s="12">
        <v>0</v>
      </c>
      <c r="Q6" s="12"/>
    </row>
    <row r="7" spans="1:17" ht="16.5" customHeight="1" x14ac:dyDescent="0.2">
      <c r="A7" s="12" t="s">
        <v>17</v>
      </c>
      <c r="B7" s="12">
        <v>6</v>
      </c>
      <c r="C7" s="12">
        <v>8</v>
      </c>
      <c r="D7" s="12">
        <v>4</v>
      </c>
      <c r="E7" s="12"/>
      <c r="F7" s="12"/>
      <c r="G7" s="12" t="s">
        <v>40</v>
      </c>
      <c r="H7" s="12" t="s">
        <v>41</v>
      </c>
      <c r="I7" s="12" t="s">
        <v>20</v>
      </c>
      <c r="J7" s="12" t="s">
        <v>21</v>
      </c>
      <c r="K7" s="12" t="s">
        <v>42</v>
      </c>
      <c r="L7" s="14" t="s">
        <v>29</v>
      </c>
      <c r="M7" s="12" t="s">
        <v>42</v>
      </c>
      <c r="N7" s="14" t="s">
        <v>29</v>
      </c>
      <c r="O7" s="14" t="s">
        <v>29</v>
      </c>
      <c r="P7" s="12">
        <v>0</v>
      </c>
      <c r="Q7" s="12"/>
    </row>
    <row r="8" spans="1:17" ht="16.5" customHeight="1" x14ac:dyDescent="0.2">
      <c r="A8" s="12" t="s">
        <v>17</v>
      </c>
      <c r="B8" s="12">
        <v>7</v>
      </c>
      <c r="C8" s="12">
        <v>8</v>
      </c>
      <c r="D8" s="12">
        <v>4</v>
      </c>
      <c r="E8" s="12"/>
      <c r="F8" s="12"/>
      <c r="G8" s="12" t="s">
        <v>43</v>
      </c>
      <c r="H8" s="12" t="s">
        <v>44</v>
      </c>
      <c r="I8" s="12" t="s">
        <v>20</v>
      </c>
      <c r="J8" s="12" t="s">
        <v>21</v>
      </c>
      <c r="K8" s="12" t="s">
        <v>42</v>
      </c>
      <c r="L8" s="14" t="s">
        <v>29</v>
      </c>
      <c r="M8" s="12" t="s">
        <v>42</v>
      </c>
      <c r="N8" s="14" t="s">
        <v>29</v>
      </c>
      <c r="O8" s="14" t="s">
        <v>29</v>
      </c>
      <c r="P8" s="12">
        <v>0</v>
      </c>
      <c r="Q8" s="12"/>
    </row>
    <row r="9" spans="1:17" ht="16.5" customHeight="1" x14ac:dyDescent="0.2">
      <c r="A9" s="12" t="s">
        <v>17</v>
      </c>
      <c r="B9" s="12">
        <v>8</v>
      </c>
      <c r="C9" s="12">
        <v>8</v>
      </c>
      <c r="D9" s="12">
        <v>4</v>
      </c>
      <c r="E9" s="12"/>
      <c r="F9" s="12"/>
      <c r="G9" s="12" t="s">
        <v>45</v>
      </c>
      <c r="H9" s="12" t="s">
        <v>46</v>
      </c>
      <c r="I9" s="12" t="s">
        <v>20</v>
      </c>
      <c r="J9" s="12" t="s">
        <v>21</v>
      </c>
      <c r="K9" s="12" t="s">
        <v>42</v>
      </c>
      <c r="L9" s="14" t="s">
        <v>29</v>
      </c>
      <c r="M9" s="12" t="s">
        <v>42</v>
      </c>
      <c r="N9" s="14" t="s">
        <v>29</v>
      </c>
      <c r="O9" s="14" t="s">
        <v>29</v>
      </c>
      <c r="P9" s="12">
        <v>0</v>
      </c>
      <c r="Q9" s="12"/>
    </row>
    <row r="10" spans="1:17" ht="16.5" customHeight="1" x14ac:dyDescent="0.2">
      <c r="A10" s="12" t="s">
        <v>47</v>
      </c>
      <c r="B10" s="12">
        <v>1</v>
      </c>
      <c r="C10" s="12">
        <v>7</v>
      </c>
      <c r="D10" s="12">
        <v>5</v>
      </c>
      <c r="E10" s="12">
        <v>3</v>
      </c>
      <c r="F10" s="12">
        <v>4</v>
      </c>
      <c r="G10" s="12" t="s">
        <v>48</v>
      </c>
      <c r="H10" s="12" t="s">
        <v>49</v>
      </c>
      <c r="I10" s="12" t="s">
        <v>50</v>
      </c>
      <c r="J10" s="12" t="s">
        <v>21</v>
      </c>
      <c r="K10" s="12" t="s">
        <v>51</v>
      </c>
      <c r="L10" s="13" t="s">
        <v>23</v>
      </c>
      <c r="M10" s="12" t="s">
        <v>24</v>
      </c>
      <c r="N10" s="13" t="s">
        <v>23</v>
      </c>
      <c r="O10" s="13" t="s">
        <v>23</v>
      </c>
      <c r="P10" s="12">
        <v>1</v>
      </c>
      <c r="Q10" s="12"/>
    </row>
    <row r="11" spans="1:17" ht="16.5" customHeight="1" x14ac:dyDescent="0.2">
      <c r="A11" s="12" t="s">
        <v>47</v>
      </c>
      <c r="B11" s="12">
        <v>2</v>
      </c>
      <c r="C11" s="12">
        <v>7</v>
      </c>
      <c r="D11" s="12">
        <v>5</v>
      </c>
      <c r="E11" s="12"/>
      <c r="F11" s="12"/>
      <c r="G11" s="12" t="s">
        <v>52</v>
      </c>
      <c r="H11" s="12" t="s">
        <v>53</v>
      </c>
      <c r="I11" s="12" t="s">
        <v>50</v>
      </c>
      <c r="J11" s="12" t="s">
        <v>21</v>
      </c>
      <c r="K11" s="12" t="s">
        <v>35</v>
      </c>
      <c r="L11" s="13" t="s">
        <v>23</v>
      </c>
      <c r="M11" s="12" t="s">
        <v>24</v>
      </c>
      <c r="N11" s="13" t="s">
        <v>23</v>
      </c>
      <c r="O11" s="13" t="s">
        <v>23</v>
      </c>
      <c r="P11" s="12">
        <v>1</v>
      </c>
      <c r="Q11" s="12"/>
    </row>
    <row r="12" spans="1:17" ht="16.5" customHeight="1" x14ac:dyDescent="0.2">
      <c r="A12" s="12" t="s">
        <v>47</v>
      </c>
      <c r="B12" s="12">
        <v>3</v>
      </c>
      <c r="C12" s="12">
        <v>7</v>
      </c>
      <c r="D12" s="12">
        <v>5</v>
      </c>
      <c r="E12" s="12"/>
      <c r="F12" s="12"/>
      <c r="G12" s="12" t="s">
        <v>54</v>
      </c>
      <c r="H12" s="12" t="s">
        <v>55</v>
      </c>
      <c r="I12" s="12" t="s">
        <v>50</v>
      </c>
      <c r="J12" s="12" t="s">
        <v>21</v>
      </c>
      <c r="K12" s="12" t="s">
        <v>51</v>
      </c>
      <c r="L12" s="13" t="s">
        <v>23</v>
      </c>
      <c r="M12" s="12" t="s">
        <v>24</v>
      </c>
      <c r="N12" s="13" t="s">
        <v>23</v>
      </c>
      <c r="O12" s="13" t="s">
        <v>23</v>
      </c>
      <c r="P12" s="12">
        <v>1</v>
      </c>
      <c r="Q12" s="12"/>
    </row>
    <row r="13" spans="1:17" ht="16.5" customHeight="1" x14ac:dyDescent="0.2">
      <c r="A13" s="12" t="s">
        <v>47</v>
      </c>
      <c r="B13" s="12">
        <v>4</v>
      </c>
      <c r="C13" s="12">
        <v>7</v>
      </c>
      <c r="D13" s="12">
        <v>5</v>
      </c>
      <c r="E13" s="12"/>
      <c r="F13" s="12"/>
      <c r="G13" s="12" t="s">
        <v>56</v>
      </c>
      <c r="H13" s="12" t="s">
        <v>57</v>
      </c>
      <c r="I13" s="12" t="s">
        <v>50</v>
      </c>
      <c r="J13" s="12" t="s">
        <v>21</v>
      </c>
      <c r="K13" s="12" t="s">
        <v>35</v>
      </c>
      <c r="L13" s="13" t="s">
        <v>23</v>
      </c>
      <c r="M13" s="12" t="s">
        <v>24</v>
      </c>
      <c r="N13" s="14" t="s">
        <v>29</v>
      </c>
      <c r="O13" s="13" t="s">
        <v>23</v>
      </c>
      <c r="P13" s="12">
        <v>1</v>
      </c>
      <c r="Q13" s="12"/>
    </row>
    <row r="14" spans="1:17" ht="16.5" customHeight="1" x14ac:dyDescent="0.2">
      <c r="A14" s="12" t="s">
        <v>47</v>
      </c>
      <c r="B14" s="12">
        <v>5</v>
      </c>
      <c r="C14" s="12">
        <v>7</v>
      </c>
      <c r="D14" s="12">
        <v>5</v>
      </c>
      <c r="E14" s="12"/>
      <c r="F14" s="12"/>
      <c r="G14" s="12" t="s">
        <v>58</v>
      </c>
      <c r="H14" s="12" t="s">
        <v>59</v>
      </c>
      <c r="I14" s="12" t="s">
        <v>50</v>
      </c>
      <c r="J14" s="12" t="s">
        <v>21</v>
      </c>
      <c r="K14" s="12" t="s">
        <v>60</v>
      </c>
      <c r="L14" s="13" t="s">
        <v>23</v>
      </c>
      <c r="M14" s="12" t="s">
        <v>24</v>
      </c>
      <c r="N14" s="14" t="s">
        <v>29</v>
      </c>
      <c r="O14" s="14" t="s">
        <v>29</v>
      </c>
      <c r="P14" s="12">
        <v>0</v>
      </c>
      <c r="Q14" s="12"/>
    </row>
    <row r="15" spans="1:17" ht="16.5" customHeight="1" x14ac:dyDescent="0.2">
      <c r="A15" s="12" t="s">
        <v>47</v>
      </c>
      <c r="B15" s="12">
        <v>6</v>
      </c>
      <c r="C15" s="12">
        <v>7</v>
      </c>
      <c r="D15" s="12">
        <v>5</v>
      </c>
      <c r="E15" s="12"/>
      <c r="F15" s="12"/>
      <c r="G15" s="12" t="s">
        <v>61</v>
      </c>
      <c r="H15" s="12" t="s">
        <v>62</v>
      </c>
      <c r="I15" s="12" t="s">
        <v>50</v>
      </c>
      <c r="J15" s="12" t="s">
        <v>21</v>
      </c>
      <c r="K15" s="12" t="s">
        <v>42</v>
      </c>
      <c r="L15" s="14" t="s">
        <v>29</v>
      </c>
      <c r="M15" s="12" t="s">
        <v>42</v>
      </c>
      <c r="N15" s="14" t="s">
        <v>29</v>
      </c>
      <c r="O15" s="14" t="s">
        <v>29</v>
      </c>
      <c r="P15" s="12">
        <v>0</v>
      </c>
      <c r="Q15" s="12"/>
    </row>
    <row r="16" spans="1:17" ht="16.5" customHeight="1" x14ac:dyDescent="0.2">
      <c r="A16" s="12" t="s">
        <v>47</v>
      </c>
      <c r="B16" s="12">
        <v>7</v>
      </c>
      <c r="C16" s="12">
        <v>7</v>
      </c>
      <c r="D16" s="12">
        <v>5</v>
      </c>
      <c r="E16" s="12"/>
      <c r="F16" s="12"/>
      <c r="G16" s="12" t="s">
        <v>63</v>
      </c>
      <c r="H16" s="12" t="s">
        <v>64</v>
      </c>
      <c r="I16" s="12" t="s">
        <v>50</v>
      </c>
      <c r="J16" s="12" t="s">
        <v>65</v>
      </c>
      <c r="K16" s="12" t="s">
        <v>65</v>
      </c>
      <c r="L16" s="14" t="s">
        <v>29</v>
      </c>
      <c r="M16" s="12" t="s">
        <v>39</v>
      </c>
      <c r="N16" s="14" t="s">
        <v>29</v>
      </c>
      <c r="O16" s="14" t="s">
        <v>29</v>
      </c>
      <c r="P16" s="12">
        <v>0</v>
      </c>
      <c r="Q16" s="12"/>
    </row>
    <row r="17" spans="1:17" ht="16.5" customHeight="1" x14ac:dyDescent="0.2">
      <c r="A17" s="12" t="s">
        <v>66</v>
      </c>
      <c r="B17" s="12">
        <v>1</v>
      </c>
      <c r="C17" s="12">
        <v>9</v>
      </c>
      <c r="D17" s="12">
        <v>7</v>
      </c>
      <c r="E17" s="12">
        <v>5</v>
      </c>
      <c r="F17" s="12">
        <v>6</v>
      </c>
      <c r="G17" s="12" t="s">
        <v>67</v>
      </c>
      <c r="H17" s="12" t="s">
        <v>68</v>
      </c>
      <c r="I17" s="12" t="s">
        <v>69</v>
      </c>
      <c r="J17" s="12" t="s">
        <v>21</v>
      </c>
      <c r="K17" s="12" t="s">
        <v>70</v>
      </c>
      <c r="L17" s="13" t="s">
        <v>23</v>
      </c>
      <c r="M17" s="12" t="s">
        <v>24</v>
      </c>
      <c r="N17" s="13" t="s">
        <v>23</v>
      </c>
      <c r="O17" s="13" t="s">
        <v>23</v>
      </c>
      <c r="P17" s="12">
        <v>1</v>
      </c>
      <c r="Q17" s="12"/>
    </row>
    <row r="18" spans="1:17" ht="16.5" customHeight="1" x14ac:dyDescent="0.2">
      <c r="A18" s="12" t="s">
        <v>66</v>
      </c>
      <c r="B18" s="12">
        <v>2</v>
      </c>
      <c r="C18" s="12">
        <v>9</v>
      </c>
      <c r="D18" s="12">
        <v>7</v>
      </c>
      <c r="E18" s="12"/>
      <c r="F18" s="12"/>
      <c r="G18" s="12" t="s">
        <v>71</v>
      </c>
      <c r="H18" s="12" t="s">
        <v>72</v>
      </c>
      <c r="I18" s="12" t="s">
        <v>69</v>
      </c>
      <c r="J18" s="12" t="s">
        <v>21</v>
      </c>
      <c r="K18" s="12" t="s">
        <v>73</v>
      </c>
      <c r="L18" s="13" t="s">
        <v>23</v>
      </c>
      <c r="M18" s="12" t="s">
        <v>24</v>
      </c>
      <c r="N18" s="13" t="s">
        <v>23</v>
      </c>
      <c r="O18" s="13" t="s">
        <v>23</v>
      </c>
      <c r="P18" s="12">
        <v>1</v>
      </c>
      <c r="Q18" s="12"/>
    </row>
    <row r="19" spans="1:17" ht="16.5" customHeight="1" x14ac:dyDescent="0.2">
      <c r="A19" s="12" t="s">
        <v>66</v>
      </c>
      <c r="B19" s="12">
        <v>3</v>
      </c>
      <c r="C19" s="12">
        <v>9</v>
      </c>
      <c r="D19" s="12">
        <v>7</v>
      </c>
      <c r="E19" s="12"/>
      <c r="F19" s="12"/>
      <c r="G19" s="12" t="s">
        <v>74</v>
      </c>
      <c r="H19" s="12" t="s">
        <v>75</v>
      </c>
      <c r="I19" s="12" t="s">
        <v>69</v>
      </c>
      <c r="J19" s="12" t="s">
        <v>21</v>
      </c>
      <c r="K19" s="12" t="s">
        <v>76</v>
      </c>
      <c r="L19" s="13" t="s">
        <v>23</v>
      </c>
      <c r="M19" s="12" t="s">
        <v>24</v>
      </c>
      <c r="N19" s="13" t="s">
        <v>23</v>
      </c>
      <c r="O19" s="13" t="s">
        <v>23</v>
      </c>
      <c r="P19" s="12">
        <v>1</v>
      </c>
      <c r="Q19" s="12"/>
    </row>
    <row r="20" spans="1:17" ht="16.5" customHeight="1" x14ac:dyDescent="0.2">
      <c r="A20" s="12" t="s">
        <v>66</v>
      </c>
      <c r="B20" s="12">
        <v>4</v>
      </c>
      <c r="C20" s="12">
        <v>9</v>
      </c>
      <c r="D20" s="12">
        <v>7</v>
      </c>
      <c r="E20" s="12"/>
      <c r="F20" s="12"/>
      <c r="G20" s="12" t="s">
        <v>77</v>
      </c>
      <c r="H20" s="12" t="s">
        <v>78</v>
      </c>
      <c r="I20" s="12" t="s">
        <v>69</v>
      </c>
      <c r="J20" s="12" t="s">
        <v>21</v>
      </c>
      <c r="K20" s="12" t="s">
        <v>76</v>
      </c>
      <c r="L20" s="13" t="s">
        <v>23</v>
      </c>
      <c r="M20" s="12" t="s">
        <v>24</v>
      </c>
      <c r="N20" s="13" t="s">
        <v>23</v>
      </c>
      <c r="O20" s="13" t="s">
        <v>23</v>
      </c>
      <c r="P20" s="12">
        <v>1</v>
      </c>
      <c r="Q20" s="12"/>
    </row>
    <row r="21" spans="1:17" ht="16.5" customHeight="1" x14ac:dyDescent="0.2">
      <c r="A21" s="12" t="s">
        <v>66</v>
      </c>
      <c r="B21" s="12">
        <v>5</v>
      </c>
      <c r="C21" s="12">
        <v>9</v>
      </c>
      <c r="D21" s="12">
        <v>7</v>
      </c>
      <c r="E21" s="12"/>
      <c r="F21" s="12"/>
      <c r="G21" s="12" t="s">
        <v>79</v>
      </c>
      <c r="H21" s="12" t="s">
        <v>80</v>
      </c>
      <c r="I21" s="12" t="s">
        <v>69</v>
      </c>
      <c r="J21" s="12" t="s">
        <v>21</v>
      </c>
      <c r="K21" s="12" t="s">
        <v>76</v>
      </c>
      <c r="L21" s="13" t="s">
        <v>23</v>
      </c>
      <c r="M21" s="12" t="s">
        <v>24</v>
      </c>
      <c r="N21" s="14" t="s">
        <v>29</v>
      </c>
      <c r="O21" s="13" t="s">
        <v>23</v>
      </c>
      <c r="P21" s="12">
        <v>0</v>
      </c>
      <c r="Q21" s="12"/>
    </row>
    <row r="22" spans="1:17" ht="16.5" customHeight="1" x14ac:dyDescent="0.2">
      <c r="A22" s="12" t="s">
        <v>66</v>
      </c>
      <c r="B22" s="12">
        <v>6</v>
      </c>
      <c r="C22" s="12">
        <v>9</v>
      </c>
      <c r="D22" s="12">
        <v>7</v>
      </c>
      <c r="E22" s="12"/>
      <c r="F22" s="12"/>
      <c r="G22" s="12" t="s">
        <v>81</v>
      </c>
      <c r="H22" s="12" t="s">
        <v>82</v>
      </c>
      <c r="I22" s="12" t="s">
        <v>69</v>
      </c>
      <c r="J22" s="12" t="s">
        <v>21</v>
      </c>
      <c r="K22" s="12" t="s">
        <v>73</v>
      </c>
      <c r="L22" s="13" t="s">
        <v>23</v>
      </c>
      <c r="M22" s="12" t="s">
        <v>24</v>
      </c>
      <c r="N22" s="13" t="s">
        <v>23</v>
      </c>
      <c r="O22" s="13" t="s">
        <v>23</v>
      </c>
      <c r="P22" s="12">
        <v>1</v>
      </c>
      <c r="Q22" s="12"/>
    </row>
    <row r="23" spans="1:17" ht="16.5" customHeight="1" x14ac:dyDescent="0.2">
      <c r="A23" s="12" t="s">
        <v>66</v>
      </c>
      <c r="B23" s="12">
        <v>7</v>
      </c>
      <c r="C23" s="12">
        <v>9</v>
      </c>
      <c r="D23" s="12">
        <v>7</v>
      </c>
      <c r="E23" s="12"/>
      <c r="F23" s="12"/>
      <c r="G23" s="12" t="s">
        <v>83</v>
      </c>
      <c r="H23" s="12" t="s">
        <v>84</v>
      </c>
      <c r="I23" s="12" t="s">
        <v>69</v>
      </c>
      <c r="J23" s="12" t="s">
        <v>21</v>
      </c>
      <c r="K23" s="12" t="s">
        <v>76</v>
      </c>
      <c r="L23" s="13" t="s">
        <v>23</v>
      </c>
      <c r="M23" s="12" t="s">
        <v>24</v>
      </c>
      <c r="N23" s="14" t="s">
        <v>29</v>
      </c>
      <c r="O23" s="14" t="s">
        <v>29</v>
      </c>
      <c r="P23" s="12">
        <v>0</v>
      </c>
      <c r="Q23" s="12"/>
    </row>
    <row r="24" spans="1:17" ht="16.5" customHeight="1" x14ac:dyDescent="0.2">
      <c r="A24" s="12" t="s">
        <v>66</v>
      </c>
      <c r="B24" s="12">
        <v>8</v>
      </c>
      <c r="C24" s="12">
        <v>9</v>
      </c>
      <c r="D24" s="12">
        <v>7</v>
      </c>
      <c r="E24" s="12"/>
      <c r="F24" s="12"/>
      <c r="G24" s="12" t="s">
        <v>66</v>
      </c>
      <c r="H24" s="12" t="s">
        <v>85</v>
      </c>
      <c r="I24" s="12" t="s">
        <v>69</v>
      </c>
      <c r="J24" s="12" t="s">
        <v>37</v>
      </c>
      <c r="K24" s="12" t="s">
        <v>86</v>
      </c>
      <c r="L24" s="14" t="s">
        <v>29</v>
      </c>
      <c r="M24" s="12" t="s">
        <v>39</v>
      </c>
      <c r="N24" s="14" t="s">
        <v>29</v>
      </c>
      <c r="O24" s="14" t="s">
        <v>29</v>
      </c>
      <c r="P24" s="12">
        <v>0</v>
      </c>
      <c r="Q24" s="12"/>
    </row>
    <row r="25" spans="1:17" ht="16.5" customHeight="1" x14ac:dyDescent="0.2">
      <c r="A25" s="12" t="s">
        <v>66</v>
      </c>
      <c r="B25" s="12">
        <v>9</v>
      </c>
      <c r="C25" s="12">
        <v>9</v>
      </c>
      <c r="D25" s="12">
        <v>7</v>
      </c>
      <c r="E25" s="12"/>
      <c r="F25" s="12"/>
      <c r="G25" s="12" t="s">
        <v>87</v>
      </c>
      <c r="H25" s="12" t="s">
        <v>88</v>
      </c>
      <c r="I25" s="12" t="s">
        <v>69</v>
      </c>
      <c r="J25" s="12" t="s">
        <v>21</v>
      </c>
      <c r="K25" s="12" t="s">
        <v>42</v>
      </c>
      <c r="L25" s="14" t="s">
        <v>29</v>
      </c>
      <c r="M25" s="12" t="s">
        <v>42</v>
      </c>
      <c r="N25" s="14" t="s">
        <v>29</v>
      </c>
      <c r="O25" s="14" t="s">
        <v>29</v>
      </c>
      <c r="P25" s="12">
        <v>0</v>
      </c>
      <c r="Q25" s="12"/>
    </row>
    <row r="26" spans="1:17" ht="16.5" customHeight="1" x14ac:dyDescent="0.2">
      <c r="A26" s="12" t="s">
        <v>89</v>
      </c>
      <c r="B26" s="12">
        <v>1</v>
      </c>
      <c r="C26" s="12">
        <v>15</v>
      </c>
      <c r="D26" s="12">
        <v>12</v>
      </c>
      <c r="E26" s="12">
        <v>8</v>
      </c>
      <c r="F26" s="12">
        <v>10</v>
      </c>
      <c r="G26" s="12" t="s">
        <v>90</v>
      </c>
      <c r="H26" s="12" t="s">
        <v>91</v>
      </c>
      <c r="I26" s="12" t="s">
        <v>92</v>
      </c>
      <c r="J26" s="12" t="s">
        <v>21</v>
      </c>
      <c r="K26" s="12" t="s">
        <v>93</v>
      </c>
      <c r="L26" s="13" t="s">
        <v>23</v>
      </c>
      <c r="M26" s="12" t="s">
        <v>24</v>
      </c>
      <c r="N26" s="13" t="s">
        <v>23</v>
      </c>
      <c r="O26" s="13" t="s">
        <v>23</v>
      </c>
      <c r="P26" s="12">
        <v>1</v>
      </c>
      <c r="Q26" s="12"/>
    </row>
    <row r="27" spans="1:17" ht="16.5" customHeight="1" x14ac:dyDescent="0.2">
      <c r="A27" s="12" t="s">
        <v>89</v>
      </c>
      <c r="B27" s="12">
        <v>2</v>
      </c>
      <c r="C27" s="12">
        <v>15</v>
      </c>
      <c r="D27" s="12">
        <v>12</v>
      </c>
      <c r="E27" s="12"/>
      <c r="F27" s="12"/>
      <c r="G27" s="12" t="s">
        <v>94</v>
      </c>
      <c r="H27" s="12" t="s">
        <v>95</v>
      </c>
      <c r="I27" s="12" t="s">
        <v>92</v>
      </c>
      <c r="J27" s="12" t="s">
        <v>21</v>
      </c>
      <c r="K27" s="12" t="s">
        <v>73</v>
      </c>
      <c r="L27" s="13" t="s">
        <v>23</v>
      </c>
      <c r="M27" s="12" t="s">
        <v>24</v>
      </c>
      <c r="N27" s="13" t="s">
        <v>23</v>
      </c>
      <c r="O27" s="13" t="s">
        <v>23</v>
      </c>
      <c r="P27" s="12">
        <v>1</v>
      </c>
      <c r="Q27" s="12"/>
    </row>
    <row r="28" spans="1:17" ht="16.5" customHeight="1" x14ac:dyDescent="0.2">
      <c r="A28" s="12" t="s">
        <v>89</v>
      </c>
      <c r="B28" s="12">
        <v>3</v>
      </c>
      <c r="C28" s="12">
        <v>15</v>
      </c>
      <c r="D28" s="12">
        <v>12</v>
      </c>
      <c r="E28" s="12"/>
      <c r="F28" s="12"/>
      <c r="G28" s="12" t="s">
        <v>96</v>
      </c>
      <c r="H28" s="12" t="s">
        <v>97</v>
      </c>
      <c r="I28" s="12" t="s">
        <v>92</v>
      </c>
      <c r="J28" s="12" t="s">
        <v>21</v>
      </c>
      <c r="K28" s="12" t="s">
        <v>76</v>
      </c>
      <c r="L28" s="13" t="s">
        <v>23</v>
      </c>
      <c r="M28" s="12" t="s">
        <v>24</v>
      </c>
      <c r="N28" s="13" t="s">
        <v>23</v>
      </c>
      <c r="O28" s="13" t="s">
        <v>23</v>
      </c>
      <c r="P28" s="12">
        <v>1</v>
      </c>
      <c r="Q28" s="12" t="s">
        <v>98</v>
      </c>
    </row>
    <row r="29" spans="1:17" ht="16.5" customHeight="1" x14ac:dyDescent="0.2">
      <c r="A29" s="12" t="s">
        <v>89</v>
      </c>
      <c r="B29" s="12">
        <v>4</v>
      </c>
      <c r="C29" s="12">
        <v>15</v>
      </c>
      <c r="D29" s="12">
        <v>12</v>
      </c>
      <c r="E29" s="12"/>
      <c r="F29" s="12"/>
      <c r="G29" s="12" t="s">
        <v>99</v>
      </c>
      <c r="H29" s="12" t="s">
        <v>100</v>
      </c>
      <c r="I29" s="12" t="s">
        <v>92</v>
      </c>
      <c r="J29" s="12" t="s">
        <v>21</v>
      </c>
      <c r="K29" s="12" t="s">
        <v>35</v>
      </c>
      <c r="L29" s="13" t="s">
        <v>23</v>
      </c>
      <c r="M29" s="12" t="s">
        <v>24</v>
      </c>
      <c r="N29" s="13" t="s">
        <v>23</v>
      </c>
      <c r="O29" s="13" t="s">
        <v>23</v>
      </c>
      <c r="P29" s="12">
        <v>1</v>
      </c>
      <c r="Q29" s="12"/>
    </row>
    <row r="30" spans="1:17" ht="16.5" customHeight="1" x14ac:dyDescent="0.2">
      <c r="A30" s="12" t="s">
        <v>89</v>
      </c>
      <c r="B30" s="12">
        <v>5</v>
      </c>
      <c r="C30" s="12">
        <v>15</v>
      </c>
      <c r="D30" s="12">
        <v>12</v>
      </c>
      <c r="E30" s="12"/>
      <c r="F30" s="12"/>
      <c r="G30" s="12" t="s">
        <v>101</v>
      </c>
      <c r="H30" s="12" t="s">
        <v>102</v>
      </c>
      <c r="I30" s="12" t="s">
        <v>92</v>
      </c>
      <c r="J30" s="12" t="s">
        <v>21</v>
      </c>
      <c r="K30" s="12" t="s">
        <v>93</v>
      </c>
      <c r="L30" s="13" t="s">
        <v>23</v>
      </c>
      <c r="M30" s="12" t="s">
        <v>24</v>
      </c>
      <c r="N30" s="14" t="s">
        <v>29</v>
      </c>
      <c r="O30" s="13" t="s">
        <v>23</v>
      </c>
      <c r="P30" s="12">
        <v>0</v>
      </c>
      <c r="Q30" s="12"/>
    </row>
    <row r="31" spans="1:17" ht="16.5" customHeight="1" x14ac:dyDescent="0.2">
      <c r="A31" s="12" t="s">
        <v>89</v>
      </c>
      <c r="B31" s="12">
        <v>6</v>
      </c>
      <c r="C31" s="12">
        <v>15</v>
      </c>
      <c r="D31" s="12">
        <v>12</v>
      </c>
      <c r="E31" s="12"/>
      <c r="F31" s="12"/>
      <c r="G31" s="12" t="s">
        <v>103</v>
      </c>
      <c r="H31" s="12" t="s">
        <v>104</v>
      </c>
      <c r="I31" s="12" t="s">
        <v>92</v>
      </c>
      <c r="J31" s="12" t="s">
        <v>21</v>
      </c>
      <c r="K31" s="12" t="s">
        <v>76</v>
      </c>
      <c r="L31" s="13" t="s">
        <v>23</v>
      </c>
      <c r="M31" s="12" t="s">
        <v>24</v>
      </c>
      <c r="N31" s="13" t="s">
        <v>23</v>
      </c>
      <c r="O31" s="13" t="s">
        <v>23</v>
      </c>
      <c r="P31" s="12">
        <v>1</v>
      </c>
      <c r="Q31" s="12"/>
    </row>
    <row r="32" spans="1:17" ht="16.5" customHeight="1" x14ac:dyDescent="0.2">
      <c r="A32" s="12" t="s">
        <v>89</v>
      </c>
      <c r="B32" s="12">
        <v>7</v>
      </c>
      <c r="C32" s="12">
        <v>15</v>
      </c>
      <c r="D32" s="12">
        <v>12</v>
      </c>
      <c r="E32" s="12"/>
      <c r="F32" s="12"/>
      <c r="G32" s="12" t="s">
        <v>105</v>
      </c>
      <c r="H32" s="12" t="s">
        <v>106</v>
      </c>
      <c r="I32" s="12" t="s">
        <v>92</v>
      </c>
      <c r="J32" s="12" t="s">
        <v>21</v>
      </c>
      <c r="K32" s="12" t="s">
        <v>76</v>
      </c>
      <c r="L32" s="13" t="s">
        <v>23</v>
      </c>
      <c r="M32" s="12" t="s">
        <v>24</v>
      </c>
      <c r="N32" s="13" t="s">
        <v>23</v>
      </c>
      <c r="O32" s="13" t="s">
        <v>23</v>
      </c>
      <c r="P32" s="12">
        <v>1</v>
      </c>
      <c r="Q32" s="12"/>
    </row>
    <row r="33" spans="1:17" ht="16.5" customHeight="1" x14ac:dyDescent="0.2">
      <c r="A33" s="12" t="s">
        <v>89</v>
      </c>
      <c r="B33" s="12">
        <v>8</v>
      </c>
      <c r="C33" s="12">
        <v>15</v>
      </c>
      <c r="D33" s="12">
        <v>12</v>
      </c>
      <c r="E33" s="12"/>
      <c r="F33" s="12"/>
      <c r="G33" s="12" t="s">
        <v>107</v>
      </c>
      <c r="H33" s="12" t="s">
        <v>108</v>
      </c>
      <c r="I33" s="12" t="s">
        <v>92</v>
      </c>
      <c r="J33" s="12" t="s">
        <v>21</v>
      </c>
      <c r="K33" s="12" t="s">
        <v>76</v>
      </c>
      <c r="L33" s="13" t="s">
        <v>23</v>
      </c>
      <c r="M33" s="12" t="s">
        <v>24</v>
      </c>
      <c r="N33" s="13" t="s">
        <v>23</v>
      </c>
      <c r="O33" s="13" t="s">
        <v>23</v>
      </c>
      <c r="P33" s="12">
        <v>1</v>
      </c>
      <c r="Q33" s="12"/>
    </row>
    <row r="34" spans="1:17" ht="16.5" customHeight="1" x14ac:dyDescent="0.2">
      <c r="A34" s="12" t="s">
        <v>89</v>
      </c>
      <c r="B34" s="12">
        <v>9</v>
      </c>
      <c r="C34" s="12">
        <v>15</v>
      </c>
      <c r="D34" s="12">
        <v>12</v>
      </c>
      <c r="E34" s="12"/>
      <c r="F34" s="12"/>
      <c r="G34" s="12" t="s">
        <v>109</v>
      </c>
      <c r="H34" s="12" t="s">
        <v>110</v>
      </c>
      <c r="I34" s="12" t="s">
        <v>92</v>
      </c>
      <c r="J34" s="12" t="s">
        <v>21</v>
      </c>
      <c r="K34" s="12" t="s">
        <v>76</v>
      </c>
      <c r="L34" s="13" t="s">
        <v>23</v>
      </c>
      <c r="M34" s="12" t="s">
        <v>24</v>
      </c>
      <c r="N34" s="13" t="s">
        <v>23</v>
      </c>
      <c r="O34" s="13" t="s">
        <v>23</v>
      </c>
      <c r="P34" s="12">
        <v>1</v>
      </c>
      <c r="Q34" s="12"/>
    </row>
    <row r="35" spans="1:17" ht="16.5" customHeight="1" x14ac:dyDescent="0.2">
      <c r="A35" s="12" t="s">
        <v>89</v>
      </c>
      <c r="B35" s="12">
        <v>10</v>
      </c>
      <c r="C35" s="12">
        <v>15</v>
      </c>
      <c r="D35" s="12">
        <v>12</v>
      </c>
      <c r="E35" s="12"/>
      <c r="F35" s="12"/>
      <c r="G35" s="12" t="s">
        <v>111</v>
      </c>
      <c r="H35" s="12" t="s">
        <v>112</v>
      </c>
      <c r="I35" s="12" t="s">
        <v>92</v>
      </c>
      <c r="J35" s="12" t="s">
        <v>21</v>
      </c>
      <c r="K35" s="12" t="s">
        <v>35</v>
      </c>
      <c r="L35" s="13" t="s">
        <v>23</v>
      </c>
      <c r="M35" s="12" t="s">
        <v>24</v>
      </c>
      <c r="N35" s="14" t="s">
        <v>29</v>
      </c>
      <c r="O35" s="13" t="s">
        <v>23</v>
      </c>
      <c r="P35" s="12">
        <v>0</v>
      </c>
      <c r="Q35" s="12"/>
    </row>
    <row r="36" spans="1:17" ht="16.5" customHeight="1" x14ac:dyDescent="0.2">
      <c r="A36" s="12" t="s">
        <v>89</v>
      </c>
      <c r="B36" s="12">
        <v>11</v>
      </c>
      <c r="C36" s="12">
        <v>15</v>
      </c>
      <c r="D36" s="12">
        <v>12</v>
      </c>
      <c r="E36" s="12"/>
      <c r="F36" s="12"/>
      <c r="G36" s="12" t="s">
        <v>113</v>
      </c>
      <c r="H36" s="12" t="s">
        <v>114</v>
      </c>
      <c r="I36" s="12" t="s">
        <v>92</v>
      </c>
      <c r="J36" s="12" t="s">
        <v>21</v>
      </c>
      <c r="K36" s="12" t="s">
        <v>76</v>
      </c>
      <c r="L36" s="13" t="s">
        <v>23</v>
      </c>
      <c r="M36" s="12" t="s">
        <v>24</v>
      </c>
      <c r="N36" s="14" t="s">
        <v>29</v>
      </c>
      <c r="O36" s="14" t="s">
        <v>29</v>
      </c>
      <c r="P36" s="12">
        <v>0</v>
      </c>
      <c r="Q36" s="12"/>
    </row>
    <row r="37" spans="1:17" ht="16.5" customHeight="1" x14ac:dyDescent="0.2">
      <c r="A37" s="12" t="s">
        <v>89</v>
      </c>
      <c r="B37" s="12">
        <v>12</v>
      </c>
      <c r="C37" s="12">
        <v>15</v>
      </c>
      <c r="D37" s="12">
        <v>12</v>
      </c>
      <c r="E37" s="12"/>
      <c r="F37" s="12"/>
      <c r="G37" s="12" t="s">
        <v>115</v>
      </c>
      <c r="H37" s="12" t="s">
        <v>116</v>
      </c>
      <c r="I37" s="12" t="s">
        <v>92</v>
      </c>
      <c r="J37" s="12" t="s">
        <v>21</v>
      </c>
      <c r="K37" s="12" t="s">
        <v>76</v>
      </c>
      <c r="L37" s="13" t="s">
        <v>23</v>
      </c>
      <c r="M37" s="12" t="s">
        <v>24</v>
      </c>
      <c r="N37" s="14" t="s">
        <v>29</v>
      </c>
      <c r="O37" s="14" t="s">
        <v>29</v>
      </c>
      <c r="P37" s="12">
        <v>0</v>
      </c>
      <c r="Q37" s="12"/>
    </row>
    <row r="38" spans="1:17" ht="16.5" customHeight="1" x14ac:dyDescent="0.2">
      <c r="A38" s="12" t="s">
        <v>89</v>
      </c>
      <c r="B38" s="12">
        <v>13</v>
      </c>
      <c r="C38" s="12">
        <v>15</v>
      </c>
      <c r="D38" s="12">
        <v>12</v>
      </c>
      <c r="E38" s="12"/>
      <c r="F38" s="12"/>
      <c r="G38" s="12" t="s">
        <v>117</v>
      </c>
      <c r="H38" s="12" t="s">
        <v>118</v>
      </c>
      <c r="I38" s="12" t="s">
        <v>92</v>
      </c>
      <c r="J38" s="12" t="s">
        <v>21</v>
      </c>
      <c r="K38" s="12" t="s">
        <v>42</v>
      </c>
      <c r="L38" s="14" t="s">
        <v>29</v>
      </c>
      <c r="M38" s="12" t="s">
        <v>42</v>
      </c>
      <c r="N38" s="14" t="s">
        <v>29</v>
      </c>
      <c r="O38" s="14" t="s">
        <v>29</v>
      </c>
      <c r="P38" s="12">
        <v>0</v>
      </c>
      <c r="Q38" s="12"/>
    </row>
    <row r="39" spans="1:17" ht="16.5" customHeight="1" x14ac:dyDescent="0.2">
      <c r="A39" s="12" t="s">
        <v>89</v>
      </c>
      <c r="B39" s="12">
        <v>14</v>
      </c>
      <c r="C39" s="12">
        <v>15</v>
      </c>
      <c r="D39" s="12">
        <v>12</v>
      </c>
      <c r="E39" s="12"/>
      <c r="F39" s="12"/>
      <c r="G39" s="12" t="s">
        <v>89</v>
      </c>
      <c r="H39" s="12" t="s">
        <v>119</v>
      </c>
      <c r="I39" s="12" t="s">
        <v>92</v>
      </c>
      <c r="J39" s="12" t="s">
        <v>37</v>
      </c>
      <c r="K39" s="12" t="s">
        <v>38</v>
      </c>
      <c r="L39" s="14" t="s">
        <v>29</v>
      </c>
      <c r="M39" s="12" t="s">
        <v>39</v>
      </c>
      <c r="N39" s="14" t="s">
        <v>29</v>
      </c>
      <c r="O39" s="14" t="s">
        <v>29</v>
      </c>
      <c r="P39" s="12">
        <v>0</v>
      </c>
      <c r="Q39" s="12"/>
    </row>
    <row r="40" spans="1:17" ht="16.5" customHeight="1" x14ac:dyDescent="0.2">
      <c r="A40" s="12" t="s">
        <v>89</v>
      </c>
      <c r="B40" s="12">
        <v>15</v>
      </c>
      <c r="C40" s="12">
        <v>15</v>
      </c>
      <c r="D40" s="12">
        <v>12</v>
      </c>
      <c r="E40" s="12"/>
      <c r="F40" s="12"/>
      <c r="G40" s="12" t="s">
        <v>120</v>
      </c>
      <c r="H40" s="12" t="s">
        <v>121</v>
      </c>
      <c r="I40" s="12" t="s">
        <v>92</v>
      </c>
      <c r="J40" s="12" t="s">
        <v>21</v>
      </c>
      <c r="K40" s="12" t="s">
        <v>42</v>
      </c>
      <c r="L40" s="14" t="s">
        <v>29</v>
      </c>
      <c r="M40" s="12" t="s">
        <v>42</v>
      </c>
      <c r="N40" s="14" t="s">
        <v>29</v>
      </c>
      <c r="O40" s="14" t="s">
        <v>29</v>
      </c>
      <c r="P40" s="12">
        <v>0</v>
      </c>
      <c r="Q40" s="12"/>
    </row>
    <row r="41" spans="1:17" ht="16.5" customHeight="1" x14ac:dyDescent="0.2">
      <c r="A41" s="12" t="s">
        <v>122</v>
      </c>
      <c r="B41" s="12">
        <v>1</v>
      </c>
      <c r="C41" s="12">
        <v>5</v>
      </c>
      <c r="D41" s="12">
        <v>5</v>
      </c>
      <c r="E41" s="12">
        <v>3</v>
      </c>
      <c r="F41" s="12">
        <v>4</v>
      </c>
      <c r="G41" s="12" t="s">
        <v>123</v>
      </c>
      <c r="H41" s="12" t="s">
        <v>124</v>
      </c>
      <c r="I41" s="12" t="s">
        <v>125</v>
      </c>
      <c r="J41" s="12" t="s">
        <v>21</v>
      </c>
      <c r="K41" s="12" t="s">
        <v>35</v>
      </c>
      <c r="L41" s="13" t="s">
        <v>23</v>
      </c>
      <c r="M41" s="12" t="s">
        <v>24</v>
      </c>
      <c r="N41" s="13" t="s">
        <v>23</v>
      </c>
      <c r="O41" s="13" t="s">
        <v>23</v>
      </c>
      <c r="P41" s="12">
        <v>1</v>
      </c>
      <c r="Q41" s="12"/>
    </row>
    <row r="42" spans="1:17" ht="16.5" customHeight="1" x14ac:dyDescent="0.2">
      <c r="A42" s="12" t="s">
        <v>122</v>
      </c>
      <c r="B42" s="12">
        <v>2</v>
      </c>
      <c r="C42" s="12">
        <v>5</v>
      </c>
      <c r="D42" s="12">
        <v>5</v>
      </c>
      <c r="E42" s="12"/>
      <c r="F42" s="12"/>
      <c r="G42" s="12" t="s">
        <v>122</v>
      </c>
      <c r="H42" s="12" t="s">
        <v>126</v>
      </c>
      <c r="I42" s="12" t="s">
        <v>125</v>
      </c>
      <c r="J42" s="12" t="s">
        <v>37</v>
      </c>
      <c r="K42" s="12" t="s">
        <v>60</v>
      </c>
      <c r="L42" s="13" t="s">
        <v>23</v>
      </c>
      <c r="M42" s="12" t="s">
        <v>24</v>
      </c>
      <c r="N42" s="13" t="s">
        <v>23</v>
      </c>
      <c r="O42" s="13" t="s">
        <v>23</v>
      </c>
      <c r="P42" s="12">
        <v>1</v>
      </c>
      <c r="Q42" s="12"/>
    </row>
    <row r="43" spans="1:17" ht="16.5" customHeight="1" x14ac:dyDescent="0.2">
      <c r="A43" s="12" t="s">
        <v>122</v>
      </c>
      <c r="B43" s="12">
        <v>3</v>
      </c>
      <c r="C43" s="12">
        <v>5</v>
      </c>
      <c r="D43" s="12">
        <v>5</v>
      </c>
      <c r="E43" s="12"/>
      <c r="F43" s="12"/>
      <c r="G43" s="12" t="s">
        <v>127</v>
      </c>
      <c r="H43" s="12" t="s">
        <v>128</v>
      </c>
      <c r="I43" s="12" t="s">
        <v>125</v>
      </c>
      <c r="J43" s="12" t="s">
        <v>21</v>
      </c>
      <c r="K43" s="12" t="s">
        <v>35</v>
      </c>
      <c r="L43" s="13" t="s">
        <v>23</v>
      </c>
      <c r="M43" s="12" t="s">
        <v>24</v>
      </c>
      <c r="N43" s="13" t="s">
        <v>23</v>
      </c>
      <c r="O43" s="13" t="s">
        <v>23</v>
      </c>
      <c r="P43" s="12">
        <v>1</v>
      </c>
      <c r="Q43" s="12"/>
    </row>
    <row r="44" spans="1:17" ht="16.5" customHeight="1" x14ac:dyDescent="0.2">
      <c r="A44" s="12" t="s">
        <v>122</v>
      </c>
      <c r="B44" s="12">
        <v>4</v>
      </c>
      <c r="C44" s="12">
        <v>5</v>
      </c>
      <c r="D44" s="12">
        <v>5</v>
      </c>
      <c r="E44" s="12"/>
      <c r="F44" s="12"/>
      <c r="G44" s="12" t="s">
        <v>129</v>
      </c>
      <c r="H44" s="12" t="s">
        <v>130</v>
      </c>
      <c r="I44" s="12" t="s">
        <v>125</v>
      </c>
      <c r="J44" s="12" t="s">
        <v>21</v>
      </c>
      <c r="K44" s="12" t="s">
        <v>35</v>
      </c>
      <c r="L44" s="13" t="s">
        <v>23</v>
      </c>
      <c r="M44" s="12" t="s">
        <v>24</v>
      </c>
      <c r="N44" s="14" t="s">
        <v>29</v>
      </c>
      <c r="O44" s="13" t="s">
        <v>23</v>
      </c>
      <c r="P44" s="12">
        <v>1</v>
      </c>
      <c r="Q44" s="12"/>
    </row>
    <row r="45" spans="1:17" ht="16.5" customHeight="1" x14ac:dyDescent="0.2">
      <c r="A45" s="12" t="s">
        <v>122</v>
      </c>
      <c r="B45" s="12">
        <v>5</v>
      </c>
      <c r="C45" s="12">
        <v>5</v>
      </c>
      <c r="D45" s="12">
        <v>5</v>
      </c>
      <c r="E45" s="12"/>
      <c r="F45" s="12"/>
      <c r="G45" s="12" t="s">
        <v>131</v>
      </c>
      <c r="H45" s="12" t="s">
        <v>132</v>
      </c>
      <c r="I45" s="12" t="s">
        <v>125</v>
      </c>
      <c r="J45" s="12" t="s">
        <v>21</v>
      </c>
      <c r="K45" s="12" t="s">
        <v>35</v>
      </c>
      <c r="L45" s="13" t="s">
        <v>23</v>
      </c>
      <c r="M45" s="12" t="s">
        <v>24</v>
      </c>
      <c r="N45" s="14" t="s">
        <v>29</v>
      </c>
      <c r="O45" s="14" t="s">
        <v>29</v>
      </c>
      <c r="P45" s="12">
        <v>1</v>
      </c>
      <c r="Q45" s="12"/>
    </row>
    <row r="46" spans="1:17" ht="16.5" customHeight="1" x14ac:dyDescent="0.2">
      <c r="A46" s="12" t="s">
        <v>133</v>
      </c>
      <c r="B46" s="12">
        <v>1</v>
      </c>
      <c r="C46" s="12">
        <v>8</v>
      </c>
      <c r="D46" s="12">
        <v>6</v>
      </c>
      <c r="E46" s="12">
        <v>4</v>
      </c>
      <c r="F46" s="12">
        <v>5</v>
      </c>
      <c r="G46" s="12" t="s">
        <v>134</v>
      </c>
      <c r="H46" s="12" t="s">
        <v>135</v>
      </c>
      <c r="I46" s="12" t="s">
        <v>136</v>
      </c>
      <c r="J46" s="12" t="s">
        <v>21</v>
      </c>
      <c r="K46" s="12" t="s">
        <v>51</v>
      </c>
      <c r="L46" s="13" t="s">
        <v>23</v>
      </c>
      <c r="M46" s="12" t="s">
        <v>24</v>
      </c>
      <c r="N46" s="13" t="s">
        <v>23</v>
      </c>
      <c r="O46" s="13" t="s">
        <v>23</v>
      </c>
      <c r="P46" s="12">
        <v>0</v>
      </c>
      <c r="Q46" s="12"/>
    </row>
    <row r="47" spans="1:17" ht="16.5" customHeight="1" x14ac:dyDescent="0.2">
      <c r="A47" s="12" t="s">
        <v>133</v>
      </c>
      <c r="B47" s="12">
        <v>2</v>
      </c>
      <c r="C47" s="12">
        <v>8</v>
      </c>
      <c r="D47" s="12">
        <v>6</v>
      </c>
      <c r="E47" s="12"/>
      <c r="F47" s="12"/>
      <c r="G47" s="12" t="s">
        <v>137</v>
      </c>
      <c r="H47" s="12" t="s">
        <v>138</v>
      </c>
      <c r="I47" s="12" t="s">
        <v>136</v>
      </c>
      <c r="J47" s="12" t="s">
        <v>21</v>
      </c>
      <c r="K47" s="12" t="s">
        <v>51</v>
      </c>
      <c r="L47" s="13" t="s">
        <v>23</v>
      </c>
      <c r="M47" s="12" t="s">
        <v>24</v>
      </c>
      <c r="N47" s="13" t="s">
        <v>23</v>
      </c>
      <c r="O47" s="13" t="s">
        <v>23</v>
      </c>
      <c r="P47" s="12">
        <v>1</v>
      </c>
      <c r="Q47" s="12"/>
    </row>
    <row r="48" spans="1:17" ht="16.5" customHeight="1" x14ac:dyDescent="0.2">
      <c r="A48" s="12" t="s">
        <v>133</v>
      </c>
      <c r="B48" s="12">
        <v>3</v>
      </c>
      <c r="C48" s="12">
        <v>8</v>
      </c>
      <c r="D48" s="12">
        <v>6</v>
      </c>
      <c r="E48" s="12"/>
      <c r="F48" s="12"/>
      <c r="G48" s="12" t="s">
        <v>139</v>
      </c>
      <c r="H48" s="12" t="s">
        <v>140</v>
      </c>
      <c r="I48" s="12" t="s">
        <v>136</v>
      </c>
      <c r="J48" s="12" t="s">
        <v>21</v>
      </c>
      <c r="K48" s="12" t="s">
        <v>35</v>
      </c>
      <c r="L48" s="13" t="s">
        <v>23</v>
      </c>
      <c r="M48" s="12" t="s">
        <v>24</v>
      </c>
      <c r="N48" s="14" t="s">
        <v>29</v>
      </c>
      <c r="O48" s="13" t="s">
        <v>23</v>
      </c>
      <c r="P48" s="12">
        <v>0</v>
      </c>
      <c r="Q48" s="12"/>
    </row>
    <row r="49" spans="1:17" ht="16.5" customHeight="1" x14ac:dyDescent="0.2">
      <c r="A49" s="12" t="s">
        <v>133</v>
      </c>
      <c r="B49" s="12">
        <v>4</v>
      </c>
      <c r="C49" s="12">
        <v>8</v>
      </c>
      <c r="D49" s="12">
        <v>6</v>
      </c>
      <c r="E49" s="12"/>
      <c r="F49" s="12"/>
      <c r="G49" s="12" t="s">
        <v>141</v>
      </c>
      <c r="H49" s="12" t="s">
        <v>142</v>
      </c>
      <c r="I49" s="12" t="s">
        <v>136</v>
      </c>
      <c r="J49" s="12" t="s">
        <v>21</v>
      </c>
      <c r="K49" s="12" t="s">
        <v>35</v>
      </c>
      <c r="L49" s="13" t="s">
        <v>23</v>
      </c>
      <c r="M49" s="12" t="s">
        <v>24</v>
      </c>
      <c r="N49" s="13" t="s">
        <v>23</v>
      </c>
      <c r="O49" s="13" t="s">
        <v>23</v>
      </c>
      <c r="P49" s="12">
        <v>1</v>
      </c>
      <c r="Q49" s="12"/>
    </row>
    <row r="50" spans="1:17" ht="16.5" customHeight="1" x14ac:dyDescent="0.2">
      <c r="A50" s="12" t="s">
        <v>133</v>
      </c>
      <c r="B50" s="12">
        <v>5</v>
      </c>
      <c r="C50" s="12">
        <v>8</v>
      </c>
      <c r="D50" s="12">
        <v>6</v>
      </c>
      <c r="E50" s="12"/>
      <c r="F50" s="12"/>
      <c r="G50" s="12" t="s">
        <v>143</v>
      </c>
      <c r="H50" s="12" t="s">
        <v>144</v>
      </c>
      <c r="I50" s="12" t="s">
        <v>136</v>
      </c>
      <c r="J50" s="12" t="s">
        <v>21</v>
      </c>
      <c r="K50" s="12" t="s">
        <v>93</v>
      </c>
      <c r="L50" s="13" t="s">
        <v>23</v>
      </c>
      <c r="M50" s="12" t="s">
        <v>24</v>
      </c>
      <c r="N50" s="13" t="s">
        <v>23</v>
      </c>
      <c r="O50" s="13" t="s">
        <v>23</v>
      </c>
      <c r="P50" s="12">
        <v>1</v>
      </c>
      <c r="Q50" s="12"/>
    </row>
    <row r="51" spans="1:17" ht="16.5" customHeight="1" x14ac:dyDescent="0.2">
      <c r="A51" s="12" t="s">
        <v>133</v>
      </c>
      <c r="B51" s="12">
        <v>6</v>
      </c>
      <c r="C51" s="12">
        <v>8</v>
      </c>
      <c r="D51" s="12">
        <v>6</v>
      </c>
      <c r="E51" s="12"/>
      <c r="F51" s="12"/>
      <c r="G51" s="12" t="s">
        <v>145</v>
      </c>
      <c r="H51" s="12" t="s">
        <v>146</v>
      </c>
      <c r="I51" s="12" t="s">
        <v>136</v>
      </c>
      <c r="J51" s="12" t="s">
        <v>21</v>
      </c>
      <c r="K51" s="12" t="s">
        <v>35</v>
      </c>
      <c r="L51" s="13" t="s">
        <v>23</v>
      </c>
      <c r="M51" s="12" t="s">
        <v>24</v>
      </c>
      <c r="N51" s="14" t="s">
        <v>29</v>
      </c>
      <c r="O51" s="14" t="s">
        <v>29</v>
      </c>
      <c r="P51" s="12">
        <v>0</v>
      </c>
      <c r="Q51" s="12"/>
    </row>
    <row r="52" spans="1:17" ht="16.5" customHeight="1" x14ac:dyDescent="0.2">
      <c r="A52" s="12" t="s">
        <v>133</v>
      </c>
      <c r="B52" s="12">
        <v>7</v>
      </c>
      <c r="C52" s="12">
        <v>8</v>
      </c>
      <c r="D52" s="12">
        <v>6</v>
      </c>
      <c r="E52" s="12"/>
      <c r="F52" s="12"/>
      <c r="G52" s="12" t="s">
        <v>147</v>
      </c>
      <c r="H52" s="12" t="s">
        <v>148</v>
      </c>
      <c r="I52" s="12" t="s">
        <v>136</v>
      </c>
      <c r="J52" s="12" t="s">
        <v>21</v>
      </c>
      <c r="K52" s="12" t="s">
        <v>42</v>
      </c>
      <c r="L52" s="14" t="s">
        <v>29</v>
      </c>
      <c r="M52" s="12" t="s">
        <v>42</v>
      </c>
      <c r="N52" s="14" t="s">
        <v>29</v>
      </c>
      <c r="O52" s="14" t="s">
        <v>29</v>
      </c>
      <c r="P52" s="12">
        <v>0</v>
      </c>
      <c r="Q52" s="12"/>
    </row>
    <row r="53" spans="1:17" ht="16.5" customHeight="1" x14ac:dyDescent="0.2">
      <c r="A53" s="12" t="s">
        <v>133</v>
      </c>
      <c r="B53" s="12">
        <v>8</v>
      </c>
      <c r="C53" s="12">
        <v>8</v>
      </c>
      <c r="D53" s="12">
        <v>6</v>
      </c>
      <c r="E53" s="12"/>
      <c r="F53" s="12"/>
      <c r="G53" s="12" t="s">
        <v>133</v>
      </c>
      <c r="H53" s="12" t="s">
        <v>149</v>
      </c>
      <c r="I53" s="12" t="s">
        <v>136</v>
      </c>
      <c r="J53" s="12" t="s">
        <v>37</v>
      </c>
      <c r="K53" s="12" t="s">
        <v>38</v>
      </c>
      <c r="L53" s="14" t="s">
        <v>29</v>
      </c>
      <c r="M53" s="12" t="s">
        <v>39</v>
      </c>
      <c r="N53" s="14" t="s">
        <v>29</v>
      </c>
      <c r="O53" s="14" t="s">
        <v>29</v>
      </c>
      <c r="P53" s="12">
        <v>1</v>
      </c>
      <c r="Q53" s="12"/>
    </row>
    <row r="54" spans="1:17" ht="16.5" customHeight="1" x14ac:dyDescent="0.2">
      <c r="A54" s="12" t="s">
        <v>150</v>
      </c>
      <c r="B54" s="12">
        <v>1</v>
      </c>
      <c r="C54" s="12">
        <v>3</v>
      </c>
      <c r="D54" s="12">
        <v>2</v>
      </c>
      <c r="E54" s="12">
        <v>1</v>
      </c>
      <c r="F54" s="12">
        <v>1</v>
      </c>
      <c r="G54" s="12" t="s">
        <v>151</v>
      </c>
      <c r="H54" s="12" t="s">
        <v>152</v>
      </c>
      <c r="I54" s="12" t="s">
        <v>153</v>
      </c>
      <c r="J54" s="12" t="s">
        <v>21</v>
      </c>
      <c r="K54" s="12" t="s">
        <v>73</v>
      </c>
      <c r="L54" s="13" t="s">
        <v>23</v>
      </c>
      <c r="M54" s="12" t="s">
        <v>24</v>
      </c>
      <c r="N54" s="13" t="s">
        <v>23</v>
      </c>
      <c r="O54" s="13" t="s">
        <v>23</v>
      </c>
      <c r="P54" s="12">
        <v>1</v>
      </c>
      <c r="Q54" s="12"/>
    </row>
    <row r="55" spans="1:17" ht="16.5" customHeight="1" x14ac:dyDescent="0.2">
      <c r="A55" s="12" t="s">
        <v>150</v>
      </c>
      <c r="B55" s="12">
        <v>2</v>
      </c>
      <c r="C55" s="12">
        <v>3</v>
      </c>
      <c r="D55" s="12">
        <v>2</v>
      </c>
      <c r="E55" s="12"/>
      <c r="F55" s="12"/>
      <c r="G55" s="12" t="s">
        <v>154</v>
      </c>
      <c r="H55" s="12" t="s">
        <v>155</v>
      </c>
      <c r="I55" s="12" t="s">
        <v>153</v>
      </c>
      <c r="J55" s="12" t="s">
        <v>21</v>
      </c>
      <c r="K55" s="12" t="s">
        <v>76</v>
      </c>
      <c r="L55" s="13" t="s">
        <v>23</v>
      </c>
      <c r="M55" s="12" t="s">
        <v>24</v>
      </c>
      <c r="N55" s="14" t="s">
        <v>29</v>
      </c>
      <c r="O55" s="14" t="s">
        <v>29</v>
      </c>
      <c r="P55" s="12">
        <v>0</v>
      </c>
      <c r="Q55" s="12"/>
    </row>
    <row r="56" spans="1:17" ht="16.5" customHeight="1" x14ac:dyDescent="0.2">
      <c r="A56" s="12" t="s">
        <v>150</v>
      </c>
      <c r="B56" s="12">
        <v>3</v>
      </c>
      <c r="C56" s="12">
        <v>3</v>
      </c>
      <c r="D56" s="12">
        <v>2</v>
      </c>
      <c r="E56" s="12"/>
      <c r="F56" s="12"/>
      <c r="G56" s="12" t="s">
        <v>150</v>
      </c>
      <c r="H56" s="12" t="s">
        <v>156</v>
      </c>
      <c r="I56" s="12" t="s">
        <v>153</v>
      </c>
      <c r="J56" s="12" t="s">
        <v>37</v>
      </c>
      <c r="K56" s="12" t="s">
        <v>93</v>
      </c>
      <c r="L56" s="14" t="s">
        <v>29</v>
      </c>
      <c r="M56" s="12" t="s">
        <v>39</v>
      </c>
      <c r="N56" s="14" t="s">
        <v>29</v>
      </c>
      <c r="O56" s="14" t="s">
        <v>29</v>
      </c>
      <c r="P56" s="12">
        <v>0</v>
      </c>
      <c r="Q56" s="12"/>
    </row>
    <row r="57" spans="1:17" ht="16.5" customHeight="1" x14ac:dyDescent="0.2">
      <c r="A57" s="12" t="s">
        <v>157</v>
      </c>
      <c r="B57" s="12">
        <v>1</v>
      </c>
      <c r="C57" s="12">
        <v>10</v>
      </c>
      <c r="D57" s="12">
        <v>9</v>
      </c>
      <c r="E57" s="12">
        <v>6</v>
      </c>
      <c r="F57" s="12">
        <v>8</v>
      </c>
      <c r="G57" s="12" t="s">
        <v>158</v>
      </c>
      <c r="H57" s="12" t="s">
        <v>159</v>
      </c>
      <c r="I57" s="12" t="s">
        <v>160</v>
      </c>
      <c r="J57" s="12" t="s">
        <v>21</v>
      </c>
      <c r="K57" s="12" t="s">
        <v>35</v>
      </c>
      <c r="L57" s="13" t="s">
        <v>23</v>
      </c>
      <c r="M57" s="12" t="s">
        <v>24</v>
      </c>
      <c r="N57" s="13" t="s">
        <v>23</v>
      </c>
      <c r="O57" s="13" t="s">
        <v>23</v>
      </c>
      <c r="P57" s="12">
        <v>1</v>
      </c>
      <c r="Q57" s="12"/>
    </row>
    <row r="58" spans="1:17" ht="16.5" customHeight="1" x14ac:dyDescent="0.2">
      <c r="A58" s="12" t="s">
        <v>157</v>
      </c>
      <c r="B58" s="12">
        <v>2</v>
      </c>
      <c r="C58" s="12">
        <v>10</v>
      </c>
      <c r="D58" s="12">
        <v>9</v>
      </c>
      <c r="E58" s="12"/>
      <c r="F58" s="12"/>
      <c r="G58" s="12" t="s">
        <v>161</v>
      </c>
      <c r="H58" s="12" t="s">
        <v>162</v>
      </c>
      <c r="I58" s="12" t="s">
        <v>160</v>
      </c>
      <c r="J58" s="12" t="s">
        <v>21</v>
      </c>
      <c r="K58" s="12" t="s">
        <v>51</v>
      </c>
      <c r="L58" s="13" t="s">
        <v>23</v>
      </c>
      <c r="M58" s="12" t="s">
        <v>24</v>
      </c>
      <c r="N58" s="13" t="s">
        <v>23</v>
      </c>
      <c r="O58" s="13" t="s">
        <v>23</v>
      </c>
      <c r="P58" s="12">
        <v>1</v>
      </c>
      <c r="Q58" s="12"/>
    </row>
    <row r="59" spans="1:17" ht="16.5" customHeight="1" x14ac:dyDescent="0.2">
      <c r="A59" s="12" t="s">
        <v>157</v>
      </c>
      <c r="B59" s="12">
        <v>3</v>
      </c>
      <c r="C59" s="12">
        <v>10</v>
      </c>
      <c r="D59" s="12">
        <v>9</v>
      </c>
      <c r="E59" s="12"/>
      <c r="F59" s="12"/>
      <c r="G59" s="12" t="s">
        <v>163</v>
      </c>
      <c r="H59" s="12" t="s">
        <v>164</v>
      </c>
      <c r="I59" s="12" t="s">
        <v>160</v>
      </c>
      <c r="J59" s="12" t="s">
        <v>21</v>
      </c>
      <c r="K59" s="12" t="s">
        <v>60</v>
      </c>
      <c r="L59" s="13" t="s">
        <v>23</v>
      </c>
      <c r="M59" s="12" t="s">
        <v>24</v>
      </c>
      <c r="N59" s="13" t="s">
        <v>23</v>
      </c>
      <c r="O59" s="13" t="s">
        <v>23</v>
      </c>
      <c r="P59" s="12">
        <v>1</v>
      </c>
      <c r="Q59" s="12"/>
    </row>
    <row r="60" spans="1:17" ht="16.5" customHeight="1" x14ac:dyDescent="0.2">
      <c r="A60" s="12" t="s">
        <v>157</v>
      </c>
      <c r="B60" s="12">
        <v>4</v>
      </c>
      <c r="C60" s="12">
        <v>10</v>
      </c>
      <c r="D60" s="12">
        <v>9</v>
      </c>
      <c r="E60" s="12"/>
      <c r="F60" s="12"/>
      <c r="G60" s="12" t="s">
        <v>165</v>
      </c>
      <c r="H60" s="12" t="s">
        <v>166</v>
      </c>
      <c r="I60" s="12" t="s">
        <v>160</v>
      </c>
      <c r="J60" s="12" t="s">
        <v>21</v>
      </c>
      <c r="K60" s="12" t="s">
        <v>60</v>
      </c>
      <c r="L60" s="13" t="s">
        <v>23</v>
      </c>
      <c r="M60" s="12" t="s">
        <v>24</v>
      </c>
      <c r="N60" s="14" t="s">
        <v>29</v>
      </c>
      <c r="O60" s="13" t="s">
        <v>23</v>
      </c>
      <c r="P60" s="12">
        <v>0</v>
      </c>
      <c r="Q60" s="12"/>
    </row>
    <row r="61" spans="1:17" ht="16.5" customHeight="1" x14ac:dyDescent="0.2">
      <c r="A61" s="12" t="s">
        <v>157</v>
      </c>
      <c r="B61" s="12">
        <v>5</v>
      </c>
      <c r="C61" s="12">
        <v>10</v>
      </c>
      <c r="D61" s="12">
        <v>9</v>
      </c>
      <c r="E61" s="12"/>
      <c r="F61" s="12"/>
      <c r="G61" s="12" t="s">
        <v>167</v>
      </c>
      <c r="H61" s="12" t="s">
        <v>168</v>
      </c>
      <c r="I61" s="12" t="s">
        <v>160</v>
      </c>
      <c r="J61" s="12" t="s">
        <v>21</v>
      </c>
      <c r="K61" s="12" t="s">
        <v>51</v>
      </c>
      <c r="L61" s="13" t="s">
        <v>23</v>
      </c>
      <c r="M61" s="12" t="s">
        <v>24</v>
      </c>
      <c r="N61" s="14" t="s">
        <v>29</v>
      </c>
      <c r="O61" s="13" t="s">
        <v>23</v>
      </c>
      <c r="P61" s="12">
        <v>0</v>
      </c>
      <c r="Q61" s="12"/>
    </row>
    <row r="62" spans="1:17" ht="16.5" customHeight="1" x14ac:dyDescent="0.2">
      <c r="A62" s="12" t="s">
        <v>157</v>
      </c>
      <c r="B62" s="12">
        <v>6</v>
      </c>
      <c r="C62" s="12">
        <v>10</v>
      </c>
      <c r="D62" s="12">
        <v>9</v>
      </c>
      <c r="E62" s="12"/>
      <c r="F62" s="12"/>
      <c r="G62" s="12" t="s">
        <v>169</v>
      </c>
      <c r="H62" s="12" t="s">
        <v>170</v>
      </c>
      <c r="I62" s="12" t="s">
        <v>160</v>
      </c>
      <c r="J62" s="12" t="s">
        <v>21</v>
      </c>
      <c r="K62" s="12" t="s">
        <v>51</v>
      </c>
      <c r="L62" s="13" t="s">
        <v>23</v>
      </c>
      <c r="M62" s="12" t="s">
        <v>24</v>
      </c>
      <c r="N62" s="13" t="s">
        <v>23</v>
      </c>
      <c r="O62" s="13" t="s">
        <v>23</v>
      </c>
      <c r="P62" s="12">
        <v>1</v>
      </c>
      <c r="Q62" s="12"/>
    </row>
    <row r="63" spans="1:17" ht="16.5" customHeight="1" x14ac:dyDescent="0.2">
      <c r="A63" s="12" t="s">
        <v>157</v>
      </c>
      <c r="B63" s="12">
        <v>7</v>
      </c>
      <c r="C63" s="12">
        <v>10</v>
      </c>
      <c r="D63" s="12">
        <v>9</v>
      </c>
      <c r="E63" s="12"/>
      <c r="F63" s="12"/>
      <c r="G63" s="12" t="s">
        <v>171</v>
      </c>
      <c r="H63" s="12" t="s">
        <v>172</v>
      </c>
      <c r="I63" s="12" t="s">
        <v>160</v>
      </c>
      <c r="J63" s="12" t="s">
        <v>21</v>
      </c>
      <c r="K63" s="12" t="s">
        <v>35</v>
      </c>
      <c r="L63" s="13" t="s">
        <v>23</v>
      </c>
      <c r="M63" s="12" t="s">
        <v>24</v>
      </c>
      <c r="N63" s="13" t="s">
        <v>23</v>
      </c>
      <c r="O63" s="13" t="s">
        <v>23</v>
      </c>
      <c r="P63" s="12">
        <v>1</v>
      </c>
      <c r="Q63" s="12"/>
    </row>
    <row r="64" spans="1:17" ht="16.5" customHeight="1" x14ac:dyDescent="0.2">
      <c r="A64" s="12" t="s">
        <v>157</v>
      </c>
      <c r="B64" s="12">
        <v>8</v>
      </c>
      <c r="C64" s="12">
        <v>10</v>
      </c>
      <c r="D64" s="12">
        <v>9</v>
      </c>
      <c r="E64" s="12"/>
      <c r="F64" s="12"/>
      <c r="G64" s="12" t="s">
        <v>173</v>
      </c>
      <c r="H64" s="12" t="s">
        <v>174</v>
      </c>
      <c r="I64" s="12" t="s">
        <v>160</v>
      </c>
      <c r="J64" s="12" t="s">
        <v>21</v>
      </c>
      <c r="K64" s="12" t="s">
        <v>35</v>
      </c>
      <c r="L64" s="13" t="s">
        <v>23</v>
      </c>
      <c r="M64" s="12" t="s">
        <v>24</v>
      </c>
      <c r="N64" s="13" t="s">
        <v>23</v>
      </c>
      <c r="O64" s="13" t="s">
        <v>23</v>
      </c>
      <c r="P64" s="12">
        <v>1</v>
      </c>
      <c r="Q64" s="12"/>
    </row>
    <row r="65" spans="1:17" ht="16.5" customHeight="1" x14ac:dyDescent="0.2">
      <c r="A65" s="12" t="s">
        <v>157</v>
      </c>
      <c r="B65" s="12">
        <v>9</v>
      </c>
      <c r="C65" s="12">
        <v>10</v>
      </c>
      <c r="D65" s="12">
        <v>9</v>
      </c>
      <c r="E65" s="12"/>
      <c r="F65" s="12"/>
      <c r="G65" s="12" t="s">
        <v>175</v>
      </c>
      <c r="H65" s="12" t="s">
        <v>176</v>
      </c>
      <c r="I65" s="12" t="s">
        <v>160</v>
      </c>
      <c r="J65" s="12" t="s">
        <v>21</v>
      </c>
      <c r="K65" s="12" t="s">
        <v>35</v>
      </c>
      <c r="L65" s="13" t="s">
        <v>23</v>
      </c>
      <c r="M65" s="12" t="s">
        <v>24</v>
      </c>
      <c r="N65" s="14" t="s">
        <v>29</v>
      </c>
      <c r="O65" s="14" t="s">
        <v>29</v>
      </c>
      <c r="P65" s="12">
        <v>0</v>
      </c>
      <c r="Q65" s="12"/>
    </row>
    <row r="66" spans="1:17" ht="16.5" customHeight="1" x14ac:dyDescent="0.2">
      <c r="A66" s="12" t="s">
        <v>157</v>
      </c>
      <c r="B66" s="12">
        <v>10</v>
      </c>
      <c r="C66" s="12">
        <v>10</v>
      </c>
      <c r="D66" s="12">
        <v>9</v>
      </c>
      <c r="E66" s="12"/>
      <c r="F66" s="12"/>
      <c r="G66" s="12" t="s">
        <v>157</v>
      </c>
      <c r="H66" s="12" t="s">
        <v>177</v>
      </c>
      <c r="I66" s="12" t="s">
        <v>160</v>
      </c>
      <c r="J66" s="12" t="s">
        <v>37</v>
      </c>
      <c r="K66" s="12" t="s">
        <v>86</v>
      </c>
      <c r="L66" s="14" t="s">
        <v>29</v>
      </c>
      <c r="M66" s="12" t="s">
        <v>39</v>
      </c>
      <c r="N66" s="14" t="s">
        <v>29</v>
      </c>
      <c r="O66" s="14" t="s">
        <v>29</v>
      </c>
      <c r="P66" s="12">
        <v>0</v>
      </c>
      <c r="Q66" s="12"/>
    </row>
    <row r="67" spans="1:17" ht="16.5" customHeight="1" x14ac:dyDescent="0.2">
      <c r="A67" s="12" t="s">
        <v>178</v>
      </c>
      <c r="B67" s="12">
        <v>1</v>
      </c>
      <c r="C67" s="12">
        <v>10</v>
      </c>
      <c r="D67" s="12">
        <v>10</v>
      </c>
      <c r="E67" s="12">
        <v>6</v>
      </c>
      <c r="F67" s="12">
        <v>8</v>
      </c>
      <c r="G67" s="12" t="s">
        <v>179</v>
      </c>
      <c r="H67" s="12" t="s">
        <v>180</v>
      </c>
      <c r="I67" s="12" t="s">
        <v>181</v>
      </c>
      <c r="J67" s="12" t="s">
        <v>21</v>
      </c>
      <c r="K67" s="12" t="s">
        <v>51</v>
      </c>
      <c r="L67" s="13" t="s">
        <v>23</v>
      </c>
      <c r="M67" s="12" t="s">
        <v>24</v>
      </c>
      <c r="N67" s="13" t="s">
        <v>23</v>
      </c>
      <c r="O67" s="13" t="s">
        <v>23</v>
      </c>
      <c r="P67" s="12">
        <v>1</v>
      </c>
      <c r="Q67" s="12"/>
    </row>
    <row r="68" spans="1:17" ht="16.5" customHeight="1" x14ac:dyDescent="0.2">
      <c r="A68" s="12" t="s">
        <v>178</v>
      </c>
      <c r="B68" s="12">
        <v>2</v>
      </c>
      <c r="C68" s="12">
        <v>10</v>
      </c>
      <c r="D68" s="12">
        <v>10</v>
      </c>
      <c r="E68" s="12"/>
      <c r="F68" s="12"/>
      <c r="G68" s="12" t="s">
        <v>182</v>
      </c>
      <c r="H68" s="12" t="s">
        <v>183</v>
      </c>
      <c r="I68" s="12" t="s">
        <v>181</v>
      </c>
      <c r="J68" s="12" t="s">
        <v>21</v>
      </c>
      <c r="K68" s="12" t="s">
        <v>60</v>
      </c>
      <c r="L68" s="13" t="s">
        <v>23</v>
      </c>
      <c r="M68" s="12" t="s">
        <v>24</v>
      </c>
      <c r="N68" s="13" t="s">
        <v>23</v>
      </c>
      <c r="O68" s="13" t="s">
        <v>23</v>
      </c>
      <c r="P68" s="12">
        <v>1</v>
      </c>
      <c r="Q68" s="12"/>
    </row>
    <row r="69" spans="1:17" ht="16.5" customHeight="1" x14ac:dyDescent="0.2">
      <c r="A69" s="12" t="s">
        <v>178</v>
      </c>
      <c r="B69" s="12">
        <v>3</v>
      </c>
      <c r="C69" s="12">
        <v>10</v>
      </c>
      <c r="D69" s="12">
        <v>10</v>
      </c>
      <c r="E69" s="12"/>
      <c r="F69" s="12"/>
      <c r="G69" s="12" t="s">
        <v>184</v>
      </c>
      <c r="H69" s="12" t="s">
        <v>185</v>
      </c>
      <c r="I69" s="12" t="s">
        <v>181</v>
      </c>
      <c r="J69" s="12" t="s">
        <v>21</v>
      </c>
      <c r="K69" s="12" t="s">
        <v>60</v>
      </c>
      <c r="L69" s="13" t="s">
        <v>23</v>
      </c>
      <c r="M69" s="12" t="s">
        <v>24</v>
      </c>
      <c r="N69" s="13" t="s">
        <v>23</v>
      </c>
      <c r="O69" s="13" t="s">
        <v>23</v>
      </c>
      <c r="P69" s="12">
        <v>1</v>
      </c>
      <c r="Q69" s="12"/>
    </row>
    <row r="70" spans="1:17" ht="16.5" customHeight="1" x14ac:dyDescent="0.2">
      <c r="A70" s="12" t="s">
        <v>178</v>
      </c>
      <c r="B70" s="12">
        <v>4</v>
      </c>
      <c r="C70" s="12">
        <v>10</v>
      </c>
      <c r="D70" s="12">
        <v>10</v>
      </c>
      <c r="E70" s="12"/>
      <c r="F70" s="12"/>
      <c r="G70" s="12" t="s">
        <v>186</v>
      </c>
      <c r="H70" s="12" t="s">
        <v>187</v>
      </c>
      <c r="I70" s="12" t="s">
        <v>181</v>
      </c>
      <c r="J70" s="12" t="s">
        <v>21</v>
      </c>
      <c r="K70" s="12" t="s">
        <v>35</v>
      </c>
      <c r="L70" s="13" t="s">
        <v>23</v>
      </c>
      <c r="M70" s="12" t="s">
        <v>24</v>
      </c>
      <c r="N70" s="13" t="s">
        <v>23</v>
      </c>
      <c r="O70" s="13" t="s">
        <v>23</v>
      </c>
      <c r="P70" s="12">
        <v>1</v>
      </c>
      <c r="Q70" s="12"/>
    </row>
    <row r="71" spans="1:17" ht="16.5" customHeight="1" x14ac:dyDescent="0.2">
      <c r="A71" s="12" t="s">
        <v>178</v>
      </c>
      <c r="B71" s="12">
        <v>5</v>
      </c>
      <c r="C71" s="12">
        <v>10</v>
      </c>
      <c r="D71" s="12">
        <v>10</v>
      </c>
      <c r="E71" s="12"/>
      <c r="F71" s="12"/>
      <c r="G71" s="12" t="s">
        <v>188</v>
      </c>
      <c r="H71" s="12" t="s">
        <v>189</v>
      </c>
      <c r="I71" s="12" t="s">
        <v>181</v>
      </c>
      <c r="J71" s="12" t="s">
        <v>21</v>
      </c>
      <c r="K71" s="12" t="s">
        <v>35</v>
      </c>
      <c r="L71" s="13" t="s">
        <v>23</v>
      </c>
      <c r="M71" s="12" t="s">
        <v>24</v>
      </c>
      <c r="N71" s="14" t="s">
        <v>29</v>
      </c>
      <c r="O71" s="13" t="s">
        <v>23</v>
      </c>
      <c r="P71" s="12">
        <v>1</v>
      </c>
      <c r="Q71" s="12"/>
    </row>
    <row r="72" spans="1:17" ht="16.5" customHeight="1" x14ac:dyDescent="0.2">
      <c r="A72" s="12" t="s">
        <v>178</v>
      </c>
      <c r="B72" s="12">
        <v>6</v>
      </c>
      <c r="C72" s="12">
        <v>10</v>
      </c>
      <c r="D72" s="12">
        <v>10</v>
      </c>
      <c r="E72" s="12"/>
      <c r="F72" s="12"/>
      <c r="G72" s="12" t="s">
        <v>190</v>
      </c>
      <c r="H72" s="12" t="s">
        <v>191</v>
      </c>
      <c r="I72" s="12" t="s">
        <v>181</v>
      </c>
      <c r="J72" s="12" t="s">
        <v>21</v>
      </c>
      <c r="K72" s="12" t="s">
        <v>51</v>
      </c>
      <c r="L72" s="13" t="s">
        <v>23</v>
      </c>
      <c r="M72" s="12" t="s">
        <v>24</v>
      </c>
      <c r="N72" s="13" t="s">
        <v>23</v>
      </c>
      <c r="O72" s="13" t="s">
        <v>23</v>
      </c>
      <c r="P72" s="12">
        <v>1</v>
      </c>
      <c r="Q72" s="12"/>
    </row>
    <row r="73" spans="1:17" ht="16.5" customHeight="1" x14ac:dyDescent="0.2">
      <c r="A73" s="12" t="s">
        <v>178</v>
      </c>
      <c r="B73" s="12">
        <v>7</v>
      </c>
      <c r="C73" s="12">
        <v>10</v>
      </c>
      <c r="D73" s="12">
        <v>10</v>
      </c>
      <c r="E73" s="12"/>
      <c r="F73" s="12"/>
      <c r="G73" s="12" t="s">
        <v>178</v>
      </c>
      <c r="H73" s="12" t="s">
        <v>192</v>
      </c>
      <c r="I73" s="12" t="s">
        <v>181</v>
      </c>
      <c r="J73" s="12" t="s">
        <v>37</v>
      </c>
      <c r="K73" s="12" t="s">
        <v>86</v>
      </c>
      <c r="L73" s="13" t="s">
        <v>23</v>
      </c>
      <c r="M73" s="12" t="s">
        <v>24</v>
      </c>
      <c r="N73" s="14" t="s">
        <v>29</v>
      </c>
      <c r="O73" s="13" t="s">
        <v>23</v>
      </c>
      <c r="P73" s="12">
        <v>0</v>
      </c>
      <c r="Q73" s="12"/>
    </row>
    <row r="74" spans="1:17" ht="16.5" customHeight="1" x14ac:dyDescent="0.2">
      <c r="A74" s="12" t="s">
        <v>178</v>
      </c>
      <c r="B74" s="12">
        <v>8</v>
      </c>
      <c r="C74" s="12">
        <v>10</v>
      </c>
      <c r="D74" s="12">
        <v>10</v>
      </c>
      <c r="E74" s="12"/>
      <c r="F74" s="12"/>
      <c r="G74" s="12" t="s">
        <v>193</v>
      </c>
      <c r="H74" s="12" t="s">
        <v>194</v>
      </c>
      <c r="I74" s="12" t="s">
        <v>181</v>
      </c>
      <c r="J74" s="12" t="s">
        <v>21</v>
      </c>
      <c r="K74" s="12" t="s">
        <v>51</v>
      </c>
      <c r="L74" s="13" t="s">
        <v>23</v>
      </c>
      <c r="M74" s="12" t="s">
        <v>24</v>
      </c>
      <c r="N74" s="13" t="s">
        <v>23</v>
      </c>
      <c r="O74" s="13" t="s">
        <v>23</v>
      </c>
      <c r="P74" s="12">
        <v>1</v>
      </c>
      <c r="Q74" s="12"/>
    </row>
    <row r="75" spans="1:17" ht="16.5" customHeight="1" x14ac:dyDescent="0.2">
      <c r="A75" s="12" t="s">
        <v>178</v>
      </c>
      <c r="B75" s="12">
        <v>9</v>
      </c>
      <c r="C75" s="12">
        <v>10</v>
      </c>
      <c r="D75" s="12">
        <v>10</v>
      </c>
      <c r="E75" s="12"/>
      <c r="F75" s="12"/>
      <c r="G75" s="12" t="s">
        <v>195</v>
      </c>
      <c r="H75" s="12" t="s">
        <v>196</v>
      </c>
      <c r="I75" s="12" t="s">
        <v>181</v>
      </c>
      <c r="J75" s="12" t="s">
        <v>21</v>
      </c>
      <c r="K75" s="12" t="s">
        <v>35</v>
      </c>
      <c r="L75" s="13" t="s">
        <v>23</v>
      </c>
      <c r="M75" s="12" t="s">
        <v>24</v>
      </c>
      <c r="N75" s="14" t="s">
        <v>29</v>
      </c>
      <c r="O75" s="14" t="s">
        <v>29</v>
      </c>
      <c r="P75" s="12">
        <v>0</v>
      </c>
      <c r="Q75" s="12"/>
    </row>
    <row r="76" spans="1:17" ht="16.5" customHeight="1" x14ac:dyDescent="0.2">
      <c r="A76" s="12" t="s">
        <v>178</v>
      </c>
      <c r="B76" s="12">
        <v>10</v>
      </c>
      <c r="C76" s="12">
        <v>10</v>
      </c>
      <c r="D76" s="12">
        <v>10</v>
      </c>
      <c r="E76" s="12"/>
      <c r="F76" s="12"/>
      <c r="G76" s="12" t="s">
        <v>197</v>
      </c>
      <c r="H76" s="12" t="s">
        <v>198</v>
      </c>
      <c r="I76" s="12" t="s">
        <v>181</v>
      </c>
      <c r="J76" s="12" t="s">
        <v>21</v>
      </c>
      <c r="K76" s="12" t="s">
        <v>35</v>
      </c>
      <c r="L76" s="13" t="s">
        <v>23</v>
      </c>
      <c r="M76" s="12" t="s">
        <v>24</v>
      </c>
      <c r="N76" s="14" t="s">
        <v>29</v>
      </c>
      <c r="O76" s="14" t="s">
        <v>29</v>
      </c>
      <c r="P76" s="12">
        <v>0</v>
      </c>
      <c r="Q76" s="12"/>
    </row>
    <row r="77" spans="1:17" ht="16.5" customHeight="1" x14ac:dyDescent="0.2">
      <c r="A77" s="12" t="s">
        <v>199</v>
      </c>
      <c r="B77" s="12">
        <v>1</v>
      </c>
      <c r="C77" s="12">
        <v>10</v>
      </c>
      <c r="D77" s="12">
        <v>9</v>
      </c>
      <c r="E77" s="12">
        <v>6</v>
      </c>
      <c r="F77" s="12">
        <v>7</v>
      </c>
      <c r="G77" s="12" t="s">
        <v>200</v>
      </c>
      <c r="H77" s="12" t="s">
        <v>201</v>
      </c>
      <c r="I77" s="12" t="s">
        <v>202</v>
      </c>
      <c r="J77" s="12" t="s">
        <v>21</v>
      </c>
      <c r="K77" s="12" t="s">
        <v>35</v>
      </c>
      <c r="L77" s="13" t="s">
        <v>23</v>
      </c>
      <c r="M77" s="12" t="s">
        <v>24</v>
      </c>
      <c r="N77" s="13" t="s">
        <v>23</v>
      </c>
      <c r="O77" s="13" t="s">
        <v>23</v>
      </c>
      <c r="P77" s="12">
        <v>1</v>
      </c>
      <c r="Q77" s="12"/>
    </row>
    <row r="78" spans="1:17" ht="16.5" customHeight="1" x14ac:dyDescent="0.2">
      <c r="A78" s="12" t="s">
        <v>199</v>
      </c>
      <c r="B78" s="12">
        <v>2</v>
      </c>
      <c r="C78" s="12">
        <v>10</v>
      </c>
      <c r="D78" s="12">
        <v>9</v>
      </c>
      <c r="E78" s="12"/>
      <c r="F78" s="12"/>
      <c r="G78" s="12" t="s">
        <v>203</v>
      </c>
      <c r="H78" s="12" t="s">
        <v>204</v>
      </c>
      <c r="I78" s="12" t="s">
        <v>202</v>
      </c>
      <c r="J78" s="12" t="s">
        <v>21</v>
      </c>
      <c r="K78" s="12" t="s">
        <v>51</v>
      </c>
      <c r="L78" s="13" t="s">
        <v>23</v>
      </c>
      <c r="M78" s="12" t="s">
        <v>24</v>
      </c>
      <c r="N78" s="13" t="s">
        <v>23</v>
      </c>
      <c r="O78" s="13" t="s">
        <v>23</v>
      </c>
      <c r="P78" s="12">
        <v>1</v>
      </c>
      <c r="Q78" s="12"/>
    </row>
    <row r="79" spans="1:17" ht="16.5" customHeight="1" x14ac:dyDescent="0.2">
      <c r="A79" s="12" t="s">
        <v>199</v>
      </c>
      <c r="B79" s="12">
        <v>3</v>
      </c>
      <c r="C79" s="12">
        <v>10</v>
      </c>
      <c r="D79" s="12">
        <v>9</v>
      </c>
      <c r="E79" s="12"/>
      <c r="F79" s="12"/>
      <c r="G79" s="12" t="s">
        <v>205</v>
      </c>
      <c r="H79" s="12" t="s">
        <v>206</v>
      </c>
      <c r="I79" s="12" t="s">
        <v>202</v>
      </c>
      <c r="J79" s="12" t="s">
        <v>21</v>
      </c>
      <c r="K79" s="12" t="s">
        <v>35</v>
      </c>
      <c r="L79" s="13" t="s">
        <v>23</v>
      </c>
      <c r="M79" s="12" t="s">
        <v>24</v>
      </c>
      <c r="N79" s="14" t="s">
        <v>29</v>
      </c>
      <c r="O79" s="13" t="s">
        <v>23</v>
      </c>
      <c r="P79" s="12">
        <v>0</v>
      </c>
      <c r="Q79" s="12"/>
    </row>
    <row r="80" spans="1:17" ht="12.75" customHeight="1" x14ac:dyDescent="0.2">
      <c r="A80" s="12" t="s">
        <v>199</v>
      </c>
      <c r="B80" s="12">
        <v>4</v>
      </c>
      <c r="C80" s="12">
        <v>10</v>
      </c>
      <c r="D80" s="12">
        <v>9</v>
      </c>
      <c r="E80" s="12"/>
      <c r="F80" s="12"/>
      <c r="G80" s="12" t="s">
        <v>207</v>
      </c>
      <c r="H80" s="12" t="s">
        <v>208</v>
      </c>
      <c r="I80" s="12" t="s">
        <v>202</v>
      </c>
      <c r="J80" s="12" t="s">
        <v>21</v>
      </c>
      <c r="K80" s="12" t="s">
        <v>35</v>
      </c>
      <c r="L80" s="13" t="s">
        <v>23</v>
      </c>
      <c r="M80" s="12" t="s">
        <v>24</v>
      </c>
      <c r="N80" s="13" t="s">
        <v>23</v>
      </c>
      <c r="O80" s="13" t="s">
        <v>23</v>
      </c>
      <c r="P80" s="12">
        <v>1</v>
      </c>
      <c r="Q80" s="12"/>
    </row>
    <row r="81" spans="1:17" ht="12.75" customHeight="1" x14ac:dyDescent="0.2">
      <c r="A81" s="12" t="s">
        <v>199</v>
      </c>
      <c r="B81" s="12">
        <v>5</v>
      </c>
      <c r="C81" s="12">
        <v>10</v>
      </c>
      <c r="D81" s="12">
        <v>9</v>
      </c>
      <c r="E81" s="12"/>
      <c r="F81" s="12"/>
      <c r="G81" s="12" t="s">
        <v>209</v>
      </c>
      <c r="H81" s="12" t="s">
        <v>210</v>
      </c>
      <c r="I81" s="12" t="s">
        <v>202</v>
      </c>
      <c r="J81" s="12" t="s">
        <v>21</v>
      </c>
      <c r="K81" s="12" t="s">
        <v>51</v>
      </c>
      <c r="L81" s="13" t="s">
        <v>23</v>
      </c>
      <c r="M81" s="12" t="s">
        <v>24</v>
      </c>
      <c r="N81" s="13" t="s">
        <v>23</v>
      </c>
      <c r="O81" s="13" t="s">
        <v>23</v>
      </c>
      <c r="P81" s="12">
        <v>1</v>
      </c>
      <c r="Q81" s="12"/>
    </row>
    <row r="82" spans="1:17" ht="12.75" customHeight="1" x14ac:dyDescent="0.2">
      <c r="A82" s="12" t="s">
        <v>199</v>
      </c>
      <c r="B82" s="12">
        <v>6</v>
      </c>
      <c r="C82" s="12">
        <v>10</v>
      </c>
      <c r="D82" s="12">
        <v>9</v>
      </c>
      <c r="E82" s="12"/>
      <c r="F82" s="12"/>
      <c r="G82" s="12" t="s">
        <v>211</v>
      </c>
      <c r="H82" s="12" t="s">
        <v>212</v>
      </c>
      <c r="I82" s="12" t="s">
        <v>202</v>
      </c>
      <c r="J82" s="12" t="s">
        <v>21</v>
      </c>
      <c r="K82" s="12" t="s">
        <v>60</v>
      </c>
      <c r="L82" s="13" t="s">
        <v>23</v>
      </c>
      <c r="M82" s="12" t="s">
        <v>24</v>
      </c>
      <c r="N82" s="13" t="s">
        <v>23</v>
      </c>
      <c r="O82" s="13" t="s">
        <v>23</v>
      </c>
      <c r="P82" s="12">
        <v>0</v>
      </c>
      <c r="Q82" s="12"/>
    </row>
    <row r="83" spans="1:17" ht="12.75" customHeight="1" x14ac:dyDescent="0.2">
      <c r="A83" s="12" t="s">
        <v>199</v>
      </c>
      <c r="B83" s="12">
        <v>7</v>
      </c>
      <c r="C83" s="12">
        <v>10</v>
      </c>
      <c r="D83" s="12">
        <v>9</v>
      </c>
      <c r="E83" s="12"/>
      <c r="F83" s="12"/>
      <c r="G83" s="12" t="s">
        <v>199</v>
      </c>
      <c r="H83" s="12" t="s">
        <v>213</v>
      </c>
      <c r="I83" s="12" t="s">
        <v>202</v>
      </c>
      <c r="J83" s="12" t="s">
        <v>37</v>
      </c>
      <c r="K83" s="12" t="s">
        <v>214</v>
      </c>
      <c r="L83" s="13" t="s">
        <v>23</v>
      </c>
      <c r="M83" s="12" t="s">
        <v>24</v>
      </c>
      <c r="N83" s="13" t="s">
        <v>23</v>
      </c>
      <c r="O83" s="13" t="s">
        <v>23</v>
      </c>
      <c r="P83" s="12">
        <v>1</v>
      </c>
      <c r="Q83" s="12"/>
    </row>
    <row r="84" spans="1:17" ht="12.75" customHeight="1" x14ac:dyDescent="0.2">
      <c r="A84" s="12" t="s">
        <v>199</v>
      </c>
      <c r="B84" s="12">
        <v>8</v>
      </c>
      <c r="C84" s="12">
        <v>10</v>
      </c>
      <c r="D84" s="12">
        <v>9</v>
      </c>
      <c r="E84" s="12"/>
      <c r="F84" s="12"/>
      <c r="G84" s="12" t="s">
        <v>215</v>
      </c>
      <c r="H84" s="12" t="s">
        <v>216</v>
      </c>
      <c r="I84" s="12" t="s">
        <v>202</v>
      </c>
      <c r="J84" s="12" t="s">
        <v>21</v>
      </c>
      <c r="K84" s="12" t="s">
        <v>35</v>
      </c>
      <c r="L84" s="13" t="s">
        <v>23</v>
      </c>
      <c r="M84" s="12" t="s">
        <v>24</v>
      </c>
      <c r="N84" s="14" t="s">
        <v>29</v>
      </c>
      <c r="O84" s="14" t="s">
        <v>29</v>
      </c>
      <c r="P84" s="12">
        <v>0</v>
      </c>
      <c r="Q84" s="12"/>
    </row>
    <row r="85" spans="1:17" ht="12.75" customHeight="1" x14ac:dyDescent="0.2">
      <c r="A85" s="12" t="s">
        <v>199</v>
      </c>
      <c r="B85" s="12">
        <v>9</v>
      </c>
      <c r="C85" s="12">
        <v>10</v>
      </c>
      <c r="D85" s="12">
        <v>9</v>
      </c>
      <c r="E85" s="12"/>
      <c r="F85" s="12"/>
      <c r="G85" s="12" t="s">
        <v>217</v>
      </c>
      <c r="H85" s="12" t="s">
        <v>218</v>
      </c>
      <c r="I85" s="12" t="s">
        <v>202</v>
      </c>
      <c r="J85" s="12" t="s">
        <v>21</v>
      </c>
      <c r="K85" s="12" t="s">
        <v>35</v>
      </c>
      <c r="L85" s="13" t="s">
        <v>23</v>
      </c>
      <c r="M85" s="12" t="s">
        <v>24</v>
      </c>
      <c r="N85" s="14" t="s">
        <v>29</v>
      </c>
      <c r="O85" s="14" t="s">
        <v>29</v>
      </c>
      <c r="P85" s="12">
        <v>0</v>
      </c>
      <c r="Q85" s="12"/>
    </row>
    <row r="86" spans="1:17" ht="12.75" customHeight="1" x14ac:dyDescent="0.2">
      <c r="A86" s="12" t="s">
        <v>199</v>
      </c>
      <c r="B86" s="12">
        <v>10</v>
      </c>
      <c r="C86" s="12">
        <v>10</v>
      </c>
      <c r="D86" s="12">
        <v>9</v>
      </c>
      <c r="E86" s="12"/>
      <c r="F86" s="12"/>
      <c r="G86" s="12" t="s">
        <v>219</v>
      </c>
      <c r="H86" s="12" t="s">
        <v>220</v>
      </c>
      <c r="I86" s="12" t="s">
        <v>202</v>
      </c>
      <c r="J86" s="12" t="s">
        <v>21</v>
      </c>
      <c r="K86" s="12" t="s">
        <v>42</v>
      </c>
      <c r="L86" s="14" t="s">
        <v>29</v>
      </c>
      <c r="M86" s="12" t="s">
        <v>42</v>
      </c>
      <c r="N86" s="14" t="s">
        <v>29</v>
      </c>
      <c r="O86" s="14" t="s">
        <v>29</v>
      </c>
      <c r="P86" s="12">
        <v>0</v>
      </c>
      <c r="Q86" s="12"/>
    </row>
    <row r="87" spans="1:17" ht="12.75" customHeight="1" x14ac:dyDescent="0.2"/>
    <row r="88" spans="1:17" ht="12.75" customHeight="1" x14ac:dyDescent="0.2"/>
    <row r="89" spans="1:17" ht="12.75" customHeight="1" x14ac:dyDescent="0.2"/>
    <row r="90" spans="1:17" ht="12.75" customHeight="1" x14ac:dyDescent="0.2"/>
    <row r="91" spans="1:17" ht="12.75" customHeight="1" x14ac:dyDescent="0.2"/>
    <row r="92" spans="1:17" ht="12.75" customHeight="1" x14ac:dyDescent="0.2"/>
  </sheetData>
  <autoFilter ref="A1:Q86" xr:uid="{00000000-0001-0000-0100-000000000000}"/>
  <pageMargins left="0.75" right="0.75" top="1" bottom="1" header="0.5" footer="0.5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6" customWidth="1"/>
    <col min="3" max="3" width="18" customWidth="1"/>
    <col min="4" max="4" width="33" customWidth="1"/>
  </cols>
  <sheetData>
    <row r="1" spans="1:4" x14ac:dyDescent="0.25">
      <c r="A1" s="1" t="s">
        <v>0</v>
      </c>
      <c r="B1" s="1" t="s">
        <v>244</v>
      </c>
      <c r="C1" s="1" t="s">
        <v>245</v>
      </c>
      <c r="D1" s="1" t="s">
        <v>246</v>
      </c>
    </row>
    <row r="2" spans="1:4" x14ac:dyDescent="0.25">
      <c r="A2" s="2" t="s">
        <v>17</v>
      </c>
      <c r="B2" s="2">
        <v>4</v>
      </c>
      <c r="C2" s="2">
        <v>1</v>
      </c>
      <c r="D2" s="2" t="s">
        <v>247</v>
      </c>
    </row>
    <row r="3" spans="1:4" x14ac:dyDescent="0.25">
      <c r="A3" s="2" t="s">
        <v>47</v>
      </c>
      <c r="B3" s="2">
        <v>5</v>
      </c>
      <c r="C3" s="2">
        <v>3</v>
      </c>
      <c r="D3" s="2" t="s">
        <v>248</v>
      </c>
    </row>
    <row r="4" spans="1:4" x14ac:dyDescent="0.25">
      <c r="A4" s="2" t="s">
        <v>66</v>
      </c>
      <c r="B4" s="2">
        <v>8</v>
      </c>
      <c r="C4" s="2">
        <v>5</v>
      </c>
      <c r="D4" s="2" t="s">
        <v>248</v>
      </c>
    </row>
    <row r="5" spans="1:4" x14ac:dyDescent="0.25">
      <c r="A5" s="2" t="s">
        <v>89</v>
      </c>
      <c r="B5" s="2">
        <v>13</v>
      </c>
      <c r="C5" s="2">
        <v>8</v>
      </c>
      <c r="D5" s="2" t="s">
        <v>248</v>
      </c>
    </row>
    <row r="6" spans="1:4" x14ac:dyDescent="0.25">
      <c r="A6" s="2" t="s">
        <v>122</v>
      </c>
      <c r="B6" s="2">
        <v>5</v>
      </c>
      <c r="C6" s="2">
        <v>3</v>
      </c>
      <c r="D6" s="2" t="s">
        <v>248</v>
      </c>
    </row>
    <row r="7" spans="1:4" x14ac:dyDescent="0.25">
      <c r="A7" s="2" t="s">
        <v>133</v>
      </c>
      <c r="B7" s="2">
        <v>6</v>
      </c>
      <c r="C7" s="2">
        <v>4</v>
      </c>
      <c r="D7" s="2" t="s">
        <v>248</v>
      </c>
    </row>
    <row r="8" spans="1:4" x14ac:dyDescent="0.25">
      <c r="A8" s="2" t="s">
        <v>150</v>
      </c>
      <c r="B8" s="2">
        <v>2</v>
      </c>
      <c r="C8" s="2">
        <v>1</v>
      </c>
      <c r="D8" s="2" t="s">
        <v>249</v>
      </c>
    </row>
    <row r="9" spans="1:4" x14ac:dyDescent="0.25">
      <c r="A9" s="2" t="s">
        <v>157</v>
      </c>
      <c r="B9" s="2">
        <v>9</v>
      </c>
      <c r="C9" s="2">
        <v>6</v>
      </c>
      <c r="D9" s="2" t="s">
        <v>248</v>
      </c>
    </row>
    <row r="10" spans="1:4" x14ac:dyDescent="0.25">
      <c r="A10" s="2" t="s">
        <v>178</v>
      </c>
      <c r="B10" s="2">
        <v>10</v>
      </c>
      <c r="C10" s="2">
        <v>6</v>
      </c>
      <c r="D10" s="2" t="s">
        <v>248</v>
      </c>
    </row>
    <row r="11" spans="1:4" x14ac:dyDescent="0.25">
      <c r="A11" s="2" t="s">
        <v>199</v>
      </c>
      <c r="B11" s="2">
        <v>9</v>
      </c>
      <c r="C11" s="2">
        <v>6</v>
      </c>
      <c r="D11" s="2" t="s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bestFit="1" customWidth="1"/>
    <col min="2" max="2" width="13.140625" bestFit="1" customWidth="1"/>
    <col min="3" max="3" width="16" bestFit="1" customWidth="1"/>
    <col min="4" max="4" width="17.28515625" bestFit="1" customWidth="1"/>
    <col min="5" max="5" width="20.5703125" bestFit="1" customWidth="1"/>
    <col min="6" max="6" width="11.28515625" bestFit="1" customWidth="1"/>
    <col min="7" max="7" width="33.28515625" bestFit="1" customWidth="1"/>
    <col min="8" max="8" width="13.85546875" bestFit="1" customWidth="1"/>
  </cols>
  <sheetData>
    <row r="1" spans="1:8" ht="25.5" customHeight="1" x14ac:dyDescent="0.25">
      <c r="A1" s="3" t="s">
        <v>0</v>
      </c>
      <c r="B1" s="3" t="s">
        <v>244</v>
      </c>
      <c r="C1" s="3" t="s">
        <v>245</v>
      </c>
      <c r="D1" s="3" t="s">
        <v>250</v>
      </c>
      <c r="E1" s="3" t="s">
        <v>251</v>
      </c>
      <c r="F1" s="3" t="s">
        <v>252</v>
      </c>
      <c r="G1" s="3" t="s">
        <v>253</v>
      </c>
      <c r="H1" s="3" t="s">
        <v>254</v>
      </c>
    </row>
    <row r="2" spans="1:8" x14ac:dyDescent="0.25">
      <c r="A2" s="4" t="s">
        <v>17</v>
      </c>
      <c r="B2" s="4">
        <v>4</v>
      </c>
      <c r="C2" s="4">
        <v>1</v>
      </c>
      <c r="D2" s="4">
        <v>1</v>
      </c>
      <c r="E2" s="4" t="s">
        <v>255</v>
      </c>
      <c r="F2" s="4" t="s">
        <v>256</v>
      </c>
      <c r="G2" s="4">
        <v>1</v>
      </c>
      <c r="H2" s="4">
        <v>0</v>
      </c>
    </row>
    <row r="3" spans="1:8" x14ac:dyDescent="0.25">
      <c r="A3" s="4" t="s">
        <v>47</v>
      </c>
      <c r="B3" s="4">
        <v>5</v>
      </c>
      <c r="C3" s="4">
        <v>3</v>
      </c>
      <c r="D3" s="4">
        <v>4</v>
      </c>
      <c r="E3" s="4" t="s">
        <v>257</v>
      </c>
      <c r="F3" s="4" t="s">
        <v>258</v>
      </c>
      <c r="G3" s="4">
        <v>4</v>
      </c>
      <c r="H3" s="4">
        <v>0</v>
      </c>
    </row>
    <row r="4" spans="1:8" x14ac:dyDescent="0.25">
      <c r="A4" s="4" t="s">
        <v>66</v>
      </c>
      <c r="B4" s="4">
        <v>8</v>
      </c>
      <c r="C4" s="4">
        <v>5</v>
      </c>
      <c r="D4" s="4">
        <v>6</v>
      </c>
      <c r="E4" s="4" t="s">
        <v>259</v>
      </c>
      <c r="F4" s="4" t="s">
        <v>260</v>
      </c>
      <c r="G4" s="4">
        <v>6</v>
      </c>
      <c r="H4" s="4">
        <v>0</v>
      </c>
    </row>
    <row r="5" spans="1:8" x14ac:dyDescent="0.25">
      <c r="A5" s="4" t="s">
        <v>89</v>
      </c>
      <c r="B5" s="4">
        <v>13</v>
      </c>
      <c r="C5" s="4">
        <v>8</v>
      </c>
      <c r="D5" s="4">
        <v>11</v>
      </c>
      <c r="E5" s="4" t="s">
        <v>261</v>
      </c>
      <c r="F5" s="4" t="s">
        <v>262</v>
      </c>
      <c r="G5" s="4">
        <v>8</v>
      </c>
      <c r="H5" s="4">
        <v>3</v>
      </c>
    </row>
    <row r="6" spans="1:8" x14ac:dyDescent="0.25">
      <c r="A6" s="4" t="s">
        <v>122</v>
      </c>
      <c r="B6" s="4">
        <v>5</v>
      </c>
      <c r="C6" s="4">
        <v>3</v>
      </c>
      <c r="D6" s="4">
        <v>4</v>
      </c>
      <c r="E6" s="4" t="s">
        <v>257</v>
      </c>
      <c r="F6" s="4" t="s">
        <v>258</v>
      </c>
      <c r="G6" s="4">
        <v>4</v>
      </c>
      <c r="H6" s="4">
        <v>0</v>
      </c>
    </row>
    <row r="7" spans="1:8" x14ac:dyDescent="0.25">
      <c r="A7" s="4" t="s">
        <v>133</v>
      </c>
      <c r="B7" s="4">
        <v>6</v>
      </c>
      <c r="C7" s="4">
        <v>4</v>
      </c>
      <c r="D7" s="4">
        <v>5</v>
      </c>
      <c r="E7" s="4" t="s">
        <v>263</v>
      </c>
      <c r="F7" s="4" t="s">
        <v>264</v>
      </c>
      <c r="G7" s="4">
        <v>3</v>
      </c>
      <c r="H7" s="4">
        <v>2</v>
      </c>
    </row>
    <row r="8" spans="1:8" x14ac:dyDescent="0.25">
      <c r="A8" s="4" t="s">
        <v>150</v>
      </c>
      <c r="B8" s="4">
        <v>2</v>
      </c>
      <c r="C8" s="4">
        <v>1</v>
      </c>
      <c r="D8" s="4">
        <v>1</v>
      </c>
      <c r="E8" s="4" t="s">
        <v>265</v>
      </c>
      <c r="F8" s="4" t="s">
        <v>266</v>
      </c>
      <c r="G8" s="4">
        <v>1</v>
      </c>
      <c r="H8" s="4">
        <v>0</v>
      </c>
    </row>
    <row r="9" spans="1:8" x14ac:dyDescent="0.25">
      <c r="A9" s="4" t="s">
        <v>157</v>
      </c>
      <c r="B9" s="4">
        <v>9</v>
      </c>
      <c r="C9" s="4">
        <v>6</v>
      </c>
      <c r="D9" s="4">
        <v>7</v>
      </c>
      <c r="E9" s="4" t="s">
        <v>267</v>
      </c>
      <c r="F9" s="4" t="s">
        <v>268</v>
      </c>
      <c r="G9" s="4">
        <v>6</v>
      </c>
      <c r="H9" s="4">
        <v>1</v>
      </c>
    </row>
    <row r="10" spans="1:8" x14ac:dyDescent="0.25">
      <c r="A10" s="4" t="s">
        <v>178</v>
      </c>
      <c r="B10" s="4">
        <v>10</v>
      </c>
      <c r="C10" s="4">
        <v>6</v>
      </c>
      <c r="D10" s="4">
        <v>8</v>
      </c>
      <c r="E10" s="6" t="s">
        <v>269</v>
      </c>
      <c r="F10" s="6" t="s">
        <v>258</v>
      </c>
      <c r="G10" s="6">
        <v>7</v>
      </c>
      <c r="H10" s="6">
        <v>1</v>
      </c>
    </row>
    <row r="11" spans="1:8" x14ac:dyDescent="0.25">
      <c r="A11" s="4" t="s">
        <v>199</v>
      </c>
      <c r="B11" s="4">
        <v>9</v>
      </c>
      <c r="C11" s="4">
        <v>6</v>
      </c>
      <c r="D11" s="5">
        <v>7</v>
      </c>
      <c r="E11" s="4" t="s">
        <v>267</v>
      </c>
      <c r="F11" s="4" t="s">
        <v>268</v>
      </c>
      <c r="G11" s="4">
        <v>5</v>
      </c>
      <c r="H11" s="4">
        <v>2</v>
      </c>
    </row>
    <row r="12" spans="1:8" x14ac:dyDescent="0.25">
      <c r="A12" s="8" t="s">
        <v>270</v>
      </c>
      <c r="B12" s="8">
        <f>SUM(B2:B11)</f>
        <v>71</v>
      </c>
      <c r="C12" s="8">
        <f>SUM(C2:C11)</f>
        <v>43</v>
      </c>
      <c r="D12" s="8">
        <f>SUM(D2:D11)</f>
        <v>54</v>
      </c>
      <c r="E12" s="7"/>
      <c r="F12" s="7"/>
      <c r="G12" s="7"/>
      <c r="H12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27" customWidth="1"/>
    <col min="3" max="3" width="35" customWidth="1"/>
    <col min="4" max="4" width="28" customWidth="1"/>
    <col min="5" max="5" width="24" customWidth="1"/>
    <col min="6" max="6" width="23" customWidth="1"/>
    <col min="7" max="7" width="44" customWidth="1"/>
  </cols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271</v>
      </c>
      <c r="G1" s="1" t="s">
        <v>16</v>
      </c>
    </row>
    <row r="2" spans="1:7" ht="30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22</v>
      </c>
      <c r="F2" s="2" t="s">
        <v>272</v>
      </c>
      <c r="G2" s="2" t="s">
        <v>273</v>
      </c>
    </row>
    <row r="3" spans="1:7" x14ac:dyDescent="0.25">
      <c r="A3" s="2" t="s">
        <v>47</v>
      </c>
      <c r="B3" s="2" t="s">
        <v>54</v>
      </c>
      <c r="C3" s="2" t="s">
        <v>55</v>
      </c>
      <c r="D3" s="2" t="s">
        <v>50</v>
      </c>
      <c r="E3" s="2" t="s">
        <v>51</v>
      </c>
      <c r="F3" s="2" t="s">
        <v>272</v>
      </c>
      <c r="G3" s="2"/>
    </row>
    <row r="4" spans="1:7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272</v>
      </c>
      <c r="G4" s="2"/>
    </row>
    <row r="5" spans="1:7" x14ac:dyDescent="0.25">
      <c r="A5" s="2" t="s">
        <v>47</v>
      </c>
      <c r="B5" s="2" t="s">
        <v>52</v>
      </c>
      <c r="C5" s="2" t="s">
        <v>53</v>
      </c>
      <c r="D5" s="2" t="s">
        <v>50</v>
      </c>
      <c r="E5" s="2" t="s">
        <v>35</v>
      </c>
      <c r="F5" s="2" t="s">
        <v>272</v>
      </c>
      <c r="G5" s="2"/>
    </row>
    <row r="6" spans="1:7" x14ac:dyDescent="0.25">
      <c r="A6" s="2" t="s">
        <v>47</v>
      </c>
      <c r="B6" s="2" t="s">
        <v>56</v>
      </c>
      <c r="C6" s="2" t="s">
        <v>57</v>
      </c>
      <c r="D6" s="2" t="s">
        <v>50</v>
      </c>
      <c r="E6" s="2" t="s">
        <v>35</v>
      </c>
      <c r="F6" s="2" t="s">
        <v>272</v>
      </c>
      <c r="G6" s="2"/>
    </row>
    <row r="7" spans="1:7" x14ac:dyDescent="0.25">
      <c r="A7" s="2" t="s">
        <v>66</v>
      </c>
      <c r="B7" s="2" t="s">
        <v>81</v>
      </c>
      <c r="C7" s="2" t="s">
        <v>82</v>
      </c>
      <c r="D7" s="2" t="s">
        <v>69</v>
      </c>
      <c r="E7" s="2" t="s">
        <v>73</v>
      </c>
      <c r="F7" s="2" t="s">
        <v>272</v>
      </c>
      <c r="G7" s="2"/>
    </row>
    <row r="8" spans="1:7" x14ac:dyDescent="0.25">
      <c r="A8" s="2" t="s">
        <v>66</v>
      </c>
      <c r="B8" s="2" t="s">
        <v>274</v>
      </c>
      <c r="C8" s="2" t="s">
        <v>275</v>
      </c>
      <c r="D8" s="2" t="s">
        <v>69</v>
      </c>
      <c r="E8" s="2" t="s">
        <v>73</v>
      </c>
      <c r="F8" s="2" t="s">
        <v>272</v>
      </c>
      <c r="G8" s="2"/>
    </row>
    <row r="9" spans="1:7" x14ac:dyDescent="0.25">
      <c r="A9" s="2" t="s">
        <v>66</v>
      </c>
      <c r="B9" s="2" t="s">
        <v>71</v>
      </c>
      <c r="C9" s="2" t="s">
        <v>72</v>
      </c>
      <c r="D9" s="2" t="s">
        <v>69</v>
      </c>
      <c r="E9" s="2" t="s">
        <v>73</v>
      </c>
      <c r="F9" s="2" t="s">
        <v>272</v>
      </c>
      <c r="G9" s="2"/>
    </row>
    <row r="10" spans="1:7" x14ac:dyDescent="0.25">
      <c r="A10" s="2" t="s">
        <v>66</v>
      </c>
      <c r="B10" s="2" t="s">
        <v>74</v>
      </c>
      <c r="C10" s="2" t="s">
        <v>75</v>
      </c>
      <c r="D10" s="2" t="s">
        <v>69</v>
      </c>
      <c r="E10" s="2" t="s">
        <v>76</v>
      </c>
      <c r="F10" s="2" t="s">
        <v>272</v>
      </c>
      <c r="G10" s="2"/>
    </row>
    <row r="11" spans="1:7" x14ac:dyDescent="0.25">
      <c r="A11" s="2" t="s">
        <v>66</v>
      </c>
      <c r="B11" s="2" t="s">
        <v>77</v>
      </c>
      <c r="C11" s="2" t="s">
        <v>78</v>
      </c>
      <c r="D11" s="2" t="s">
        <v>69</v>
      </c>
      <c r="E11" s="2" t="s">
        <v>76</v>
      </c>
      <c r="F11" s="2" t="s">
        <v>272</v>
      </c>
      <c r="G11" s="2"/>
    </row>
    <row r="12" spans="1:7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272</v>
      </c>
      <c r="G12" s="2"/>
    </row>
    <row r="13" spans="1:7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272</v>
      </c>
      <c r="G13" s="2"/>
    </row>
    <row r="14" spans="1:7" x14ac:dyDescent="0.25">
      <c r="A14" s="2" t="s">
        <v>89</v>
      </c>
      <c r="B14" s="2" t="s">
        <v>94</v>
      </c>
      <c r="C14" s="2" t="s">
        <v>95</v>
      </c>
      <c r="D14" s="2" t="s">
        <v>92</v>
      </c>
      <c r="E14" s="2" t="s">
        <v>73</v>
      </c>
      <c r="F14" s="2" t="s">
        <v>272</v>
      </c>
      <c r="G14" s="2"/>
    </row>
    <row r="15" spans="1:7" x14ac:dyDescent="0.25">
      <c r="A15" s="2" t="s">
        <v>89</v>
      </c>
      <c r="B15" s="2" t="s">
        <v>109</v>
      </c>
      <c r="C15" s="2" t="s">
        <v>110</v>
      </c>
      <c r="D15" s="2" t="s">
        <v>92</v>
      </c>
      <c r="E15" s="2" t="s">
        <v>76</v>
      </c>
      <c r="F15" s="2" t="s">
        <v>272</v>
      </c>
      <c r="G15" s="2"/>
    </row>
    <row r="16" spans="1:7" x14ac:dyDescent="0.25">
      <c r="A16" s="2" t="s">
        <v>89</v>
      </c>
      <c r="B16" s="2" t="s">
        <v>99</v>
      </c>
      <c r="C16" s="2" t="s">
        <v>100</v>
      </c>
      <c r="D16" s="2" t="s">
        <v>92</v>
      </c>
      <c r="E16" s="2" t="s">
        <v>35</v>
      </c>
      <c r="F16" s="2" t="s">
        <v>272</v>
      </c>
      <c r="G16" s="2"/>
    </row>
    <row r="17" spans="1:7" x14ac:dyDescent="0.25">
      <c r="A17" s="2" t="s">
        <v>89</v>
      </c>
      <c r="B17" s="2" t="s">
        <v>107</v>
      </c>
      <c r="C17" s="2" t="s">
        <v>108</v>
      </c>
      <c r="D17" s="2" t="s">
        <v>92</v>
      </c>
      <c r="E17" s="2" t="s">
        <v>76</v>
      </c>
      <c r="F17" s="2" t="s">
        <v>272</v>
      </c>
      <c r="G17" s="2"/>
    </row>
    <row r="18" spans="1:7" x14ac:dyDescent="0.25">
      <c r="A18" s="2" t="s">
        <v>89</v>
      </c>
      <c r="B18" s="2" t="s">
        <v>96</v>
      </c>
      <c r="C18" s="2" t="s">
        <v>97</v>
      </c>
      <c r="D18" s="2" t="s">
        <v>92</v>
      </c>
      <c r="E18" s="2" t="s">
        <v>76</v>
      </c>
      <c r="F18" s="2" t="s">
        <v>272</v>
      </c>
      <c r="G18" s="2" t="s">
        <v>98</v>
      </c>
    </row>
    <row r="19" spans="1:7" x14ac:dyDescent="0.25">
      <c r="A19" s="2" t="s">
        <v>89</v>
      </c>
      <c r="B19" s="2" t="s">
        <v>105</v>
      </c>
      <c r="C19" s="2" t="s">
        <v>106</v>
      </c>
      <c r="D19" s="2" t="s">
        <v>92</v>
      </c>
      <c r="E19" s="2" t="s">
        <v>76</v>
      </c>
      <c r="F19" s="2" t="s">
        <v>272</v>
      </c>
      <c r="G19" s="2"/>
    </row>
    <row r="20" spans="1:7" x14ac:dyDescent="0.25">
      <c r="A20" s="2" t="s">
        <v>89</v>
      </c>
      <c r="B20" s="2" t="s">
        <v>103</v>
      </c>
      <c r="C20" s="2" t="s">
        <v>104</v>
      </c>
      <c r="D20" s="2" t="s">
        <v>92</v>
      </c>
      <c r="E20" s="2" t="s">
        <v>76</v>
      </c>
      <c r="F20" s="2" t="s">
        <v>272</v>
      </c>
      <c r="G20" s="2"/>
    </row>
    <row r="21" spans="1:7" x14ac:dyDescent="0.25">
      <c r="A21" s="2" t="s">
        <v>89</v>
      </c>
      <c r="B21" s="2" t="s">
        <v>276</v>
      </c>
      <c r="C21" s="2" t="s">
        <v>277</v>
      </c>
      <c r="D21" s="2" t="s">
        <v>92</v>
      </c>
      <c r="E21" s="2" t="s">
        <v>93</v>
      </c>
      <c r="F21" s="2" t="s">
        <v>278</v>
      </c>
      <c r="G21" s="2"/>
    </row>
    <row r="22" spans="1:7" x14ac:dyDescent="0.25">
      <c r="A22" s="2" t="s">
        <v>89</v>
      </c>
      <c r="B22" s="2" t="s">
        <v>101</v>
      </c>
      <c r="C22" s="2" t="s">
        <v>102</v>
      </c>
      <c r="D22" s="2" t="s">
        <v>92</v>
      </c>
      <c r="E22" s="2" t="s">
        <v>93</v>
      </c>
      <c r="F22" s="2" t="s">
        <v>278</v>
      </c>
      <c r="G22" s="2"/>
    </row>
    <row r="23" spans="1:7" x14ac:dyDescent="0.25">
      <c r="A23" s="2" t="s">
        <v>89</v>
      </c>
      <c r="B23" s="2" t="s">
        <v>111</v>
      </c>
      <c r="C23" s="2" t="s">
        <v>112</v>
      </c>
      <c r="D23" s="2" t="s">
        <v>92</v>
      </c>
      <c r="E23" s="2" t="s">
        <v>35</v>
      </c>
      <c r="F23" s="2" t="s">
        <v>278</v>
      </c>
      <c r="G23" s="2"/>
    </row>
    <row r="24" spans="1:7" x14ac:dyDescent="0.25">
      <c r="A24" s="2" t="s">
        <v>122</v>
      </c>
      <c r="B24" s="2" t="s">
        <v>122</v>
      </c>
      <c r="C24" s="2" t="s">
        <v>126</v>
      </c>
      <c r="D24" s="2" t="s">
        <v>125</v>
      </c>
      <c r="E24" s="2" t="s">
        <v>60</v>
      </c>
      <c r="F24" s="2" t="s">
        <v>272</v>
      </c>
      <c r="G24" s="2"/>
    </row>
    <row r="25" spans="1:7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35</v>
      </c>
      <c r="F25" s="2" t="s">
        <v>272</v>
      </c>
      <c r="G25" s="2"/>
    </row>
    <row r="26" spans="1:7" x14ac:dyDescent="0.25">
      <c r="A26" s="2" t="s">
        <v>122</v>
      </c>
      <c r="B26" s="2" t="s">
        <v>127</v>
      </c>
      <c r="C26" s="2" t="s">
        <v>128</v>
      </c>
      <c r="D26" s="2" t="s">
        <v>125</v>
      </c>
      <c r="E26" s="2" t="s">
        <v>35</v>
      </c>
      <c r="F26" s="2" t="s">
        <v>272</v>
      </c>
      <c r="G26" s="2"/>
    </row>
    <row r="27" spans="1:7" x14ac:dyDescent="0.25">
      <c r="A27" s="2" t="s">
        <v>122</v>
      </c>
      <c r="B27" s="2" t="s">
        <v>129</v>
      </c>
      <c r="C27" s="2" t="s">
        <v>130</v>
      </c>
      <c r="D27" s="2" t="s">
        <v>125</v>
      </c>
      <c r="E27" s="2" t="s">
        <v>35</v>
      </c>
      <c r="F27" s="2" t="s">
        <v>272</v>
      </c>
      <c r="G27" s="2"/>
    </row>
    <row r="28" spans="1:7" x14ac:dyDescent="0.25">
      <c r="A28" s="2" t="s">
        <v>133</v>
      </c>
      <c r="B28" s="2" t="s">
        <v>143</v>
      </c>
      <c r="C28" s="2" t="s">
        <v>144</v>
      </c>
      <c r="D28" s="2" t="s">
        <v>136</v>
      </c>
      <c r="E28" s="2" t="s">
        <v>93</v>
      </c>
      <c r="F28" s="2" t="s">
        <v>272</v>
      </c>
      <c r="G28" s="2"/>
    </row>
    <row r="29" spans="1:7" x14ac:dyDescent="0.25">
      <c r="A29" s="2" t="s">
        <v>133</v>
      </c>
      <c r="B29" s="2" t="s">
        <v>137</v>
      </c>
      <c r="C29" s="2" t="s">
        <v>138</v>
      </c>
      <c r="D29" s="2" t="s">
        <v>136</v>
      </c>
      <c r="E29" s="2" t="s">
        <v>51</v>
      </c>
      <c r="F29" s="2" t="s">
        <v>272</v>
      </c>
      <c r="G29" s="2"/>
    </row>
    <row r="30" spans="1:7" x14ac:dyDescent="0.25">
      <c r="A30" s="2" t="s">
        <v>133</v>
      </c>
      <c r="B30" s="2" t="s">
        <v>141</v>
      </c>
      <c r="C30" s="2" t="s">
        <v>142</v>
      </c>
      <c r="D30" s="2" t="s">
        <v>136</v>
      </c>
      <c r="E30" s="2" t="s">
        <v>35</v>
      </c>
      <c r="F30" s="2" t="s">
        <v>272</v>
      </c>
      <c r="G30" s="2"/>
    </row>
    <row r="31" spans="1:7" x14ac:dyDescent="0.25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51</v>
      </c>
      <c r="F31" s="2" t="s">
        <v>278</v>
      </c>
      <c r="G31" s="2"/>
    </row>
    <row r="32" spans="1:7" x14ac:dyDescent="0.25">
      <c r="A32" s="2" t="s">
        <v>133</v>
      </c>
      <c r="B32" s="2" t="s">
        <v>139</v>
      </c>
      <c r="C32" s="2" t="s">
        <v>140</v>
      </c>
      <c r="D32" s="2" t="s">
        <v>136</v>
      </c>
      <c r="E32" s="2" t="s">
        <v>35</v>
      </c>
      <c r="F32" s="2" t="s">
        <v>278</v>
      </c>
      <c r="G32" s="2"/>
    </row>
    <row r="33" spans="1:7" x14ac:dyDescent="0.25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73</v>
      </c>
      <c r="F33" s="2" t="s">
        <v>272</v>
      </c>
      <c r="G33" s="2"/>
    </row>
    <row r="34" spans="1:7" x14ac:dyDescent="0.25">
      <c r="A34" s="2" t="s">
        <v>157</v>
      </c>
      <c r="B34" s="2" t="s">
        <v>163</v>
      </c>
      <c r="C34" s="2" t="s">
        <v>164</v>
      </c>
      <c r="D34" s="2" t="s">
        <v>160</v>
      </c>
      <c r="E34" s="2" t="s">
        <v>60</v>
      </c>
      <c r="F34" s="2" t="s">
        <v>272</v>
      </c>
      <c r="G34" s="2"/>
    </row>
    <row r="35" spans="1:7" x14ac:dyDescent="0.25">
      <c r="A35" s="2" t="s">
        <v>157</v>
      </c>
      <c r="B35" s="2" t="s">
        <v>161</v>
      </c>
      <c r="C35" s="2" t="s">
        <v>162</v>
      </c>
      <c r="D35" s="2" t="s">
        <v>160</v>
      </c>
      <c r="E35" s="2" t="s">
        <v>51</v>
      </c>
      <c r="F35" s="2" t="s">
        <v>272</v>
      </c>
      <c r="G35" s="2"/>
    </row>
    <row r="36" spans="1:7" x14ac:dyDescent="0.25">
      <c r="A36" s="2" t="s">
        <v>157</v>
      </c>
      <c r="B36" s="2" t="s">
        <v>169</v>
      </c>
      <c r="C36" s="2" t="s">
        <v>170</v>
      </c>
      <c r="D36" s="2" t="s">
        <v>160</v>
      </c>
      <c r="E36" s="2" t="s">
        <v>51</v>
      </c>
      <c r="F36" s="2" t="s">
        <v>272</v>
      </c>
      <c r="G36" s="2"/>
    </row>
    <row r="37" spans="1:7" x14ac:dyDescent="0.25">
      <c r="A37" s="2" t="s">
        <v>157</v>
      </c>
      <c r="B37" s="2" t="s">
        <v>171</v>
      </c>
      <c r="C37" s="2" t="s">
        <v>172</v>
      </c>
      <c r="D37" s="2" t="s">
        <v>160</v>
      </c>
      <c r="E37" s="2" t="s">
        <v>35</v>
      </c>
      <c r="F37" s="2" t="s">
        <v>272</v>
      </c>
      <c r="G37" s="2"/>
    </row>
    <row r="38" spans="1:7" x14ac:dyDescent="0.25">
      <c r="A38" s="2" t="s">
        <v>157</v>
      </c>
      <c r="B38" s="2" t="s">
        <v>173</v>
      </c>
      <c r="C38" s="2" t="s">
        <v>174</v>
      </c>
      <c r="D38" s="2" t="s">
        <v>160</v>
      </c>
      <c r="E38" s="2" t="s">
        <v>35</v>
      </c>
      <c r="F38" s="2" t="s">
        <v>272</v>
      </c>
      <c r="G38" s="2"/>
    </row>
    <row r="39" spans="1:7" x14ac:dyDescent="0.25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35</v>
      </c>
      <c r="F39" s="2" t="s">
        <v>272</v>
      </c>
      <c r="G39" s="2"/>
    </row>
    <row r="40" spans="1:7" x14ac:dyDescent="0.25">
      <c r="A40" s="2" t="s">
        <v>157</v>
      </c>
      <c r="B40" s="2" t="s">
        <v>165</v>
      </c>
      <c r="C40" s="2" t="s">
        <v>166</v>
      </c>
      <c r="D40" s="2" t="s">
        <v>160</v>
      </c>
      <c r="E40" s="2" t="s">
        <v>60</v>
      </c>
      <c r="F40" s="2" t="s">
        <v>278</v>
      </c>
      <c r="G40" s="2"/>
    </row>
    <row r="41" spans="1:7" x14ac:dyDescent="0.25">
      <c r="A41" s="2" t="s">
        <v>178</v>
      </c>
      <c r="B41" s="2" t="s">
        <v>184</v>
      </c>
      <c r="C41" s="2" t="s">
        <v>185</v>
      </c>
      <c r="D41" s="2" t="s">
        <v>181</v>
      </c>
      <c r="E41" s="2" t="s">
        <v>60</v>
      </c>
      <c r="F41" s="2" t="s">
        <v>272</v>
      </c>
      <c r="G41" s="2"/>
    </row>
    <row r="42" spans="1:7" x14ac:dyDescent="0.25">
      <c r="A42" s="2" t="s">
        <v>178</v>
      </c>
      <c r="B42" s="2" t="s">
        <v>182</v>
      </c>
      <c r="C42" s="2" t="s">
        <v>183</v>
      </c>
      <c r="D42" s="2" t="s">
        <v>181</v>
      </c>
      <c r="E42" s="2" t="s">
        <v>60</v>
      </c>
      <c r="F42" s="2" t="s">
        <v>272</v>
      </c>
      <c r="G42" s="2"/>
    </row>
    <row r="43" spans="1:7" x14ac:dyDescent="0.25">
      <c r="A43" s="2" t="s">
        <v>178</v>
      </c>
      <c r="B43" s="2" t="s">
        <v>193</v>
      </c>
      <c r="C43" s="2" t="s">
        <v>194</v>
      </c>
      <c r="D43" s="2" t="s">
        <v>181</v>
      </c>
      <c r="E43" s="2" t="s">
        <v>51</v>
      </c>
      <c r="F43" s="2" t="s">
        <v>272</v>
      </c>
      <c r="G43" s="2"/>
    </row>
    <row r="44" spans="1:7" x14ac:dyDescent="0.25">
      <c r="A44" s="2" t="s">
        <v>178</v>
      </c>
      <c r="B44" s="2" t="s">
        <v>190</v>
      </c>
      <c r="C44" s="2" t="s">
        <v>191</v>
      </c>
      <c r="D44" s="2" t="s">
        <v>181</v>
      </c>
      <c r="E44" s="2" t="s">
        <v>51</v>
      </c>
      <c r="F44" s="2" t="s">
        <v>272</v>
      </c>
      <c r="G44" s="2"/>
    </row>
    <row r="45" spans="1:7" x14ac:dyDescent="0.25">
      <c r="A45" s="2" t="s">
        <v>178</v>
      </c>
      <c r="B45" s="2" t="s">
        <v>179</v>
      </c>
      <c r="C45" s="2" t="s">
        <v>180</v>
      </c>
      <c r="D45" s="2" t="s">
        <v>181</v>
      </c>
      <c r="E45" s="2" t="s">
        <v>51</v>
      </c>
      <c r="F45" s="2" t="s">
        <v>272</v>
      </c>
      <c r="G45" s="2"/>
    </row>
    <row r="46" spans="1:7" x14ac:dyDescent="0.25">
      <c r="A46" s="2" t="s">
        <v>178</v>
      </c>
      <c r="B46" s="2" t="s">
        <v>186</v>
      </c>
      <c r="C46" s="2" t="s">
        <v>187</v>
      </c>
      <c r="D46" s="2" t="s">
        <v>181</v>
      </c>
      <c r="E46" s="2" t="s">
        <v>35</v>
      </c>
      <c r="F46" s="2" t="s">
        <v>272</v>
      </c>
      <c r="G46" s="2"/>
    </row>
    <row r="47" spans="1:7" x14ac:dyDescent="0.25">
      <c r="A47" s="2" t="s">
        <v>178</v>
      </c>
      <c r="B47" s="2" t="s">
        <v>188</v>
      </c>
      <c r="C47" s="2" t="s">
        <v>189</v>
      </c>
      <c r="D47" s="2" t="s">
        <v>181</v>
      </c>
      <c r="E47" s="2" t="s">
        <v>35</v>
      </c>
      <c r="F47" s="2" t="s">
        <v>272</v>
      </c>
      <c r="G47" s="2"/>
    </row>
    <row r="48" spans="1:7" x14ac:dyDescent="0.25">
      <c r="A48" s="2" t="s">
        <v>178</v>
      </c>
      <c r="B48" s="2" t="s">
        <v>178</v>
      </c>
      <c r="C48" s="2" t="s">
        <v>192</v>
      </c>
      <c r="D48" s="2" t="s">
        <v>181</v>
      </c>
      <c r="E48" s="2" t="s">
        <v>86</v>
      </c>
      <c r="F48" s="2" t="s">
        <v>278</v>
      </c>
      <c r="G48" s="2"/>
    </row>
    <row r="49" spans="1:7" x14ac:dyDescent="0.25">
      <c r="A49" s="2" t="s">
        <v>199</v>
      </c>
      <c r="B49" s="2" t="s">
        <v>199</v>
      </c>
      <c r="C49" s="2" t="s">
        <v>213</v>
      </c>
      <c r="D49" s="2" t="s">
        <v>202</v>
      </c>
      <c r="E49" s="2" t="s">
        <v>214</v>
      </c>
      <c r="F49" s="2" t="s">
        <v>272</v>
      </c>
      <c r="G49" s="2"/>
    </row>
    <row r="50" spans="1:7" x14ac:dyDescent="0.25">
      <c r="A50" s="2" t="s">
        <v>199</v>
      </c>
      <c r="B50" s="2" t="s">
        <v>209</v>
      </c>
      <c r="C50" s="2" t="s">
        <v>210</v>
      </c>
      <c r="D50" s="2" t="s">
        <v>202</v>
      </c>
      <c r="E50" s="2" t="s">
        <v>51</v>
      </c>
      <c r="F50" s="2" t="s">
        <v>272</v>
      </c>
      <c r="G50" s="2"/>
    </row>
    <row r="51" spans="1:7" x14ac:dyDescent="0.25">
      <c r="A51" s="2" t="s">
        <v>199</v>
      </c>
      <c r="B51" s="2" t="s">
        <v>203</v>
      </c>
      <c r="C51" s="2" t="s">
        <v>204</v>
      </c>
      <c r="D51" s="2" t="s">
        <v>202</v>
      </c>
      <c r="E51" s="2" t="s">
        <v>51</v>
      </c>
      <c r="F51" s="2" t="s">
        <v>272</v>
      </c>
      <c r="G51" s="2"/>
    </row>
    <row r="52" spans="1:7" x14ac:dyDescent="0.25">
      <c r="A52" s="2" t="s">
        <v>199</v>
      </c>
      <c r="B52" s="2" t="s">
        <v>207</v>
      </c>
      <c r="C52" s="2" t="s">
        <v>208</v>
      </c>
      <c r="D52" s="2" t="s">
        <v>202</v>
      </c>
      <c r="E52" s="2" t="s">
        <v>35</v>
      </c>
      <c r="F52" s="2" t="s">
        <v>272</v>
      </c>
      <c r="G52" s="2"/>
    </row>
    <row r="53" spans="1:7" x14ac:dyDescent="0.25">
      <c r="A53" s="2" t="s">
        <v>199</v>
      </c>
      <c r="B53" s="2" t="s">
        <v>200</v>
      </c>
      <c r="C53" s="2" t="s">
        <v>201</v>
      </c>
      <c r="D53" s="2" t="s">
        <v>202</v>
      </c>
      <c r="E53" s="2" t="s">
        <v>35</v>
      </c>
      <c r="F53" s="2" t="s">
        <v>272</v>
      </c>
      <c r="G53" s="2"/>
    </row>
    <row r="54" spans="1:7" x14ac:dyDescent="0.25">
      <c r="A54" s="2" t="s">
        <v>199</v>
      </c>
      <c r="B54" s="2" t="s">
        <v>211</v>
      </c>
      <c r="C54" s="2" t="s">
        <v>212</v>
      </c>
      <c r="D54" s="2" t="s">
        <v>202</v>
      </c>
      <c r="E54" s="2" t="s">
        <v>60</v>
      </c>
      <c r="F54" s="2" t="s">
        <v>278</v>
      </c>
      <c r="G54" s="2"/>
    </row>
    <row r="55" spans="1:7" x14ac:dyDescent="0.25">
      <c r="A55" s="2" t="s">
        <v>199</v>
      </c>
      <c r="B55" s="2" t="s">
        <v>205</v>
      </c>
      <c r="C55" s="2" t="s">
        <v>206</v>
      </c>
      <c r="D55" s="2" t="s">
        <v>202</v>
      </c>
      <c r="E55" s="2" t="s">
        <v>35</v>
      </c>
      <c r="F55" s="2" t="s">
        <v>278</v>
      </c>
      <c r="G55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3" customWidth="1"/>
    <col min="3" max="3" width="35" customWidth="1"/>
    <col min="4" max="4" width="25" customWidth="1"/>
    <col min="5" max="5" width="44" customWidth="1"/>
  </cols>
  <sheetData>
    <row r="1" spans="1:5" x14ac:dyDescent="0.25">
      <c r="A1" s="1" t="s">
        <v>279</v>
      </c>
      <c r="B1" s="1" t="s">
        <v>6</v>
      </c>
      <c r="C1" s="1" t="s">
        <v>7</v>
      </c>
      <c r="D1" s="1" t="s">
        <v>8</v>
      </c>
      <c r="E1" s="1" t="s">
        <v>280</v>
      </c>
    </row>
    <row r="2" spans="1:5" x14ac:dyDescent="0.25">
      <c r="A2" s="2" t="s">
        <v>17</v>
      </c>
      <c r="B2" s="2" t="s">
        <v>45</v>
      </c>
      <c r="C2" s="2" t="s">
        <v>46</v>
      </c>
      <c r="D2" s="2" t="s">
        <v>20</v>
      </c>
      <c r="E2" s="2" t="s">
        <v>42</v>
      </c>
    </row>
    <row r="3" spans="1:5" x14ac:dyDescent="0.25">
      <c r="A3" s="2" t="s">
        <v>17</v>
      </c>
      <c r="B3" s="2" t="s">
        <v>43</v>
      </c>
      <c r="C3" s="2" t="s">
        <v>44</v>
      </c>
      <c r="D3" s="2" t="s">
        <v>20</v>
      </c>
      <c r="E3" s="2" t="s">
        <v>42</v>
      </c>
    </row>
    <row r="4" spans="1:5" ht="30" customHeight="1" x14ac:dyDescent="0.25">
      <c r="A4" s="2" t="s">
        <v>17</v>
      </c>
      <c r="B4" s="2" t="s">
        <v>17</v>
      </c>
      <c r="C4" s="2" t="s">
        <v>36</v>
      </c>
      <c r="D4" s="2" t="s">
        <v>20</v>
      </c>
      <c r="E4" s="2" t="s">
        <v>39</v>
      </c>
    </row>
    <row r="5" spans="1:5" x14ac:dyDescent="0.25">
      <c r="A5" s="2" t="s">
        <v>17</v>
      </c>
      <c r="B5" s="2" t="s">
        <v>40</v>
      </c>
      <c r="C5" s="2" t="s">
        <v>41</v>
      </c>
      <c r="D5" s="2" t="s">
        <v>20</v>
      </c>
      <c r="E5" s="2" t="s">
        <v>42</v>
      </c>
    </row>
    <row r="6" spans="1:5" x14ac:dyDescent="0.25">
      <c r="A6" s="2" t="s">
        <v>157</v>
      </c>
      <c r="B6" s="2" t="s">
        <v>281</v>
      </c>
      <c r="C6" s="2" t="s">
        <v>282</v>
      </c>
      <c r="D6" s="2" t="s">
        <v>160</v>
      </c>
      <c r="E6" s="2" t="s">
        <v>42</v>
      </c>
    </row>
    <row r="7" spans="1:5" ht="30" customHeight="1" x14ac:dyDescent="0.25">
      <c r="A7" s="2" t="s">
        <v>157</v>
      </c>
      <c r="B7" s="2" t="s">
        <v>157</v>
      </c>
      <c r="C7" s="2" t="s">
        <v>177</v>
      </c>
      <c r="D7" s="2" t="s">
        <v>160</v>
      </c>
      <c r="E7" s="2" t="s">
        <v>39</v>
      </c>
    </row>
    <row r="8" spans="1:5" x14ac:dyDescent="0.25">
      <c r="A8" s="2" t="s">
        <v>89</v>
      </c>
      <c r="B8" s="2" t="s">
        <v>283</v>
      </c>
      <c r="C8" s="2" t="s">
        <v>284</v>
      </c>
      <c r="D8" s="2" t="s">
        <v>92</v>
      </c>
      <c r="E8" s="2" t="s">
        <v>42</v>
      </c>
    </row>
    <row r="9" spans="1:5" ht="30" customHeight="1" x14ac:dyDescent="0.25">
      <c r="A9" s="2" t="s">
        <v>89</v>
      </c>
      <c r="B9" s="2" t="s">
        <v>89</v>
      </c>
      <c r="C9" s="2" t="s">
        <v>119</v>
      </c>
      <c r="D9" s="2" t="s">
        <v>92</v>
      </c>
      <c r="E9" s="2" t="s">
        <v>39</v>
      </c>
    </row>
    <row r="10" spans="1:5" x14ac:dyDescent="0.25">
      <c r="A10" s="2" t="s">
        <v>89</v>
      </c>
      <c r="B10" s="2" t="s">
        <v>117</v>
      </c>
      <c r="C10" s="2" t="s">
        <v>118</v>
      </c>
      <c r="D10" s="2" t="s">
        <v>92</v>
      </c>
      <c r="E10" s="2" t="s">
        <v>42</v>
      </c>
    </row>
    <row r="11" spans="1:5" x14ac:dyDescent="0.25">
      <c r="A11" s="2" t="s">
        <v>199</v>
      </c>
      <c r="B11" s="2" t="s">
        <v>285</v>
      </c>
      <c r="C11" s="2" t="s">
        <v>286</v>
      </c>
      <c r="D11" s="2" t="s">
        <v>202</v>
      </c>
      <c r="E11" s="2" t="s">
        <v>42</v>
      </c>
    </row>
    <row r="12" spans="1:5" x14ac:dyDescent="0.25">
      <c r="A12" s="2" t="s">
        <v>199</v>
      </c>
      <c r="B12" s="2" t="s">
        <v>219</v>
      </c>
      <c r="C12" s="2" t="s">
        <v>220</v>
      </c>
      <c r="D12" s="2" t="s">
        <v>202</v>
      </c>
      <c r="E12" s="2" t="s">
        <v>42</v>
      </c>
    </row>
    <row r="13" spans="1:5" ht="30" customHeight="1" x14ac:dyDescent="0.25">
      <c r="A13" s="2" t="s">
        <v>66</v>
      </c>
      <c r="B13" s="2" t="s">
        <v>66</v>
      </c>
      <c r="C13" s="2" t="s">
        <v>85</v>
      </c>
      <c r="D13" s="2" t="s">
        <v>69</v>
      </c>
      <c r="E13" s="2" t="s">
        <v>39</v>
      </c>
    </row>
    <row r="14" spans="1:5" x14ac:dyDescent="0.25">
      <c r="A14" s="2" t="s">
        <v>66</v>
      </c>
      <c r="B14" s="2" t="s">
        <v>287</v>
      </c>
      <c r="C14" s="2" t="s">
        <v>288</v>
      </c>
      <c r="D14" s="2" t="s">
        <v>69</v>
      </c>
      <c r="E14" s="2" t="s">
        <v>42</v>
      </c>
    </row>
    <row r="15" spans="1:5" x14ac:dyDescent="0.25">
      <c r="A15" s="2" t="s">
        <v>66</v>
      </c>
      <c r="B15" s="2" t="s">
        <v>87</v>
      </c>
      <c r="C15" s="2" t="s">
        <v>88</v>
      </c>
      <c r="D15" s="2" t="s">
        <v>69</v>
      </c>
      <c r="E15" s="2" t="s">
        <v>42</v>
      </c>
    </row>
    <row r="16" spans="1:5" x14ac:dyDescent="0.25">
      <c r="A16" s="2" t="s">
        <v>133</v>
      </c>
      <c r="B16" s="2" t="s">
        <v>147</v>
      </c>
      <c r="C16" s="2" t="s">
        <v>148</v>
      </c>
      <c r="D16" s="2" t="s">
        <v>136</v>
      </c>
      <c r="E16" s="2" t="s">
        <v>42</v>
      </c>
    </row>
    <row r="17" spans="1:5" ht="30" customHeight="1" x14ac:dyDescent="0.25">
      <c r="A17" s="2" t="s">
        <v>133</v>
      </c>
      <c r="B17" s="2" t="s">
        <v>133</v>
      </c>
      <c r="C17" s="2" t="s">
        <v>149</v>
      </c>
      <c r="D17" s="2" t="s">
        <v>136</v>
      </c>
      <c r="E17" s="2" t="s">
        <v>39</v>
      </c>
    </row>
    <row r="18" spans="1:5" x14ac:dyDescent="0.25">
      <c r="A18" s="2" t="s">
        <v>47</v>
      </c>
      <c r="B18" s="2" t="s">
        <v>61</v>
      </c>
      <c r="C18" s="2" t="s">
        <v>62</v>
      </c>
      <c r="D18" s="2" t="s">
        <v>50</v>
      </c>
      <c r="E18" s="2" t="s">
        <v>42</v>
      </c>
    </row>
    <row r="19" spans="1:5" ht="30" customHeight="1" x14ac:dyDescent="0.25">
      <c r="A19" s="2" t="s">
        <v>47</v>
      </c>
      <c r="B19" s="2" t="s">
        <v>63</v>
      </c>
      <c r="C19" s="2" t="s">
        <v>64</v>
      </c>
      <c r="D19" s="2" t="s">
        <v>50</v>
      </c>
      <c r="E19" s="2" t="s">
        <v>39</v>
      </c>
    </row>
    <row r="20" spans="1:5" ht="30" customHeight="1" x14ac:dyDescent="0.25">
      <c r="A20" s="2" t="s">
        <v>150</v>
      </c>
      <c r="B20" s="2" t="s">
        <v>150</v>
      </c>
      <c r="C20" s="2" t="s">
        <v>156</v>
      </c>
      <c r="D20" s="2" t="s">
        <v>153</v>
      </c>
      <c r="E20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Sheet1</vt:lpstr>
      <vt:lpstr>All Members Allocation</vt:lpstr>
      <vt:lpstr>3 to 5 Need</vt:lpstr>
      <vt:lpstr>54 Seat Allocation</vt:lpstr>
      <vt:lpstr>Final 54 List</vt:lpstr>
      <vt:lpstr>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</cp:lastModifiedBy>
  <dcterms:created xsi:type="dcterms:W3CDTF">2026-07-02T04:48:51Z</dcterms:created>
  <dcterms:modified xsi:type="dcterms:W3CDTF">2026-07-08T04:28:47Z</dcterms:modified>
</cp:coreProperties>
</file>