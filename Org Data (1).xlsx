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ster_Employees" sheetId="2" r:id="rId6"/>
    <sheet state="visible" name="Shared_Accounts" sheetId="3" r:id="rId7"/>
    <sheet state="visible" name="Licenses" sheetId="4" r:id="rId8"/>
    <sheet state="hidden" name="Groups" sheetId="5" r:id="rId9"/>
    <sheet state="visible" name="License_Inventory" sheetId="6" r:id="rId10"/>
    <sheet state="visible" name="User_License_Matrix" sheetId="7" r:id="rId11"/>
    <sheet state="hidden" name="Tool_Catalogue" sheetId="8" r:id="rId12"/>
    <sheet state="visible" name="Systems" sheetId="9" r:id="rId13"/>
    <sheet state="visible" name="Monthly_Utilisation" sheetId="10" r:id="rId14"/>
    <sheet state="hidden" name="Group_License_View" sheetId="11" r:id="rId15"/>
    <sheet state="hidden" name="Peripherals" sheetId="12" r:id="rId16"/>
    <sheet state="hidden" name="System_Health" sheetId="13" r:id="rId17"/>
    <sheet state="hidden" name="Data_Health" sheetId="14" r:id="rId18"/>
    <sheet state="hidden" name="Secrets_Registry" sheetId="15" r:id="rId19"/>
    <sheet state="hidden" name="README" sheetId="16" r:id="rId20"/>
    <sheet state="visible" name="License_Dashboard" sheetId="17" r:id="rId21"/>
    <sheet state="visible" name="Live_Org_Chart" sheetId="18" r:id="rId22"/>
    <sheet state="visible" name="Expiring_Soon" sheetId="19" r:id="rId23"/>
    <sheet state="visible" name="Group_Overview" sheetId="20" r:id="rId24"/>
    <sheet state="hidden" name="Expired_Licenses" sheetId="21" r:id="rId25"/>
  </sheets>
  <definedNames>
    <definedName hidden="1" localSheetId="1" name="_xlnm._FilterDatabase">Master_Employees!$A$1:$R$1000</definedName>
    <definedName hidden="1" localSheetId="3" name="_xlnm._FilterDatabase">Licenses!$A$1:$I$219</definedName>
    <definedName hidden="1" localSheetId="5" name="_xlnm._FilterDatabase">License_Inventory!$A$1:$U$29</definedName>
    <definedName hidden="1" localSheetId="6" name="_xlnm._FilterDatabase">User_License_Matrix!$A$4:$I$112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">
      <text>
        <t xml:space="preserve">Date of Joining (yyyy-mm-dd). SLExp = today − DOJ.</t>
      </text>
    </comment>
    <comment authorId="0" ref="T1">
      <text>
        <t xml:space="preserve">Years of experience before joining. OExp = SLExp + Prior Exp.</t>
      </text>
    </comment>
    <comment authorId="0" ref="U1">
      <text>
        <t xml:space="preserve">Public photo URL (Drive shared link). Empty = initials avatar.</t>
      </text>
    </comment>
    <comment authorId="0" ref="V1">
      <text>
        <t xml:space="preserve">Auto-derived from Job Title. Do not edit.</t>
      </text>
    </comment>
    <comment authorId="0" ref="W1">
      <text>
        <t xml:space="preserve">Auto-derived. Do not edit.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Machine name e.g. LDS-02</t>
      </text>
    </comment>
    <comment authorId="0" ref="B1">
      <text>
        <t xml:space="preserve">Desktop / Laptop — dropdown</t>
      </text>
    </comment>
    <comment authorId="0" ref="C1">
      <text>
        <t xml:space="preserve">Owner email (links to Master)</t>
      </text>
    </comment>
    <comment authorId="0" ref="D1">
      <text>
        <t xml:space="preserve">Owner display name</t>
      </text>
    </comment>
    <comment authorId="0" ref="E1">
      <text>
        <t xml:space="preserve">Team / group</t>
      </text>
    </comment>
    <comment authorId="0" ref="F1">
      <text>
        <t xml:space="preserve">AUTO — what workload it handles. Do not edit.</t>
      </text>
    </comment>
    <comment authorId="0" ref="G1">
      <text>
        <t xml:space="preserve">AUTO — GPU class. Do not edit.</t>
      </text>
    </comment>
    <comment authorId="0" ref="H1">
      <text>
        <t xml:space="preserve">AUTO — recommended action. Do not edit.</t>
      </text>
    </comment>
    <comment authorId="0" ref="I1">
      <text>
        <t xml:space="preserve">CPU</t>
      </text>
    </comment>
    <comment authorId="0" ref="J1">
      <text>
        <t xml:space="preserve">Total RAM in GB</t>
      </text>
    </comment>
    <comment authorId="0" ref="K1">
      <text>
        <t xml:space="preserve">Empty DIMM slots</t>
      </text>
    </comment>
    <comment authorId="0" ref="L1">
      <text>
        <t xml:space="preserve">GPU model</t>
      </text>
    </comment>
    <comment authorId="0" ref="M1">
      <text>
        <t xml:space="preserve">Core/thread count</t>
      </text>
    </comment>
    <comment authorId="0" ref="N1">
      <text>
        <t xml:space="preserve">SSD/HDD</t>
      </text>
    </comment>
    <comment authorId="0" ref="O1">
      <text>
        <t xml:space="preserve">Mainboard</t>
      </text>
    </comment>
    <comment authorId="0" ref="P1">
      <text>
        <t xml:space="preserve">Operating system</t>
      </text>
    </comment>
    <comment authorId="0" ref="AD1">
      <text>
        <t xml:space="preserve">Active / Faulty / Retired / Spare — dropdown</t>
      </text>
    </comment>
    <comment authorId="0" ref="AE1">
      <text>
        <t xml:space="preserve">Yes if PIN in PropertiesService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Primary key (e.g. PROJ-01, KB-04)</t>
      </text>
    </comment>
    <comment authorId="0" ref="B1">
      <text>
        <t xml:space="preserve">Projector | Keyboard | Mouse | Monitor | Cable | Other</t>
      </text>
    </comment>
    <comment authorId="0" ref="C1">
      <text>
        <t xml:space="preserve">Description</t>
      </text>
    </comment>
    <comment authorId="0" ref="F1">
      <text>
        <t xml:space="preserve">For bulk items like spare cables</t>
      </text>
    </comment>
    <comment authorId="0" ref="G1">
      <text>
        <t xml:space="preserve">Good | Fair | Damaged | Retired</t>
      </text>
    </comment>
    <comment authorId="0" ref="I1">
      <text>
        <t xml:space="preserve">Email if assigned, blank if shared/spare</t>
      </text>
    </comment>
    <comment authorId="0" ref="J1">
      <text>
        <t xml:space="preserve">Active | Spare | Faulty | Retired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Logical name (e.g. "system.LDS-02.windows_key"). Required.</t>
      </text>
    </comment>
    <comment authorId="0" ref="B1">
      <text>
        <t xml:space="preserve">System ID / Email this relates to.</t>
      </text>
    </comment>
    <comment authorId="0" ref="C1">
      <text>
        <t xml:space="preserve">Windows Key / Adobe Password / RDP PIN etc.</t>
      </text>
    </comment>
    <comment authorId="0" ref="D1">
      <text>
        <t xml:space="preserve">Always "PropertiesService". Sheet only registers WHAT exists.</t>
      </text>
    </comment>
    <comment authorId="0" ref="E1">
      <text>
        <t xml:space="preserve">Date last changed. Compliance/audit.</t>
      </text>
    </comment>
    <comment authorId="0" ref="F1">
      <text>
        <t xml:space="preserve">Email of person responsible for rotation.</t>
      </text>
    </comment>
  </commentList>
</comments>
</file>

<file path=xl/sharedStrings.xml><?xml version="1.0" encoding="utf-8"?>
<sst xmlns="http://schemas.openxmlformats.org/spreadsheetml/2006/main" count="11501" uniqueCount="2184">
  <si>
    <t>Studio Lotus — Operating Dashboard</t>
  </si>
  <si>
    <t>Live view of people, teams and software entitlements</t>
  </si>
  <si>
    <t>⌂  Organisation</t>
  </si>
  <si>
    <t>Active Employees</t>
  </si>
  <si>
    <t>Principals</t>
  </si>
  <si>
    <t>Active Teams</t>
  </si>
  <si>
    <t>Interns</t>
  </si>
  <si>
    <t>Permanent</t>
  </si>
  <si>
    <t>Licensed People</t>
  </si>
  <si>
    <t>Include in Org = TRUE</t>
  </si>
  <si>
    <t>Harsh · Ambrish · Ankur · Asha</t>
  </si>
  <si>
    <t>across the studio</t>
  </si>
  <si>
    <t>currently on roll</t>
  </si>
  <si>
    <t>have at least one tool</t>
  </si>
  <si>
    <t>⌬  Licenses</t>
  </si>
  <si>
    <t>Software Titles</t>
  </si>
  <si>
    <t>Total Licenses</t>
  </si>
  <si>
    <t>License Assigned</t>
  </si>
  <si>
    <t>Spare Licenses</t>
  </si>
  <si>
    <t>Expiring 30d</t>
  </si>
  <si>
    <t>Expired</t>
  </si>
  <si>
    <t>distinct tools</t>
  </si>
  <si>
    <t>across all contracts</t>
  </si>
  <si>
    <t>live assignments</t>
  </si>
  <si>
    <t>seats unallocated</t>
  </si>
  <si>
    <t>plan renewal</t>
  </si>
  <si>
    <t>renew now</t>
  </si>
  <si>
    <t>◇  Headcount by Principal</t>
  </si>
  <si>
    <t>Principal</t>
  </si>
  <si>
    <t>Licenses Held</t>
  </si>
  <si>
    <t>Harsh Vardhan</t>
  </si>
  <si>
    <t>Ambrish Arora</t>
  </si>
  <si>
    <t>Ankur Choksi</t>
  </si>
  <si>
    <t>Asha Sairam</t>
  </si>
  <si>
    <t>➤  Go to</t>
  </si>
  <si>
    <t>License_Dashboard</t>
  </si>
  <si>
    <t>Full software inventory, utilisation and renewal posture</t>
  </si>
  <si>
    <t>Master_Employees</t>
  </si>
  <si>
    <t>Source of truth for every person — edit Group Key to re-team</t>
  </si>
  <si>
    <t>Licenses</t>
  </si>
  <si>
    <t>One row per user-license assignment; data validation included</t>
  </si>
  <si>
    <t>License_Inventory</t>
  </si>
  <si>
    <t>Contracts: vendor, seats, dates, days-to-expiry</t>
  </si>
  <si>
    <t>Expiring_Soon</t>
  </si>
  <si>
    <t>⚠ Watchlist for the next 30 days — change horizon in B2</t>
  </si>
  <si>
    <t>Group_License_View</t>
  </si>
  <si>
    <t>Pivot of licenses by team and principal</t>
  </si>
  <si>
    <t>User_License_Matrix</t>
  </si>
  <si>
    <t>Who has which tool — cross-tab</t>
  </si>
  <si>
    <t>Live_Org_Chart</t>
  </si>
  <si>
    <t>Rendered org tree (rebuilt by Apps Script)</t>
  </si>
  <si>
    <t>Apps Script — once imported into Google Sheets, paste the provided Code.gs and OrgTree.html into Extensions &gt; Apps Script, then run Studio Lotus Org &gt; Setup Auto Refresh. A daily trigger (sendRenewalDigest) can email itsupport@studiolotus.in when contracts approach expiry.</t>
  </si>
  <si>
    <t>Employee No</t>
  </si>
  <si>
    <t>Employee Name</t>
  </si>
  <si>
    <t>Work Email</t>
  </si>
  <si>
    <t>Group Key</t>
  </si>
  <si>
    <t>Group / Team</t>
  </si>
  <si>
    <t>Team Lead</t>
  </si>
  <si>
    <t>Org Level</t>
  </si>
  <si>
    <t>Job Title</t>
  </si>
  <si>
    <t>Source Reports To</t>
  </si>
  <si>
    <t>Source Manager Emp No</t>
  </si>
  <si>
    <t>Manager Override Emp No</t>
  </si>
  <si>
    <t>Business Unit</t>
  </si>
  <si>
    <t>Department</t>
  </si>
  <si>
    <t>Worker Type</t>
  </si>
  <si>
    <t>Include in Org</t>
  </si>
  <si>
    <t>License Count</t>
  </si>
  <si>
    <t>Notes</t>
  </si>
  <si>
    <t>DOJ</t>
  </si>
  <si>
    <t>Prior Exp (yrs)</t>
  </si>
  <si>
    <t>Image URL</t>
  </si>
  <si>
    <t>Designation Level</t>
  </si>
  <si>
    <t>Designation Color</t>
  </si>
  <si>
    <t>SL0027</t>
  </si>
  <si>
    <t>harsh@studiolotus.in</t>
  </si>
  <si>
    <t>HARSH-HOMES</t>
  </si>
  <si>
    <t>SL0001</t>
  </si>
  <si>
    <t>Studio Lotus</t>
  </si>
  <si>
    <t>Unit Support</t>
  </si>
  <si>
    <t>#1A2332</t>
  </si>
  <si>
    <t>SL0244</t>
  </si>
  <si>
    <t>Anandita Kaur Narula</t>
  </si>
  <si>
    <t>anandita.narula@studiolotus.in</t>
  </si>
  <si>
    <t>Sr. Architect</t>
  </si>
  <si>
    <t>Unit 2</t>
  </si>
  <si>
    <t>Residential &amp; Commercial ID &amp; Arch-Unit 2</t>
  </si>
  <si>
    <t>Senior Architect/Designer</t>
  </si>
  <si>
    <t>#A4853D</t>
  </si>
  <si>
    <t>SL0272</t>
  </si>
  <si>
    <t>Anshika Maheshwari</t>
  </si>
  <si>
    <t>anshika@studiolotus.in</t>
  </si>
  <si>
    <t>Architect</t>
  </si>
  <si>
    <t>Architect/Designer</t>
  </si>
  <si>
    <t>#5D4156</t>
  </si>
  <si>
    <t>SL0007</t>
  </si>
  <si>
    <t>Kavita Chatola</t>
  </si>
  <si>
    <t>kavita@studiolotus.in</t>
  </si>
  <si>
    <t>HARSH-ADMIN</t>
  </si>
  <si>
    <t>Manager Administration</t>
  </si>
  <si>
    <t>Support</t>
  </si>
  <si>
    <t>#707A87</t>
  </si>
  <si>
    <t>SL0203</t>
  </si>
  <si>
    <t>Maitrayee Takale</t>
  </si>
  <si>
    <t>maitrayee@studiolotus.in</t>
  </si>
  <si>
    <t>SL0302</t>
  </si>
  <si>
    <t>Sarthak Sharma</t>
  </si>
  <si>
    <t>sarthak.sharma@studiolotus.in</t>
  </si>
  <si>
    <t>SL0063</t>
  </si>
  <si>
    <t>Tanvi Jain</t>
  </si>
  <si>
    <t>tanvi@studiolotus.in</t>
  </si>
  <si>
    <t>HARSH-BD</t>
  </si>
  <si>
    <t>Engagement Manager- Business Development</t>
  </si>
  <si>
    <t>SL0338</t>
  </si>
  <si>
    <t>Aditi Agashe</t>
  </si>
  <si>
    <t>aditi.agashe@studiolotus.in</t>
  </si>
  <si>
    <t>Project Architect</t>
  </si>
  <si>
    <t>Project Architect/Designer</t>
  </si>
  <si>
    <t>#8A4A35</t>
  </si>
  <si>
    <t>453</t>
  </si>
  <si>
    <t>Ambar Agarwal</t>
  </si>
  <si>
    <t>ambar.agarwal@studiolotus.in</t>
  </si>
  <si>
    <t>Intern</t>
  </si>
  <si>
    <t>#97A0AB</t>
  </si>
  <si>
    <t>SL0224</t>
  </si>
  <si>
    <t>Amita Goel</t>
  </si>
  <si>
    <t>amita@studiolotus.in</t>
  </si>
  <si>
    <t>Associate Principal</t>
  </si>
  <si>
    <t>#2E4057</t>
  </si>
  <si>
    <t>SL0249</t>
  </si>
  <si>
    <t>Atharv Subharwal</t>
  </si>
  <si>
    <t>atharv@studiolotus.in</t>
  </si>
  <si>
    <t>Sr. 3D Artist</t>
  </si>
  <si>
    <t>SL0236</t>
  </si>
  <si>
    <t>Bharati Asmita</t>
  </si>
  <si>
    <t>asmita.bharati@studiolotus.in</t>
  </si>
  <si>
    <t>Communications Manager</t>
  </si>
  <si>
    <t>SL0347</t>
  </si>
  <si>
    <t>Karishma Patidar</t>
  </si>
  <si>
    <t>karishma.patidar@studiolotus.in</t>
  </si>
  <si>
    <t>SL0266</t>
  </si>
  <si>
    <t>Atul Kumar Singh</t>
  </si>
  <si>
    <t>atul@studiolotus.in</t>
  </si>
  <si>
    <t>Office Manager</t>
  </si>
  <si>
    <t>6</t>
  </si>
  <si>
    <t>Ajay Kanhaiya Lal</t>
  </si>
  <si>
    <t>lalk75219@gmail.com</t>
  </si>
  <si>
    <t>Office Support</t>
  </si>
  <si>
    <t>4</t>
  </si>
  <si>
    <t>Ram (Ravi) Prasad Sharma</t>
  </si>
  <si>
    <t>ravi.sharma.lotus@gmail.com</t>
  </si>
  <si>
    <t>7</t>
  </si>
  <si>
    <t>Sunil Kumar Paswan</t>
  </si>
  <si>
    <t>sunil3pswn@gmail.com</t>
  </si>
  <si>
    <t>3</t>
  </si>
  <si>
    <t>Umesh Mandal</t>
  </si>
  <si>
    <t>umeshmandal1403@gmail.com</t>
  </si>
  <si>
    <t>Cook</t>
  </si>
  <si>
    <t>9</t>
  </si>
  <si>
    <t>Vikram Singh</t>
  </si>
  <si>
    <t>vikram056085@gmail.com</t>
  </si>
  <si>
    <t>SL0343</t>
  </si>
  <si>
    <t>Devdutt Kumar</t>
  </si>
  <si>
    <t>devdutt.kumar@studiolotus.in</t>
  </si>
  <si>
    <t>HARSH-IT</t>
  </si>
  <si>
    <t>Senior Software Engineer, Data Platform</t>
  </si>
  <si>
    <t>SL0090</t>
  </si>
  <si>
    <t>Nitayee Das</t>
  </si>
  <si>
    <t>itsupport@studiolotus.in</t>
  </si>
  <si>
    <t>Manager (Information Technology)</t>
  </si>
  <si>
    <t>SL0321</t>
  </si>
  <si>
    <t>Sachin Tyagi</t>
  </si>
  <si>
    <t>sachin.tyagi@studiolotus.in</t>
  </si>
  <si>
    <t>Senior Manager - IT</t>
  </si>
  <si>
    <t>SL0356</t>
  </si>
  <si>
    <t>Isha Singh</t>
  </si>
  <si>
    <t>isha.singh@studiolotus.in</t>
  </si>
  <si>
    <t>HARSH-PEOPLE</t>
  </si>
  <si>
    <t>Senior Manager- Human Resources</t>
  </si>
  <si>
    <t>SL0157</t>
  </si>
  <si>
    <t>Nishant Singh</t>
  </si>
  <si>
    <t>nishant.singh@studiolotus.in</t>
  </si>
  <si>
    <t>Administrator Human Resources</t>
  </si>
  <si>
    <t>ambrish@studiolotus.in</t>
  </si>
  <si>
    <t>AMB-DIRECT</t>
  </si>
  <si>
    <t>Architecture Unit 1</t>
  </si>
  <si>
    <t>SL0098</t>
  </si>
  <si>
    <t>Prajwal Yashwant Amin</t>
  </si>
  <si>
    <t>prajwal@studiolotus.in</t>
  </si>
  <si>
    <t>AMB-PRAJWAL</t>
  </si>
  <si>
    <t>Unit 1</t>
  </si>
  <si>
    <t>SL0250</t>
  </si>
  <si>
    <t>Aditi Panwar</t>
  </si>
  <si>
    <t>aditi.panwar@studiolotus.in</t>
  </si>
  <si>
    <t>SL0352</t>
  </si>
  <si>
    <t>Ayushi Patwari</t>
  </si>
  <si>
    <t>ayushi.patwari@studiolotus.in</t>
  </si>
  <si>
    <t>SL0307</t>
  </si>
  <si>
    <t>Puru Bhatia</t>
  </si>
  <si>
    <t>puru.bhatia@studiolotus.in</t>
  </si>
  <si>
    <t>SL0330</t>
  </si>
  <si>
    <t>Suhani Khandelwal</t>
  </si>
  <si>
    <t>suhani.khandelwal@studiolotus.in</t>
  </si>
  <si>
    <t>SL0006</t>
  </si>
  <si>
    <t>Rajendra Kumar Mohanty</t>
  </si>
  <si>
    <t>rajendra@studiolotus.in</t>
  </si>
  <si>
    <t>HARSH-FINANCE</t>
  </si>
  <si>
    <t>Head Finance and Accounts</t>
  </si>
  <si>
    <t>SL0305</t>
  </si>
  <si>
    <t>Aman Jha</t>
  </si>
  <si>
    <t>accountsexecutive@studiolotus.in</t>
  </si>
  <si>
    <t>Finance &amp; Accounts</t>
  </si>
  <si>
    <t>Accounts Executive</t>
  </si>
  <si>
    <t>77</t>
  </si>
  <si>
    <t>HR Studio Lotus</t>
  </si>
  <si>
    <t>hr@studiolotus.in</t>
  </si>
  <si>
    <t>Human Resources Head</t>
  </si>
  <si>
    <t>Nirmal Singh Bhakuni</t>
  </si>
  <si>
    <t>SL0008</t>
  </si>
  <si>
    <t>nirmal@studiolotus.in</t>
  </si>
  <si>
    <t>Assistant Manager -Accounts</t>
  </si>
  <si>
    <t>SL0314</t>
  </si>
  <si>
    <t>Varun Srivastava</t>
  </si>
  <si>
    <t>varun.srivastava@studiolotus.in</t>
  </si>
  <si>
    <t>AMB-VARUN</t>
  </si>
  <si>
    <t>Group Leader</t>
  </si>
  <si>
    <t>#475E4A</t>
  </si>
  <si>
    <t>SL0333</t>
  </si>
  <si>
    <t>Adhiraj Sirkeck</t>
  </si>
  <si>
    <t>adhiraj.sirkeck@studiolotus.in</t>
  </si>
  <si>
    <t>SL0299</t>
  </si>
  <si>
    <t>Harsha Singh</t>
  </si>
  <si>
    <t>harsha.singh@studiolotus.in</t>
  </si>
  <si>
    <t>SL0357</t>
  </si>
  <si>
    <t>Khushboo Pandey</t>
  </si>
  <si>
    <t>khushboo.pandey@studiolotus.in</t>
  </si>
  <si>
    <t>SL0318</t>
  </si>
  <si>
    <t>Nikita Bhatia</t>
  </si>
  <si>
    <t>nikita.bhatia@studiolotus.in</t>
  </si>
  <si>
    <t>SL0263</t>
  </si>
  <si>
    <t>Rida Drabu</t>
  </si>
  <si>
    <t>rida@studiolotus.in</t>
  </si>
  <si>
    <t>SL0289</t>
  </si>
  <si>
    <t>Rushil Jain</t>
  </si>
  <si>
    <t>rushil.jain@studiolotus.in</t>
  </si>
  <si>
    <t>SL0220</t>
  </si>
  <si>
    <t>Satwik Singh Rathour</t>
  </si>
  <si>
    <t>satwik@studiolotus.in</t>
  </si>
  <si>
    <t>SL0204</t>
  </si>
  <si>
    <t>Vivin Neelankavil</t>
  </si>
  <si>
    <t>vivin@studiolotus.in</t>
  </si>
  <si>
    <t>SL0150</t>
  </si>
  <si>
    <t>Yatin Tokas</t>
  </si>
  <si>
    <t>yatin.tokas@studiolotus.in</t>
  </si>
  <si>
    <t>AMB-YATIN</t>
  </si>
  <si>
    <t>Project Lead</t>
  </si>
  <si>
    <t>SL0358</t>
  </si>
  <si>
    <t>Abiyah Grace Ebby</t>
  </si>
  <si>
    <t>abiyah.grace@studiolotus.in</t>
  </si>
  <si>
    <t>SL0340</t>
  </si>
  <si>
    <t>Deepak Chakicherla</t>
  </si>
  <si>
    <t>deepak.chakicherla@studiolotus.in</t>
  </si>
  <si>
    <t>SL0303</t>
  </si>
  <si>
    <t>Jagdish Samal</t>
  </si>
  <si>
    <t>jagdish.samal@studiolotus.in</t>
  </si>
  <si>
    <t>SL0364</t>
  </si>
  <si>
    <t>Karthick R</t>
  </si>
  <si>
    <t>karthick.r@studiolotus.in</t>
  </si>
  <si>
    <t>Manually grouped under Yatin Tokas.</t>
  </si>
  <si>
    <t>SL0288</t>
  </si>
  <si>
    <t>Kashish Singh</t>
  </si>
  <si>
    <t>kashish.singh@studiolotus.in</t>
  </si>
  <si>
    <t>SL0326</t>
  </si>
  <si>
    <t>Mihir Jagdishbhai Ramani</t>
  </si>
  <si>
    <t>mihir.ramani@studiolotus.in</t>
  </si>
  <si>
    <t>SL0251</t>
  </si>
  <si>
    <t>Priyanka Jawa</t>
  </si>
  <si>
    <t>priyanka.jawa@studiolotus.in</t>
  </si>
  <si>
    <t>448</t>
  </si>
  <si>
    <t>Vipul Sharma</t>
  </si>
  <si>
    <t>vipulsh1402@gmail.com</t>
  </si>
  <si>
    <t>SL0351</t>
  </si>
  <si>
    <t>Vishal Dubey</t>
  </si>
  <si>
    <t>vishal.dubey@studiolotus.in</t>
  </si>
  <si>
    <t>SL0003</t>
  </si>
  <si>
    <t>ankur@lotuslink.in</t>
  </si>
  <si>
    <t>ANKUR-DIRECT</t>
  </si>
  <si>
    <t>SL0278</t>
  </si>
  <si>
    <t>Prashant Bharadwaj</t>
  </si>
  <si>
    <t>prashant.bharadwaj@studiolotus.in</t>
  </si>
  <si>
    <t>ANKUR-PRASHANT</t>
  </si>
  <si>
    <t>Ankur Pradeep Choksi</t>
  </si>
  <si>
    <t>449</t>
  </si>
  <si>
    <t>Aditi Sudheer Kari</t>
  </si>
  <si>
    <t>aditi3641arch22@spa.ac.in</t>
  </si>
  <si>
    <t>SL0328</t>
  </si>
  <si>
    <t>Aditya Pandoh</t>
  </si>
  <si>
    <t>aditya.pandoh@studiolotus.in</t>
  </si>
  <si>
    <t>Designer</t>
  </si>
  <si>
    <t>SL0315</t>
  </si>
  <si>
    <t>Anisha Khandelwal</t>
  </si>
  <si>
    <t>anisha.khandelwal@studiolotus.in</t>
  </si>
  <si>
    <t>SL0232</t>
  </si>
  <si>
    <t>Ankeeta Champatiray</t>
  </si>
  <si>
    <t>ankeeta@studiolotus.in</t>
  </si>
  <si>
    <t>SL0365</t>
  </si>
  <si>
    <t>Deeptha Madan Gopal</t>
  </si>
  <si>
    <t>deeptha.mg@studiolotus.in</t>
  </si>
  <si>
    <t>SL0339</t>
  </si>
  <si>
    <t>Raunak Bhagat</t>
  </si>
  <si>
    <t>raunak.bhagat@studiolotus.in</t>
  </si>
  <si>
    <t>SL0329</t>
  </si>
  <si>
    <t>Sanya Jain</t>
  </si>
  <si>
    <t>sanya.jain@studiolotus.in</t>
  </si>
  <si>
    <t>SL0312</t>
  </si>
  <si>
    <t>Vishal Kumar</t>
  </si>
  <si>
    <t>vishal.kumar@studiolotus.in</t>
  </si>
  <si>
    <t>Project Designer</t>
  </si>
  <si>
    <t>SL0216</t>
  </si>
  <si>
    <t>Swati Seshadri</t>
  </si>
  <si>
    <t>swati.seshadri@studiolotus.in</t>
  </si>
  <si>
    <t>ANKUR-SWATI</t>
  </si>
  <si>
    <t>SL0345</t>
  </si>
  <si>
    <t>Alpika Pandey</t>
  </si>
  <si>
    <t>alpika.pandey@studiolotus.in</t>
  </si>
  <si>
    <t>SL0342</t>
  </si>
  <si>
    <t>Arham Jain</t>
  </si>
  <si>
    <t>arham.jain@studiolotus.in</t>
  </si>
  <si>
    <t>SL0176</t>
  </si>
  <si>
    <t>Devenpreet Singh Wahi</t>
  </si>
  <si>
    <t>devenpreet@studiolotus.in</t>
  </si>
  <si>
    <t>SL0349</t>
  </si>
  <si>
    <t>Kunal Sagar</t>
  </si>
  <si>
    <t>kunal.sagar@studiolotus.in</t>
  </si>
  <si>
    <t>SL0304</t>
  </si>
  <si>
    <t>Nabajyoti Dutta Choudhury</t>
  </si>
  <si>
    <t>nabajyoti.dutta@studiolotus.in</t>
  </si>
  <si>
    <t>444</t>
  </si>
  <si>
    <t>Saurabh Jangid</t>
  </si>
  <si>
    <t>saurabh.jangid@krvia.ac.in</t>
  </si>
  <si>
    <t>SL0359</t>
  </si>
  <si>
    <t>Sharan S</t>
  </si>
  <si>
    <t>sharan.s@studiolotus.in</t>
  </si>
  <si>
    <t>SL0281</t>
  </si>
  <si>
    <t>Siddharth Ramkumar</t>
  </si>
  <si>
    <t>siddharth.ramkumar@studiolotus.in</t>
  </si>
  <si>
    <t>SL0292</t>
  </si>
  <si>
    <t>Tanmay Vaid</t>
  </si>
  <si>
    <t>tanmay.vaid@studiolotus.in</t>
  </si>
  <si>
    <t>SL0320</t>
  </si>
  <si>
    <t>Vijeet Shah</t>
  </si>
  <si>
    <t>vijeet.shah@studiolotus.in</t>
  </si>
  <si>
    <t>SL0005</t>
  </si>
  <si>
    <t>asha@studiolotus.in</t>
  </si>
  <si>
    <t>ASHA-DIRECT</t>
  </si>
  <si>
    <t>Unit 3</t>
  </si>
  <si>
    <t>Interior Design Unit 3</t>
  </si>
  <si>
    <t>SL0075</t>
  </si>
  <si>
    <t>Insiya Pithawala</t>
  </si>
  <si>
    <t>insiya@studiolotus.in</t>
  </si>
  <si>
    <t>ASHA-INSIYA</t>
  </si>
  <si>
    <t>SL0332</t>
  </si>
  <si>
    <t>Anishaa Kashyap</t>
  </si>
  <si>
    <t>anishaa.kashyap@studiolotus.in</t>
  </si>
  <si>
    <t>Unit 4</t>
  </si>
  <si>
    <t>Interior Design Unit 4</t>
  </si>
  <si>
    <t>452</t>
  </si>
  <si>
    <t>Awani Devgan</t>
  </si>
  <si>
    <t>awanidevgan1921@gmail.com</t>
  </si>
  <si>
    <t>SL0317</t>
  </si>
  <si>
    <t>Isha Agrawal</t>
  </si>
  <si>
    <t>isha.agrawal@studiolotus.in</t>
  </si>
  <si>
    <t>Sr. Designer</t>
  </si>
  <si>
    <t>SL0284</t>
  </si>
  <si>
    <t>Rashika Lungani</t>
  </si>
  <si>
    <t>rashika.lungani@studiolotus.in</t>
  </si>
  <si>
    <t>SL0325</t>
  </si>
  <si>
    <t>Reetika Singh</t>
  </si>
  <si>
    <t>reetika.singh@studiolotus.in</t>
  </si>
  <si>
    <t>SL0355</t>
  </si>
  <si>
    <t>Rudvi Senthil Kumar</t>
  </si>
  <si>
    <t>rudvi@studiolotus.in</t>
  </si>
  <si>
    <t>SL0363</t>
  </si>
  <si>
    <t>Sanya Mathur</t>
  </si>
  <si>
    <t>sanya.mathur@studiolotus.in</t>
  </si>
  <si>
    <t>SL0215</t>
  </si>
  <si>
    <t>Suryansh Agarwal</t>
  </si>
  <si>
    <t>suryansh@studiolotus.in</t>
  </si>
  <si>
    <t>451</t>
  </si>
  <si>
    <t>Upangna Singh</t>
  </si>
  <si>
    <t>singhupangna@gmail.com</t>
  </si>
  <si>
    <t>SL0155</t>
  </si>
  <si>
    <t>Vartika Sood</t>
  </si>
  <si>
    <t>vartika.sood@studiolotus.in</t>
  </si>
  <si>
    <t>SL0016</t>
  </si>
  <si>
    <t>Neelam Das</t>
  </si>
  <si>
    <t>neelam@studiolotus.in</t>
  </si>
  <si>
    <t>ASHA-NEELAM</t>
  </si>
  <si>
    <t>Always under Asha Sairam; not treated as a principal.</t>
  </si>
  <si>
    <t>SL0271</t>
  </si>
  <si>
    <t>Abdul Kalam</t>
  </si>
  <si>
    <t>abdul@studiolotus.in</t>
  </si>
  <si>
    <t>SL0361</t>
  </si>
  <si>
    <t>Abhijeet Roy</t>
  </si>
  <si>
    <t>abhijeet.roy@studiolotus.in</t>
  </si>
  <si>
    <t>SL0346</t>
  </si>
  <si>
    <t>Akshita Kalia</t>
  </si>
  <si>
    <t>akshita.kalia@studiolotus.in</t>
  </si>
  <si>
    <t>SL0294</t>
  </si>
  <si>
    <t>Amrapali Patra</t>
  </si>
  <si>
    <t>amrapali@studiolotus.in</t>
  </si>
  <si>
    <t>SL0360</t>
  </si>
  <si>
    <t>Ananya Bhardwaj</t>
  </si>
  <si>
    <t>ananya.bhardwaj@studiolotus.in</t>
  </si>
  <si>
    <t>450</t>
  </si>
  <si>
    <t>Anushka Jindal</t>
  </si>
  <si>
    <t>anushkajindal2004@gmail.com</t>
  </si>
  <si>
    <t>SL0195</t>
  </si>
  <si>
    <t>Huda Ateeque</t>
  </si>
  <si>
    <t>huda@studiolotus.in</t>
  </si>
  <si>
    <t>SL0354</t>
  </si>
  <si>
    <t>Kadambari Kumar</t>
  </si>
  <si>
    <t>kadambari@studiolotus.in</t>
  </si>
  <si>
    <t>447</t>
  </si>
  <si>
    <t>Kimaya Shashank Kamat</t>
  </si>
  <si>
    <t>kimaya.kamat@studiolotus.in</t>
  </si>
  <si>
    <t>SL0335</t>
  </si>
  <si>
    <t>Krishna Mandviwala</t>
  </si>
  <si>
    <t>krishna.mandviwala@studiolotus.in</t>
  </si>
  <si>
    <t>SL0334</t>
  </si>
  <si>
    <t>Neha Keshri</t>
  </si>
  <si>
    <t>neha.keshri@studiolotus.in</t>
  </si>
  <si>
    <t>SL0322</t>
  </si>
  <si>
    <t>Shailen Sharma</t>
  </si>
  <si>
    <t>shailen.sharma@studiolotus.in</t>
  </si>
  <si>
    <t>SL0285</t>
  </si>
  <si>
    <t>Siya Suri</t>
  </si>
  <si>
    <t>siya.suri@studiolotus.in</t>
  </si>
  <si>
    <t>SL0256</t>
  </si>
  <si>
    <t>Sujata Kumari</t>
  </si>
  <si>
    <t>sujata.kumari@studiolotus.in</t>
  </si>
  <si>
    <t>SL0353</t>
  </si>
  <si>
    <t>Randhir Kumar</t>
  </si>
  <si>
    <t>randhir.kumar@studiolotus.in</t>
  </si>
  <si>
    <t>ASHA-RANDHIR</t>
  </si>
  <si>
    <t>SL0362</t>
  </si>
  <si>
    <t>Himanshi Wadhwa</t>
  </si>
  <si>
    <t>himanshi.wadhwa@studiolotus.in</t>
  </si>
  <si>
    <t>SL0341</t>
  </si>
  <si>
    <t>Sheetal Vishwakarma</t>
  </si>
  <si>
    <t>sheetal@studiolotus.in</t>
  </si>
  <si>
    <t>Email</t>
  </si>
  <si>
    <t>Display Name</t>
  </si>
  <si>
    <t>Type</t>
  </si>
  <si>
    <t>sm@studiolotus.in</t>
  </si>
  <si>
    <t>Studio Lotus (shared)</t>
  </si>
  <si>
    <t>Shared Account</t>
  </si>
  <si>
    <t>Common Adobe account — no individual owner</t>
  </si>
  <si>
    <t>principal@tacdesign.onmicrosoft.com</t>
  </si>
  <si>
    <t>Principal Room</t>
  </si>
  <si>
    <t>Meeting Room</t>
  </si>
  <si>
    <t>Office License</t>
  </si>
  <si>
    <t>kishan@studiolotus.in</t>
  </si>
  <si>
    <t>Kishan Sirohi</t>
  </si>
  <si>
    <t>Service Account</t>
  </si>
  <si>
    <t>Consultant</t>
  </si>
  <si>
    <t>License / Tool</t>
  </si>
  <si>
    <t>Plan / People</t>
  </si>
  <si>
    <t>Status</t>
  </si>
  <si>
    <t>Assigned On</t>
  </si>
  <si>
    <t>Renewal / End Date</t>
  </si>
  <si>
    <t>Cost Centre / Team</t>
  </si>
  <si>
    <t>Smart License Key</t>
  </si>
  <si>
    <t>3ds Max</t>
  </si>
  <si>
    <t>Autodesk single-user</t>
  </si>
  <si>
    <t>Amita Goel Team</t>
  </si>
  <si>
    <t>nan</t>
  </si>
  <si>
    <t>Adobe Acrobat</t>
  </si>
  <si>
    <t>Single User</t>
  </si>
  <si>
    <t>Adobe Illustrator</t>
  </si>
  <si>
    <t>Adobe InDesign</t>
  </si>
  <si>
    <t>Adobe Photoshop</t>
  </si>
  <si>
    <t>AutoCAD LT</t>
  </si>
  <si>
    <t>unassigned-autocad-dec26-1@studiolotus.in</t>
  </si>
  <si>
    <t>Available</t>
  </si>
  <si>
    <t>New licence - assign to user</t>
  </si>
  <si>
    <t>unassigned-autocad-dec26-2@studiolotus.in</t>
  </si>
  <si>
    <t>unassigned-autocad-dec26-3@studiolotus.in</t>
  </si>
  <si>
    <t>unassigned-autocad-dec26-4@studiolotus.in</t>
  </si>
  <si>
    <t>unassigned-autocad-dec26-5@studiolotus.in</t>
  </si>
  <si>
    <t>unassigned-autocad-dec26-6@studiolotus.in</t>
  </si>
  <si>
    <t>Corona</t>
  </si>
  <si>
    <t>Enscape</t>
  </si>
  <si>
    <t>Microsoft 365 Business Standard</t>
  </si>
  <si>
    <t>UPN: amita@tacdesign.onmicrosoft.com</t>
  </si>
  <si>
    <t>UPN: dev@tacdesign.onmicrosoft.com</t>
  </si>
  <si>
    <t>UPN: prashant@tacdesign.onmicrosoft.com</t>
  </si>
  <si>
    <t>UPN: rajendra@tacdesign.onmicrosoft.com</t>
  </si>
  <si>
    <t>UPN: tanvi@tacdesign.onmicrosoft.com</t>
  </si>
  <si>
    <t>UPN: asha@tacdesign.onmicrosoft.com</t>
  </si>
  <si>
    <t>UPN: bdteam@tacdesign.onmicrosoft.com</t>
  </si>
  <si>
    <t>UPN: lap05@tacdesign.onmicrosoft.com</t>
  </si>
  <si>
    <t>UPN: neelam@tacdesign.onmicrosoft.com</t>
  </si>
  <si>
    <t>UPN: varun@tacdesign.onmicrosoft.com</t>
  </si>
  <si>
    <t>Microsoft 365 Business Standard (no teams)</t>
  </si>
  <si>
    <t>UPN: lds38@tacdesign.onmicrosoft.com</t>
  </si>
  <si>
    <t>UPN: lds20@tacdesign.onmicrosoft.com</t>
  </si>
  <si>
    <t>UPN: lds51@tacdesign.onmicrosoft.com</t>
  </si>
  <si>
    <t>UPN: lds05@tacdesign.onmicrosoft.com</t>
  </si>
  <si>
    <t>UPN: lds25@tacdesign.onmicrosoft.com</t>
  </si>
  <si>
    <t>UPN: lds48@tacdesign.onmicrosoft.com</t>
  </si>
  <si>
    <t>UPN: lds26@tacdesign.onmicrosoft.com</t>
  </si>
  <si>
    <t>UPN: lds55@tacdesign.onmicrosoft.com</t>
  </si>
  <si>
    <t>UPN: ishasingh@tacdesign.onmicrosoft.com</t>
  </si>
  <si>
    <t>UPN: lds08@tacdesign.onmicrosoft.com</t>
  </si>
  <si>
    <t>UPN: lds60@tacdesign.onmicrosoft.com</t>
  </si>
  <si>
    <t>UPN: nirmal@tacdesign.onmicrosoft.com</t>
  </si>
  <si>
    <t>UPN: nishant@tacdesign.onmicrosoft.com</t>
  </si>
  <si>
    <t>UPN: lds06@tacdesign.onmicrosoft.com</t>
  </si>
  <si>
    <t>UPN: lds50@tacdesign.onmicrosoft.com</t>
  </si>
  <si>
    <t>UPN: lds109@tacdesign.onmicrosoft.com</t>
  </si>
  <si>
    <t>UPN: lds23@tacdesign.onmicrosoft.com</t>
  </si>
  <si>
    <t>UPN: lds28@tacdesign.onmicrosoft.com</t>
  </si>
  <si>
    <t>UPN: sachin@tacdesign.onmicrosoft.com</t>
  </si>
  <si>
    <t>UPN: lds41@tacdesign.onmicrosoft.com</t>
  </si>
  <si>
    <t>UPN: lds13@tacdesign.onmicrosoft.com</t>
  </si>
  <si>
    <t>UPN: lds105@tacdesign.onmicrosoft.com</t>
  </si>
  <si>
    <t>UPN: lds104@tacdesign.onmicrosoft.com</t>
  </si>
  <si>
    <t>UPN: lds29@tacdesign.onmicrosoft.com</t>
  </si>
  <si>
    <t>UPN: lds39@tacdesign.onmicrosoft.com</t>
  </si>
  <si>
    <t>UPN: lds46@tacdesign.onmicrosoft.com</t>
  </si>
  <si>
    <t>UPN: lds19@tacdesign.onmicrosoft.com</t>
  </si>
  <si>
    <t>UPN: lds33@tacdesign.onmicrosoft.com</t>
  </si>
  <si>
    <t>UPN: itsupport@tacdesign.onmicrosoft.com</t>
  </si>
  <si>
    <t>UPN: principal@tacdesign.onmicrosoft.com</t>
  </si>
  <si>
    <t>UPN: lds101@tacdesign.onmicrosoft.com</t>
  </si>
  <si>
    <t>UPN: lds11@tacdesign.onmicrosoft.com</t>
  </si>
  <si>
    <t>SketchUp Pro</t>
  </si>
  <si>
    <t>Parent</t>
  </si>
  <si>
    <t>Color Hex</t>
  </si>
  <si>
    <t>Sort</t>
  </si>
  <si>
    <t>Active</t>
  </si>
  <si>
    <t>#E3EEF4</t>
  </si>
  <si>
    <t>Function-wise rollup for Harsh Vardhan.</t>
  </si>
  <si>
    <t>People &amp; Culture</t>
  </si>
  <si>
    <t>#F5E2EA</t>
  </si>
  <si>
    <t>BD &amp; Comms</t>
  </si>
  <si>
    <t>#E3F1E7</t>
  </si>
  <si>
    <t>IT &amp; Tech</t>
  </si>
  <si>
    <t>#E7F0D8</t>
  </si>
  <si>
    <t>Admin &amp; Infra</t>
  </si>
  <si>
    <t>#ECE6F7</t>
  </si>
  <si>
    <t>Homes</t>
  </si>
  <si>
    <t>#E2EEF7</t>
  </si>
  <si>
    <t>Direct Reports</t>
  </si>
  <si>
    <t>#DCEFF0</t>
  </si>
  <si>
    <t>Prajwal Yashwant Amin Team</t>
  </si>
  <si>
    <t>#F7EFC9</t>
  </si>
  <si>
    <t>Varun Srivastava Team</t>
  </si>
  <si>
    <t>#E7E8F6</t>
  </si>
  <si>
    <t>Yatin Tokas Team</t>
  </si>
  <si>
    <t>#E0F4EF</t>
  </si>
  <si>
    <t>Karthick R is grouped here as requested.</t>
  </si>
  <si>
    <t>#F3E3D8</t>
  </si>
  <si>
    <t>Prashant Bharadwaj Team</t>
  </si>
  <si>
    <t>#DDE7F7</t>
  </si>
  <si>
    <t>Swati Seshadri Team</t>
  </si>
  <si>
    <t>#F1E4F6</t>
  </si>
  <si>
    <t>#EAF0DC</t>
  </si>
  <si>
    <t>Insiya Pithawala Team</t>
  </si>
  <si>
    <t>#F7DDD9</t>
  </si>
  <si>
    <t>Neelam Das Team</t>
  </si>
  <si>
    <t>#DFF1F6</t>
  </si>
  <si>
    <t>Neelam reports to Asha; not a principal node.</t>
  </si>
  <si>
    <t>Randhir Kumar Team</t>
  </si>
  <si>
    <t>#F6EFD8</t>
  </si>
  <si>
    <t>Contract Key</t>
  </si>
  <si>
    <t>Entity</t>
  </si>
  <si>
    <t>Software</t>
  </si>
  <si>
    <t>Category</t>
  </si>
  <si>
    <t>Contract No</t>
  </si>
  <si>
    <t>Contract Type</t>
  </si>
  <si>
    <t>Serial No</t>
  </si>
  <si>
    <t>People</t>
  </si>
  <si>
    <t>Start Date</t>
  </si>
  <si>
    <t>End Date</t>
  </si>
  <si>
    <t>User Type</t>
  </si>
  <si>
    <t>Vendor</t>
  </si>
  <si>
    <t>Contact Email</t>
  </si>
  <si>
    <t>Days to Expiry</t>
  </si>
  <si>
    <t>Renewal Status</t>
  </si>
  <si>
    <t>Utilisation %</t>
  </si>
  <si>
    <t>INV-001</t>
  </si>
  <si>
    <t>TAC Design (Studio Lotus)</t>
  </si>
  <si>
    <t>Design Software</t>
  </si>
  <si>
    <t>Subscription</t>
  </si>
  <si>
    <t>575-47375883</t>
  </si>
  <si>
    <t>CAPRICOT</t>
  </si>
  <si>
    <t>AUTOCAD LT</t>
  </si>
  <si>
    <t>INV-002</t>
  </si>
  <si>
    <t>572-11051743</t>
  </si>
  <si>
    <t>INV-003</t>
  </si>
  <si>
    <t>574-14236158</t>
  </si>
  <si>
    <t>MICROGENESIS</t>
  </si>
  <si>
    <t>INV-004</t>
  </si>
  <si>
    <t>572-44150915</t>
  </si>
  <si>
    <t>INV-005</t>
  </si>
  <si>
    <t>575-01328894</t>
  </si>
  <si>
    <t>INV-006</t>
  </si>
  <si>
    <t>575-01327213</t>
  </si>
  <si>
    <t>KRION COUSULTUING</t>
  </si>
  <si>
    <t>INV-007</t>
  </si>
  <si>
    <t>3DS MAX</t>
  </si>
  <si>
    <t>574-21740988</t>
  </si>
  <si>
    <t>INV-008</t>
  </si>
  <si>
    <t>Mangrove Collective</t>
  </si>
  <si>
    <t>572-20019986</t>
  </si>
  <si>
    <t>INV-009</t>
  </si>
  <si>
    <t>572-26485532</t>
  </si>
  <si>
    <t>INV-010</t>
  </si>
  <si>
    <t>Studio Lotus (Personal)</t>
  </si>
  <si>
    <t>INV-011</t>
  </si>
  <si>
    <t>ADOBE PHOTOSHOP CC</t>
  </si>
  <si>
    <t>Adobe Creative</t>
  </si>
  <si>
    <t>SINGLE USER</t>
  </si>
  <si>
    <t>ADOBE PHOTOSHOP</t>
  </si>
  <si>
    <t>INV-012</t>
  </si>
  <si>
    <t>ADOBE INDESIGN</t>
  </si>
  <si>
    <t>INV-013</t>
  </si>
  <si>
    <t>ADOBE ILLUSTRATOR</t>
  </si>
  <si>
    <t>INV-014</t>
  </si>
  <si>
    <t>ADOBE ACROBAT</t>
  </si>
  <si>
    <t>INV-015</t>
  </si>
  <si>
    <t>Productivity</t>
  </si>
  <si>
    <t>ADROIT</t>
  </si>
  <si>
    <t>MS OFFICE 365 APPS</t>
  </si>
  <si>
    <t>INV-016</t>
  </si>
  <si>
    <t>MS OFFICE 365 STANDARD</t>
  </si>
  <si>
    <t>INV-018</t>
  </si>
  <si>
    <t>SKETCHUP PRO</t>
  </si>
  <si>
    <t>INV-019</t>
  </si>
  <si>
    <t>INV-020</t>
  </si>
  <si>
    <t>INV-021</t>
  </si>
  <si>
    <t>INV-022</t>
  </si>
  <si>
    <t>INV-023</t>
  </si>
  <si>
    <t>INV-024</t>
  </si>
  <si>
    <t>INV-025</t>
  </si>
  <si>
    <t>ENSCAPE</t>
  </si>
  <si>
    <t>Visualization</t>
  </si>
  <si>
    <t>INV-026</t>
  </si>
  <si>
    <t>INV-027</t>
  </si>
  <si>
    <t>INV-028</t>
  </si>
  <si>
    <t>CORONA</t>
  </si>
  <si>
    <t>INV-029</t>
  </si>
  <si>
    <t>6 new licences - Dec 22 2026 expiry</t>
  </si>
  <si>
    <t>Who has what — User × License matrix</t>
  </si>
  <si>
    <t>✓ marks every (user, tool) pair from the Licenses sheet. Auto-refreshes on every edit. Last: 6/1/2026, 11:00:05 AM</t>
  </si>
  <si>
    <t>Employee</t>
  </si>
  <si>
    <t>Team</t>
  </si>
  <si>
    <t>Total</t>
  </si>
  <si>
    <t>✓</t>
  </si>
  <si>
    <t>Smart Key</t>
  </si>
  <si>
    <t>3DS_MAX</t>
  </si>
  <si>
    <t>ADOBE_ACROBAT</t>
  </si>
  <si>
    <t>Creative Suite</t>
  </si>
  <si>
    <t>ADOBE_ILLUSTRATOR</t>
  </si>
  <si>
    <t>ADOBE_INDESIGN</t>
  </si>
  <si>
    <t>ADOBE_PHOTOSHOP</t>
  </si>
  <si>
    <t>AUTOCAD_LT</t>
  </si>
  <si>
    <t>MS_OFFICE_365_APPS</t>
  </si>
  <si>
    <t>MS Office 365 Apps</t>
  </si>
  <si>
    <t>MS_OFFICE_365_BUSINE</t>
  </si>
  <si>
    <t>MS Office 365 Business Standard</t>
  </si>
  <si>
    <t>SKETCHUP_PRO</t>
  </si>
  <si>
    <t>NAN</t>
  </si>
  <si>
    <t>Other</t>
  </si>
  <si>
    <t>System ID</t>
  </si>
  <si>
    <t>Assigned Email</t>
  </si>
  <si>
    <t>User Display</t>
  </si>
  <si>
    <t>Capability Tier</t>
  </si>
  <si>
    <t>Composite Score</t>
  </si>
  <si>
    <t>Suggested Upgrade</t>
  </si>
  <si>
    <t>Processor</t>
  </si>
  <si>
    <t>RAM (GB)</t>
  </si>
  <si>
    <t>RAM Slots Free</t>
  </si>
  <si>
    <t>Graphics Card</t>
  </si>
  <si>
    <t>CPU Cores</t>
  </si>
  <si>
    <t>Storage</t>
  </si>
  <si>
    <t>Motherboard</t>
  </si>
  <si>
    <t>OS</t>
  </si>
  <si>
    <t>Office Version</t>
  </si>
  <si>
    <t>AutoCAD Version</t>
  </si>
  <si>
    <t>Adobe Versions</t>
  </si>
  <si>
    <t>SketchUp Version</t>
  </si>
  <si>
    <t>3ds Max Version</t>
  </si>
  <si>
    <t>Rhino Version</t>
  </si>
  <si>
    <t>Enscape Version</t>
  </si>
  <si>
    <t>D5 Render</t>
  </si>
  <si>
    <t>Antivirus</t>
  </si>
  <si>
    <t>Purchase Date</t>
  </si>
  <si>
    <t>Service Tag</t>
  </si>
  <si>
    <t>RDP PIN Stored</t>
  </si>
  <si>
    <t>LDS-02</t>
  </si>
  <si>
    <t>Desktop</t>
  </si>
  <si>
    <t>Arham</t>
  </si>
  <si>
    <t>Swati</t>
  </si>
  <si>
    <t>Performance</t>
  </si>
  <si>
    <t>Solid — no upgrade needed for current workload</t>
  </si>
  <si>
    <t>Intel i7-10700F CPU@2.90GHZ</t>
  </si>
  <si>
    <t>4 SLOT</t>
  </si>
  <si>
    <t>NVIDIA GEFORCE RTX 4060 ti</t>
  </si>
  <si>
    <t>6 C L12</t>
  </si>
  <si>
    <t>M.2 SATA 500GB</t>
  </si>
  <si>
    <t>GIGABYTE Z590 arouse elite</t>
  </si>
  <si>
    <t>WINDOWS 10 PRO</t>
  </si>
  <si>
    <t>OFFICE 365 BUSINESS</t>
  </si>
  <si>
    <t>AUTOCAD LT2019</t>
  </si>
  <si>
    <t>PHOTOSHOP CC</t>
  </si>
  <si>
    <t>SKETCHUP 2025 PRO</t>
  </si>
  <si>
    <t>GUARDIAN TOTAL SECURITY</t>
  </si>
  <si>
    <t>INFRA</t>
  </si>
  <si>
    <t>Yes</t>
  </si>
  <si>
    <t>LDS-03</t>
  </si>
  <si>
    <t>Rushil</t>
  </si>
  <si>
    <t>Varun</t>
  </si>
  <si>
    <t>2 SLOT</t>
  </si>
  <si>
    <t>C 8 L16</t>
  </si>
  <si>
    <t>AUTOCAD LT2026</t>
  </si>
  <si>
    <t>JATIN</t>
  </si>
  <si>
    <t>LDS-04</t>
  </si>
  <si>
    <t>Anshika</t>
  </si>
  <si>
    <t>Resi Id</t>
  </si>
  <si>
    <t>Intel i7-11700F CPU@2.90GHZ</t>
  </si>
  <si>
    <t>8 C 16L</t>
  </si>
  <si>
    <t>AUTOCAD LT2023</t>
  </si>
  <si>
    <t>LDS-05</t>
  </si>
  <si>
    <t>Anisha Khandewal</t>
  </si>
  <si>
    <t>Prashant Bhardwaj</t>
  </si>
  <si>
    <t>Basic</t>
  </si>
  <si>
    <t>Adequate for its tier — monitor</t>
  </si>
  <si>
    <t>INTEL i7 8700K CPU @3.70GHZ</t>
  </si>
  <si>
    <t>NVIDIA GEFORCE GTX 1050Ti</t>
  </si>
  <si>
    <t>6 C 12 L</t>
  </si>
  <si>
    <t>240 GB SSD</t>
  </si>
  <si>
    <t>LDS-06</t>
  </si>
  <si>
    <t>Prajwal</t>
  </si>
  <si>
    <t>GPU is capable but RAM (16GB) bottlenecks rendering — add to 32GB</t>
  </si>
  <si>
    <t>Intel i7-14700kF CPU@2.90GHZ</t>
  </si>
  <si>
    <t>M.2 500GB SSD</t>
  </si>
  <si>
    <t>ASUS Z790 P -PRIME</t>
  </si>
  <si>
    <t>Photoshop</t>
  </si>
  <si>
    <t>SKETCHUP 2024 PRO</t>
  </si>
  <si>
    <t>AASHMA</t>
  </si>
  <si>
    <t>LDS-07</t>
  </si>
  <si>
    <t>Nitika</t>
  </si>
  <si>
    <t>Intel i7-11700kF CPU@3.40GHZ</t>
  </si>
  <si>
    <t>1 SLOT</t>
  </si>
  <si>
    <t>YES</t>
  </si>
  <si>
    <t>LDS-08</t>
  </si>
  <si>
    <t>Kunal</t>
  </si>
  <si>
    <t>Standard</t>
  </si>
  <si>
    <t>NVIDIA GEFORCE GTX 1660Ti</t>
  </si>
  <si>
    <t>SKETCHUP 2024 PRo</t>
  </si>
  <si>
    <t>LDS-10</t>
  </si>
  <si>
    <t>insha@studiolotus.in</t>
  </si>
  <si>
    <t>Insha</t>
  </si>
  <si>
    <t>NO SLOT</t>
  </si>
  <si>
    <t>NVIDIA GEFORCE  1660 GTX GALEX</t>
  </si>
  <si>
    <t>GIGABYTE Z590D</t>
  </si>
  <si>
    <t>LDS-11</t>
  </si>
  <si>
    <t>siya@studiolotus.in</t>
  </si>
  <si>
    <t>Siya</t>
  </si>
  <si>
    <t>C 8 L 16</t>
  </si>
  <si>
    <t>AUTOCAD LT2025</t>
  </si>
  <si>
    <t>LDS-13</t>
  </si>
  <si>
    <t>Satwik</t>
  </si>
  <si>
    <t>NVIDIA GEFORCE RTX 4070 ti</t>
  </si>
  <si>
    <t>PHOTOSHOP CC/INDESIGN</t>
  </si>
  <si>
    <t>yes</t>
  </si>
  <si>
    <t>LDS-14</t>
  </si>
  <si>
    <t>Adhiraj</t>
  </si>
  <si>
    <t>Intel i7-8700kF CPU@3.40GHZ</t>
  </si>
  <si>
    <t>NVIDIA GEFORCE RTX 1050ti</t>
  </si>
  <si>
    <t>C 6 L 12</t>
  </si>
  <si>
    <t>GIGABYTE B360 GAMING HD</t>
  </si>
  <si>
    <t>LDS-15</t>
  </si>
  <si>
    <t>Lumion Pc 1</t>
  </si>
  <si>
    <t>Amita</t>
  </si>
  <si>
    <t>NVIDIA GEFORCE RTX 1660</t>
  </si>
  <si>
    <t>M.2 SATA 1 TB</t>
  </si>
  <si>
    <t>GIGABYTE Z590 arouse AX</t>
  </si>
  <si>
    <t>LDS-16</t>
  </si>
  <si>
    <t>Deeptha</t>
  </si>
  <si>
    <t>8 V L 16</t>
  </si>
  <si>
    <t>LDS-19</t>
  </si>
  <si>
    <t>Vivin</t>
  </si>
  <si>
    <t>LDS-20</t>
  </si>
  <si>
    <t>NVIDIA GEFORCE GTX 1650Ti</t>
  </si>
  <si>
    <t>240GB SSD</t>
  </si>
  <si>
    <t>GIGABYTE  B360M GAMING HD</t>
  </si>
  <si>
    <t>LDS-21</t>
  </si>
  <si>
    <t>isha@studiolotus.in</t>
  </si>
  <si>
    <t>Sheetal</t>
  </si>
  <si>
    <t>Insiya</t>
  </si>
  <si>
    <t>AUTOCAD LT 2026</t>
  </si>
  <si>
    <t>LDS-23</t>
  </si>
  <si>
    <t>Abhinav</t>
  </si>
  <si>
    <t>GPU cannot drive modern 3D — replace with RTX 4060 or better</t>
  </si>
  <si>
    <t>NVIDIA GEFORCE GTX 750 ti</t>
  </si>
  <si>
    <t>LDS-25</t>
  </si>
  <si>
    <t>Asmita Bharati</t>
  </si>
  <si>
    <t>PHOTOSHOP CC/INDESIGN/illustrator</t>
  </si>
  <si>
    <t>LDS-26</t>
  </si>
  <si>
    <t>Deepak</t>
  </si>
  <si>
    <t>Intel i7-14700F CPU@2.90GHZ</t>
  </si>
  <si>
    <t>NVIDIA GEFORCE RTX 1660 ti</t>
  </si>
  <si>
    <t>C 20 L 28</t>
  </si>
  <si>
    <t>ASUS Z790 -P PRIME</t>
  </si>
  <si>
    <t>Photo shopcc</t>
  </si>
  <si>
    <t>SKETCHUP 2026 PRO</t>
  </si>
  <si>
    <t>LDS-28</t>
  </si>
  <si>
    <t>Reetika</t>
  </si>
  <si>
    <t>RAJENDRA@STUDIOLOTUS.IN</t>
  </si>
  <si>
    <t>LDS-29</t>
  </si>
  <si>
    <t>Anisha  Kashyap</t>
  </si>
  <si>
    <t>C 20 L28</t>
  </si>
  <si>
    <t>M.2 250GB SSD</t>
  </si>
  <si>
    <t>LDS-33</t>
  </si>
  <si>
    <t>INTEL i7 10700KF CPU @3.40GHZ</t>
  </si>
  <si>
    <t>C 8L 16</t>
  </si>
  <si>
    <t>LDS-34</t>
  </si>
  <si>
    <t>Devdutt</t>
  </si>
  <si>
    <t>Harsh</t>
  </si>
  <si>
    <t>Modern GPU bottlenecked by old CPU — plan full refresh</t>
  </si>
  <si>
    <t>Intel i7-1400kf CPU@2.90GHZ</t>
  </si>
  <si>
    <t>LDS-35</t>
  </si>
  <si>
    <t>akshita@studiolotus.in</t>
  </si>
  <si>
    <t>Akshita</t>
  </si>
  <si>
    <t>INTEL i7 6700K CPU @3.70GHZ</t>
  </si>
  <si>
    <t>NVIDIA GEFORCE GTX 750Ti</t>
  </si>
  <si>
    <t>GIGABYTE  Z170A</t>
  </si>
  <si>
    <t>LDS-38</t>
  </si>
  <si>
    <t>Intel i7-8700kF CPU@2.90GHZ</t>
  </si>
  <si>
    <t>NVIDIA GEFORCE RTX 1050 ti</t>
  </si>
  <si>
    <t>250GB SSD</t>
  </si>
  <si>
    <t>LDS-39</t>
  </si>
  <si>
    <t>Tanmay</t>
  </si>
  <si>
    <t>Intel i7-11700kF CPU@2.90GHZ</t>
  </si>
  <si>
    <t>M.2 1 tb SSD</t>
  </si>
  <si>
    <t>LDS-41</t>
  </si>
  <si>
    <t>Sniya</t>
  </si>
  <si>
    <t>NVIDIA GEFORCE GTX 970</t>
  </si>
  <si>
    <t>4 C 8 L</t>
  </si>
  <si>
    <t>500GB SSD</t>
  </si>
  <si>
    <t>LDS-42</t>
  </si>
  <si>
    <t>Entry</t>
  </si>
  <si>
    <t>INTEL i7 4770  CPU @3.40GHZ</t>
  </si>
  <si>
    <t>NO GRAPHIC CARD</t>
  </si>
  <si>
    <t>C 4 L8</t>
  </si>
  <si>
    <t>GIGABYTE B85M -DS3H</t>
  </si>
  <si>
    <t>LDS-43</t>
  </si>
  <si>
    <t>No User</t>
  </si>
  <si>
    <t>INTEL i7 5820K  CPU @3.30GHZ</t>
  </si>
  <si>
    <t>NVIDIA GEFORCE GTX 980</t>
  </si>
  <si>
    <t>250 GB SSD</t>
  </si>
  <si>
    <t>GIGABYTE X99-UD4P</t>
  </si>
  <si>
    <t>LDS-44</t>
  </si>
  <si>
    <t>It Team</t>
  </si>
  <si>
    <t>INTEL i7  4700 CPU @3.40GHZ</t>
  </si>
  <si>
    <t>MSI Z170A 7971</t>
  </si>
  <si>
    <t>LDS-45</t>
  </si>
  <si>
    <t>LDS-46</t>
  </si>
  <si>
    <t>Isha</t>
  </si>
  <si>
    <t>Workstation</t>
  </si>
  <si>
    <t>No upgrade needed — top tier</t>
  </si>
  <si>
    <t>Intel  ultra7  265k 3.90 GHZ</t>
  </si>
  <si>
    <t>NVIDIA GEFORCE RTX 5070</t>
  </si>
  <si>
    <t>MSI PRO Z890P WITH WIFI</t>
  </si>
  <si>
    <t>LDS-47</t>
  </si>
  <si>
    <t>INTEL i7  6700 CPU @3.40GHZ</t>
  </si>
  <si>
    <t>GIGABYTE  Z170M-D3H</t>
  </si>
  <si>
    <t>LDS-48</t>
  </si>
  <si>
    <t>Ayushi</t>
  </si>
  <si>
    <t>Strong CPU paired with weak GPU — add an RTX 4060+ for viz</t>
  </si>
  <si>
    <t>Intel i7-10700kF CPU@2.90GHZ</t>
  </si>
  <si>
    <t>LDS-49</t>
  </si>
  <si>
    <t>INTEL XEON-E3 1245 V5@3.50GHZ</t>
  </si>
  <si>
    <t>NVIDIA GEFORCE GTX 1080</t>
  </si>
  <si>
    <t>INTEL DX79T0</t>
  </si>
  <si>
    <t>LDS-50</t>
  </si>
  <si>
    <t>Priyanka</t>
  </si>
  <si>
    <t>INTEL i7 13700K CPU @3.40 GHZ</t>
  </si>
  <si>
    <t>C 16 L 24</t>
  </si>
  <si>
    <t>LDS-51</t>
  </si>
  <si>
    <t>20C 20L</t>
  </si>
  <si>
    <t>LDS-53</t>
  </si>
  <si>
    <t>Mihir</t>
  </si>
  <si>
    <t>LDS-54</t>
  </si>
  <si>
    <t>SHEETAL</t>
  </si>
  <si>
    <t>C4 L8</t>
  </si>
  <si>
    <t>M.2 SATA 230 GB</t>
  </si>
  <si>
    <t>MSI-Z170A</t>
  </si>
  <si>
    <t>LDS-55</t>
  </si>
  <si>
    <t>INTEL i7 10700F CPU @3.70GHZ</t>
  </si>
  <si>
    <t>MSI MS-7B53</t>
  </si>
  <si>
    <t>LDS-57</t>
  </si>
  <si>
    <t>GIGABYTE H370M D3H</t>
  </si>
  <si>
    <t>LDS-58</t>
  </si>
  <si>
    <t>Randhir</t>
  </si>
  <si>
    <t>256 GB SSD</t>
  </si>
  <si>
    <t>AUTOCAD LT 2019</t>
  </si>
  <si>
    <t>LDS-59</t>
  </si>
  <si>
    <t>INTEL 250 GB SSD</t>
  </si>
  <si>
    <t>ambaragarwal7459@gmail.com</t>
  </si>
  <si>
    <t>LDS-60</t>
  </si>
  <si>
    <t>naba.jyoti@studiolotus.in</t>
  </si>
  <si>
    <t>Naba Jyoti</t>
  </si>
  <si>
    <t>LDS-61</t>
  </si>
  <si>
    <t>Kadm</t>
  </si>
  <si>
    <t>6C L12</t>
  </si>
  <si>
    <t>LDS-62</t>
  </si>
  <si>
    <t>Kimaya Kamat</t>
  </si>
  <si>
    <t>kimkamat24@gmail.com</t>
  </si>
  <si>
    <t>LDS-64</t>
  </si>
  <si>
    <t>Sujata</t>
  </si>
  <si>
    <t>256GB SSD</t>
  </si>
  <si>
    <t>AUTOCAD LT2024</t>
  </si>
  <si>
    <t>LDS-65</t>
  </si>
  <si>
    <t>INTEL i7 4700K CPU @3.70GHZ</t>
  </si>
  <si>
    <t>LDS-68</t>
  </si>
  <si>
    <t>Vishal</t>
  </si>
  <si>
    <t>M.2 SATA 240GB</t>
  </si>
  <si>
    <t>LDS-72</t>
  </si>
  <si>
    <t>LDS-73</t>
  </si>
  <si>
    <t>LDS-75</t>
  </si>
  <si>
    <t>MSI Z370-A PRO</t>
  </si>
  <si>
    <t>LDS-76</t>
  </si>
  <si>
    <t>Siddharth  Ram</t>
  </si>
  <si>
    <t>LDS-56</t>
  </si>
  <si>
    <t>Anadita</t>
  </si>
  <si>
    <t>NVIDIA GEFORCE RTX 5060 TI</t>
  </si>
  <si>
    <t>GIGABYTE  Z590M GAMING HD</t>
  </si>
  <si>
    <t>Photoshopcc</t>
  </si>
  <si>
    <t>LDS-78</t>
  </si>
  <si>
    <t>amar.pali@studiolotus.in</t>
  </si>
  <si>
    <t>Amar Pali</t>
  </si>
  <si>
    <t>LDS-79</t>
  </si>
  <si>
    <t>Intel i7-4700k CPU @3.60GHZ</t>
  </si>
  <si>
    <t>LDS-80</t>
  </si>
  <si>
    <t>Kashish</t>
  </si>
  <si>
    <t>Intel i7-9700k CPU @3.60GHZ</t>
  </si>
  <si>
    <t>NVIDIA GEFORCE RTX 2080</t>
  </si>
  <si>
    <t>C 8 L8</t>
  </si>
  <si>
    <t>M.2 SATA 256GB</t>
  </si>
  <si>
    <t>AUTOCAD LT2029</t>
  </si>
  <si>
    <t>LDS-81</t>
  </si>
  <si>
    <t>Ankeeta</t>
  </si>
  <si>
    <t>NVIDIA GEFORCE GTX 1650</t>
  </si>
  <si>
    <t>LDS-82</t>
  </si>
  <si>
    <t>Neha</t>
  </si>
  <si>
    <t>LDS-83</t>
  </si>
  <si>
    <t>PHOTOSHOP CC/INDESIGN/ /Illustrator</t>
  </si>
  <si>
    <t>LDS-84</t>
  </si>
  <si>
    <t>Deven</t>
  </si>
  <si>
    <t>8C L8</t>
  </si>
  <si>
    <t>MSI Z390-A PRO</t>
  </si>
  <si>
    <t>LDS-85</t>
  </si>
  <si>
    <t>Ananya</t>
  </si>
  <si>
    <t>LDS-86</t>
  </si>
  <si>
    <t>Upgrade RAM to at least 16GB (currently 8GB)</t>
  </si>
  <si>
    <t>LDS-87</t>
  </si>
  <si>
    <t>Vijjet</t>
  </si>
  <si>
    <t>500GB  WD SSD</t>
  </si>
  <si>
    <t>ASUS Z590</t>
  </si>
  <si>
    <t>LDS-89</t>
  </si>
  <si>
    <t>Maitrayee</t>
  </si>
  <si>
    <t>NVIDIA GEFORCE GTX 1050Ti 4GB</t>
  </si>
  <si>
    <t>GIGABYTE Z590 M</t>
  </si>
  <si>
    <t>LDS-90</t>
  </si>
  <si>
    <t>deepak@studiolotus.in</t>
  </si>
  <si>
    <t>Jagdish</t>
  </si>
  <si>
    <t>ASUS Z592</t>
  </si>
  <si>
    <t>ADOBE CS6 FULL</t>
  </si>
  <si>
    <t>GUARDIAN INTERNET SECURITY</t>
  </si>
  <si>
    <t>LDS-91</t>
  </si>
  <si>
    <t>Shailen</t>
  </si>
  <si>
    <t>8 CL16</t>
  </si>
  <si>
    <t>LDS-92</t>
  </si>
  <si>
    <t>Rida</t>
  </si>
  <si>
    <t>LDS-93</t>
  </si>
  <si>
    <t>Kishan</t>
  </si>
  <si>
    <t>LDS-94</t>
  </si>
  <si>
    <t>LDS-96</t>
  </si>
  <si>
    <t>LDS-97</t>
  </si>
  <si>
    <t>huda.@studiolotus.in</t>
  </si>
  <si>
    <t>Huda</t>
  </si>
  <si>
    <t>LDS-98</t>
  </si>
  <si>
    <t>Abiyah Grace</t>
  </si>
  <si>
    <t>Intel i7-8700F CPU@2.90GHZ</t>
  </si>
  <si>
    <t>LDS-100</t>
  </si>
  <si>
    <t>jahnavi.joshi@studiolotus.in</t>
  </si>
  <si>
    <t>LDS-102</t>
  </si>
  <si>
    <t>athrav@studiolotus.in</t>
  </si>
  <si>
    <t>Atharv</t>
  </si>
  <si>
    <t>INTEL i7 1300KF CPU @3.40 GHZ</t>
  </si>
  <si>
    <t>NVIDIA GEFORCE RTX 4090</t>
  </si>
  <si>
    <t>M.2 SATA 1 TB*2</t>
  </si>
  <si>
    <t>3DS MAX 2023</t>
  </si>
  <si>
    <t>remotesupport@studiolotus.in</t>
  </si>
  <si>
    <t>LDS-104</t>
  </si>
  <si>
    <t>Suhani</t>
  </si>
  <si>
    <t>Intel i7-13700kF CPU@2.90GHZ</t>
  </si>
  <si>
    <t>LDS-105</t>
  </si>
  <si>
    <t>Sharan.S</t>
  </si>
  <si>
    <t>INTEL i5 8400K CPU @3.70GHZ</t>
  </si>
  <si>
    <t>LDS-107</t>
  </si>
  <si>
    <t>GPU is capable but RAM (24GB) bottlenecks rendering — add to 32GB</t>
  </si>
  <si>
    <t>LDS-109</t>
  </si>
  <si>
    <t>Rashika</t>
  </si>
  <si>
    <t>250 GB</t>
  </si>
  <si>
    <t>LDS-110</t>
  </si>
  <si>
    <t>Karthick.R</t>
  </si>
  <si>
    <t>INTEL i7 14700F@3.70 GHZ</t>
  </si>
  <si>
    <t>NVIDIA GEFORCE RTX 5060 ti</t>
  </si>
  <si>
    <t>MSI-B370 CHIPSET</t>
  </si>
  <si>
    <t>LDS-111</t>
  </si>
  <si>
    <t>LDS-112</t>
  </si>
  <si>
    <t>Abhijeet</t>
  </si>
  <si>
    <t>LDS-113</t>
  </si>
  <si>
    <t>Corner Meeting Room</t>
  </si>
  <si>
    <t>LDS-114</t>
  </si>
  <si>
    <t>Third Floor Meeting Room</t>
  </si>
  <si>
    <t>SERVER</t>
  </si>
  <si>
    <t>Server</t>
  </si>
  <si>
    <t>Admin</t>
  </si>
  <si>
    <t>INTEL XEON E5607</t>
  </si>
  <si>
    <t>4TB+4TB+3TB+3TB+128 SSD</t>
  </si>
  <si>
    <t>IBM 6941101</t>
  </si>
  <si>
    <t>WINDOWS SERVER 2012R2</t>
  </si>
  <si>
    <t>QUICK HEAL SEVER EDITION</t>
  </si>
  <si>
    <t>SERVER-01</t>
  </si>
  <si>
    <t>Server-01</t>
  </si>
  <si>
    <t>INTEL XEON 3106</t>
  </si>
  <si>
    <t>240GB SSD+4TB*4+6TBEXT*2</t>
  </si>
  <si>
    <t>THINK SYSTEM SR550</t>
  </si>
  <si>
    <t>WINDOWS SERVER 2008R2</t>
  </si>
  <si>
    <t>ACOOUNT ROOM</t>
  </si>
  <si>
    <t>Acoount Room</t>
  </si>
  <si>
    <t>INTEL i7 2600K CPU @3.40GHZ</t>
  </si>
  <si>
    <t>NVIDIA QUARDO K620</t>
  </si>
  <si>
    <t>120 GB SSD</t>
  </si>
  <si>
    <t>INTEL DB67BL</t>
  </si>
  <si>
    <t>LDS-18</t>
  </si>
  <si>
    <t>INTEL i7 2700K CPU @3.40 GHZ</t>
  </si>
  <si>
    <t>240GB SSD+500 GB</t>
  </si>
  <si>
    <t>INTEL DH 67BL</t>
  </si>
  <si>
    <t>LDS-24</t>
  </si>
  <si>
    <t>Scanner System</t>
  </si>
  <si>
    <t>Fully obsolete for design — retire or reassign to docs-only role</t>
  </si>
  <si>
    <t>INTEL i7 3770K CPU @3.40 GHZ</t>
  </si>
  <si>
    <t>INTEL DB75EN</t>
  </si>
  <si>
    <t>LDS-27</t>
  </si>
  <si>
    <t>Kavita</t>
  </si>
  <si>
    <t>Strong CPU paired with weak GPU — add an RTX 4060+ for viz · GPU cannot drive modern 3D — replace with RTX 4060 or better</t>
  </si>
  <si>
    <t>1 TB HDD</t>
  </si>
  <si>
    <t>Dell Optiplex AIO  INTEL</t>
  </si>
  <si>
    <t>KADAM</t>
  </si>
  <si>
    <t>LDS-32</t>
  </si>
  <si>
    <t>Acoount Room System</t>
  </si>
  <si>
    <t>INTEL i7 2100 CPU @3.10GHZ</t>
  </si>
  <si>
    <t>500 GB</t>
  </si>
  <si>
    <t>INTEL DH 61WW</t>
  </si>
  <si>
    <t>LDS-40</t>
  </si>
  <si>
    <t>Rajendra</t>
  </si>
  <si>
    <t>Upgrade RAM to at least 16GB (currently 12GB) · Strong CPU paired with weak GPU — add an RTX 4060+ for viz · GPU cannot drive modern 3D — replace with RTX 4060 or better</t>
  </si>
  <si>
    <t>LDS-63</t>
  </si>
  <si>
    <t>Round Table Meeting Room</t>
  </si>
  <si>
    <t>INTEL i7  8700 CPU @3.40GHZ</t>
  </si>
  <si>
    <t>NVIDIA GEFORCE GTX 1050</t>
  </si>
  <si>
    <t>MSI MS-7971(H170A)</t>
  </si>
  <si>
    <t>LDS-66</t>
  </si>
  <si>
    <t>Fish Box Meeting Room</t>
  </si>
  <si>
    <t>LDS-67</t>
  </si>
  <si>
    <t>Board Meeting Room</t>
  </si>
  <si>
    <t>LDS-69</t>
  </si>
  <si>
    <t>Glass Block Room</t>
  </si>
  <si>
    <t>GIGABYTE Z590M</t>
  </si>
  <si>
    <t>LDS-70</t>
  </si>
  <si>
    <t>Corner Room</t>
  </si>
  <si>
    <t>LDS-88</t>
  </si>
  <si>
    <t>Innovation Room</t>
  </si>
  <si>
    <t>LDS-95</t>
  </si>
  <si>
    <t>New Meeting Room 3Rd Floor</t>
  </si>
  <si>
    <t>GIGABYTE Z170A</t>
  </si>
  <si>
    <t>Lotus@301</t>
  </si>
  <si>
    <t>LDS-99</t>
  </si>
  <si>
    <t>Slient Room</t>
  </si>
  <si>
    <t>LDS-106</t>
  </si>
  <si>
    <t>Aman</t>
  </si>
  <si>
    <t>Monthly Licence Utilisation &amp; Spend Tracker</t>
  </si>
  <si>
    <t>Snapshot of every software title — log the assigned count at month-end to see exactly when, and how much, licence money is being wasted.</t>
  </si>
  <si>
    <t>License Assigned (now)</t>
  </si>
  <si>
    <t>Est. Annual Cost (₹)</t>
  </si>
  <si>
    <t>Est. Wasted Spend (₹)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</si>
  <si>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</si>
  <si>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</si>
  <si>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</si>
  <si>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</si>
  <si>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</si>
  <si>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</si>
  <si>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</si>
  <si>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</si>
  <si>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</si>
  <si>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</si>
  <si>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</si>
  <si>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</si>
  <si>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LUMION 2023 PRO</t>
  </si>
  <si>
    <t>Office 365App for  Business</t>
  </si>
  <si>
    <t>Office 365 Business Standard</t>
  </si>
  <si>
    <t>SKETCHUP PRO  2024</t>
  </si>
  <si>
    <t>TOTAL</t>
  </si>
  <si>
    <t>Yellow cells = enter your annual contract cost. Blue cells = editable monthly inputs. Wasted spend = cost x spare / total.</t>
  </si>
  <si>
    <t>Group × License utilisation</t>
  </si>
  <si>
    <t>Auto-refreshes on every edit. Last: 6/1/2026, 11:00:07 AM</t>
  </si>
  <si>
    <t>Item ID</t>
  </si>
  <si>
    <t>Item</t>
  </si>
  <si>
    <t>Model</t>
  </si>
  <si>
    <t>Serial</t>
  </si>
  <si>
    <t>Quantity</t>
  </si>
  <si>
    <t>Condition</t>
  </si>
  <si>
    <t>Location</t>
  </si>
  <si>
    <t>Assigned To</t>
  </si>
  <si>
    <t>PROJ-01</t>
  </si>
  <si>
    <t>Projector</t>
  </si>
  <si>
    <t>EPSON LCD PROJECTOR (EB-1776W) H476C</t>
  </si>
  <si>
    <t>EPSON</t>
  </si>
  <si>
    <t>RESF2Y0343L</t>
  </si>
  <si>
    <t>Faulty</t>
  </si>
  <si>
    <t>PROJ-02</t>
  </si>
  <si>
    <t>RJPK5800012</t>
  </si>
  <si>
    <t>Good</t>
  </si>
  <si>
    <t>PROJ-03</t>
  </si>
  <si>
    <t>RJPK6400033</t>
  </si>
  <si>
    <t>PROJ-04</t>
  </si>
  <si>
    <t>EPSON LCD PROJECTOR (EB-U05) H841C</t>
  </si>
  <si>
    <t>X4HD9400179</t>
  </si>
  <si>
    <t>PROJ-05</t>
  </si>
  <si>
    <t>EPSON LCD PROJECTOR (EB-U05)  H841C</t>
  </si>
  <si>
    <t>X4HD9Z00174</t>
  </si>
  <si>
    <t>LOGITECH CONFERENCECAM MEETUP   BOARD R0OM</t>
  </si>
  <si>
    <t>LOGITECH</t>
  </si>
  <si>
    <t>WORKING</t>
  </si>
  <si>
    <t>LOGITECH CONFERENCECAM MEETUP GLASS BLOCK RROM</t>
  </si>
  <si>
    <t>CONFERENCECAM MEETUP INNOVATION ROOM</t>
  </si>
  <si>
    <t>CONFERENCECAM</t>
  </si>
  <si>
    <t>LOGITECH BCC950 CONFERENCECAM  ROUND TABLE ROOM</t>
  </si>
  <si>
    <t>LOGITECH CONFERENCECAM MEETUP FISH BOX RROM</t>
  </si>
  <si>
    <t>PROJ-06</t>
  </si>
  <si>
    <t>LOGITECH CONFERENCECAM MEETUP CORNER ROOM</t>
  </si>
  <si>
    <t>PROJ-07</t>
  </si>
  <si>
    <t>LOGITECH CONFERENCECAM MEETUP SLIENT ROOM</t>
  </si>
  <si>
    <t>PROJ-08</t>
  </si>
  <si>
    <t>LOGITECH CONFERENCECAM MEETUP NEW MEETING ROOM</t>
  </si>
  <si>
    <t>PROJ-10</t>
  </si>
  <si>
    <t>LOGITECH CONFERENCECAM MEETUP ROUND TABLE ROOM</t>
  </si>
  <si>
    <t>FAULTY</t>
  </si>
  <si>
    <t>HP DESINJEET Z5600</t>
  </si>
  <si>
    <t>HP</t>
  </si>
  <si>
    <t>WORKKING</t>
  </si>
  <si>
    <t>CANON IRADVC3720</t>
  </si>
  <si>
    <t>CANON</t>
  </si>
  <si>
    <t>HP LASERJET MFP 136 A</t>
  </si>
  <si>
    <t>HP LASERJET M428F -M429F</t>
  </si>
  <si>
    <t>HP DESIGN JET T1708</t>
  </si>
  <si>
    <t>SPARE-01</t>
  </si>
  <si>
    <t>Keyboard</t>
  </si>
  <si>
    <t>Fair</t>
  </si>
  <si>
    <t>Spare</t>
  </si>
  <si>
    <t>16  OLD</t>
  </si>
  <si>
    <t>SPARE-02</t>
  </si>
  <si>
    <t>Mouse</t>
  </si>
  <si>
    <t>24 OLD</t>
  </si>
  <si>
    <t>SPARE-03</t>
  </si>
  <si>
    <t>Cable</t>
  </si>
  <si>
    <t>Power Cable</t>
  </si>
  <si>
    <t>11 OLD</t>
  </si>
  <si>
    <t>SPARE-04</t>
  </si>
  <si>
    <t>Hdmi</t>
  </si>
  <si>
    <t>7 OLD</t>
  </si>
  <si>
    <t>SPARE-05</t>
  </si>
  <si>
    <t>Internet Cable</t>
  </si>
  <si>
    <t>6 OLD</t>
  </si>
  <si>
    <t>SPARE-06</t>
  </si>
  <si>
    <t>Monitor</t>
  </si>
  <si>
    <t>10 OLD</t>
  </si>
  <si>
    <t>SPARE-07</t>
  </si>
  <si>
    <t>Cpu</t>
  </si>
  <si>
    <t>SPARE-08</t>
  </si>
  <si>
    <t>4 NEW</t>
  </si>
  <si>
    <t>SPARE-09</t>
  </si>
  <si>
    <t>3 NEW</t>
  </si>
  <si>
    <t>System Health — auto-scan</t>
  </si>
  <si>
    <t>Last run: 5/29/2026, 2:02:38 PM  ·  110 issue(s)</t>
  </si>
  <si>
    <t>Severity</t>
  </si>
  <si>
    <t>System / Person</t>
  </si>
  <si>
    <t>Detail</t>
  </si>
  <si>
    <t>Fix</t>
  </si>
  <si>
    <t>HIGH</t>
  </si>
  <si>
    <t>Ghost owner</t>
  </si>
  <si>
    <t>Assigned to insha@studiolotus.in but that email is not in Master</t>
  </si>
  <si>
    <t>Add the person to Master or update Assigned Email</t>
  </si>
  <si>
    <t>Assigned to siya@studiolotus.in but that email is not in Master</t>
  </si>
  <si>
    <t>Assigned to isha@studiolotus.in but that email is not in Master</t>
  </si>
  <si>
    <t>Assigned to akshita@studiolotus.in but that email is not in Master</t>
  </si>
  <si>
    <t>Assigned to naba.jyoti@studiolotus.in but that email is not in Master</t>
  </si>
  <si>
    <t>Assigned to amar.pali@studiolotus.in but that email is not in Master</t>
  </si>
  <si>
    <t>Assigned to deepak@studiolotus.in but that email is not in Master</t>
  </si>
  <si>
    <t>Assigned to kishan@studiolotus.in but that email is not in Master</t>
  </si>
  <si>
    <t>Assigned to huda.@studiolotus.in but that email is not in Master</t>
  </si>
  <si>
    <t>Assigned to jahnavi.joshi@studiolotus.in but that email is not in Master</t>
  </si>
  <si>
    <t>Assigned to athrav@studiolotus.in but that email is not in Master</t>
  </si>
  <si>
    <t>MED</t>
  </si>
  <si>
    <t>Licence without install</t>
  </si>
  <si>
    <t>LDS-14 · adhiraj.sirkeck@studiolotus.in</t>
  </si>
  <si>
    <t>Holds AutoCAD licence but no AutoCAD version on this machine</t>
  </si>
  <si>
    <t>Install or revoke the licence to recover the seat</t>
  </si>
  <si>
    <t>Holds SketchUp licence but no SketchUp on this machine</t>
  </si>
  <si>
    <t>Install or revoke the licence</t>
  </si>
  <si>
    <t>Unassigned active</t>
  </si>
  <si>
    <t>Active machine with no Assigned Email</t>
  </si>
  <si>
    <t>Set the owner email or mark as Spare</t>
  </si>
  <si>
    <t>LDS-20 · aditi.panwar@studiolotus.in</t>
  </si>
  <si>
    <t>LDS-41 · sanya.jain@studiolotus.in</t>
  </si>
  <si>
    <t>LDS-54 · sheetal@studiolotus.in</t>
  </si>
  <si>
    <t>LDS-58 · anishaa.kashyap@studiolotus.in</t>
  </si>
  <si>
    <t>LDS-56 · anandita.narula@studiolotus.in</t>
  </si>
  <si>
    <t>LDS-84 · devenpreet@studiolotus.in</t>
  </si>
  <si>
    <t>LDS-87 · vijeet.shah@studiolotus.in</t>
  </si>
  <si>
    <t>LDS-111 · sanya.mathur@studiolotus.in</t>
  </si>
  <si>
    <t>LDS-112 · abhijeet.roy@studiolotus.in</t>
  </si>
  <si>
    <t>LDS-18 · itsupport@studiolotus.in</t>
  </si>
  <si>
    <t>LDS-27 · kavita@studiolotus.in</t>
  </si>
  <si>
    <t>LDS-40 · rajendra@studiolotus.in</t>
  </si>
  <si>
    <t>LOW</t>
  </si>
  <si>
    <t>Upgrade candidate</t>
  </si>
  <si>
    <t>RAM is 16 GB — consider upgrading for heavy 3D work</t>
  </si>
  <si>
    <t>Plan a RAM upgrade or rotate to lighter workflow</t>
  </si>
  <si>
    <t>RAM is 8 GB — consider upgrading for heavy 3D work</t>
  </si>
  <si>
    <t>RAM is 12 GB — consider upgrading for heavy 3D work</t>
  </si>
  <si>
    <t>Data Health — auto-scan</t>
  </si>
  <si>
    <t>Last run: 5/29/2026, 2:02:39 PM  ·  0 issue(s)</t>
  </si>
  <si>
    <t>Record</t>
  </si>
  <si>
    <t>Secret Key</t>
  </si>
  <si>
    <t>Belongs To</t>
  </si>
  <si>
    <t>Stored In</t>
  </si>
  <si>
    <t>Last Rotated</t>
  </si>
  <si>
    <t>Owner</t>
  </si>
  <si>
    <t>⚠ ENCRYPTED REGISTRY — actual VALUES live in Apps Script PropertiesService (encrypted at rest by Google, never written to any cell, never round-tripped to xlsx). This sheet lists only metadata. Use the Studio Lotus menu → "Set Secret" / "Get Secret" to read/write values. Anyone with sheet access sees registry only, never the secret itself.</t>
  </si>
  <si>
    <t>system.LDS-02.windows_key</t>
  </si>
  <si>
    <t>Windows Key</t>
  </si>
  <si>
    <t>PropertiesService</t>
  </si>
  <si>
    <t>system.LDS-02.ms_office_id</t>
  </si>
  <si>
    <t>MS Office Account ID</t>
  </si>
  <si>
    <t>system.LDS-02.ms_office_pwd</t>
  </si>
  <si>
    <t>MS Office Password</t>
  </si>
  <si>
    <t>system.LDS-02.autocad_id</t>
  </si>
  <si>
    <t>AutoCAD Account ID</t>
  </si>
  <si>
    <t>system.LDS-02.autocad_pwd</t>
  </si>
  <si>
    <t>AutoCAD Password</t>
  </si>
  <si>
    <t>system.LDS-02.adobe_id</t>
  </si>
  <si>
    <t>Adobe Account ID</t>
  </si>
  <si>
    <t>system.LDS-02.adobe_pwd</t>
  </si>
  <si>
    <t>Adobe Password</t>
  </si>
  <si>
    <t>system.LDS-02.antivirus_key</t>
  </si>
  <si>
    <t>Antivirus Key</t>
  </si>
  <si>
    <t>system.LDS-02.sketchup_id</t>
  </si>
  <si>
    <t>SketchUp Account ID</t>
  </si>
  <si>
    <t>system.LDS-03.windows_key</t>
  </si>
  <si>
    <t>system.LDS-03.ms_office_id</t>
  </si>
  <si>
    <t>system.LDS-03.ms_office_pwd</t>
  </si>
  <si>
    <t>system.LDS-03.autocad_id</t>
  </si>
  <si>
    <t>system.LDS-03.autocad_pwd</t>
  </si>
  <si>
    <t>system.LDS-03.sketchup_id</t>
  </si>
  <si>
    <t>system.LDS-03.sketchup_pwd</t>
  </si>
  <si>
    <t>SketchUp Password</t>
  </si>
  <si>
    <t>system.LDS-04.windows_key</t>
  </si>
  <si>
    <t>system.LDS-04.ms_office_id</t>
  </si>
  <si>
    <t>system.LDS-04.ms_office_pwd</t>
  </si>
  <si>
    <t>system.LDS-04.autocad_id</t>
  </si>
  <si>
    <t>system.LDS-04.autocad_pwd</t>
  </si>
  <si>
    <t>system.LDS-04.sketchup_id</t>
  </si>
  <si>
    <t>system.LDS-04.sketchup_pwd</t>
  </si>
  <si>
    <t>system.LDS-05.windows_key</t>
  </si>
  <si>
    <t>system.LDS-05.ms_office_id</t>
  </si>
  <si>
    <t>system.LDS-05.ms_office_pwd</t>
  </si>
  <si>
    <t>system.LDS-05.autocad_id</t>
  </si>
  <si>
    <t>system.LDS-05.autocad_pwd</t>
  </si>
  <si>
    <t>system.LDS-05.antivirus_key</t>
  </si>
  <si>
    <t>system.LDS-06.windows_key</t>
  </si>
  <si>
    <t>system.LDS-06.ms_office_id</t>
  </si>
  <si>
    <t>system.LDS-06.ms_office_pwd</t>
  </si>
  <si>
    <t>system.LDS-06.autocad_id</t>
  </si>
  <si>
    <t>system.LDS-06.autocad_pwd</t>
  </si>
  <si>
    <t>system.LDS-06.adobe_id</t>
  </si>
  <si>
    <t>system.LDS-06.antivirus_key</t>
  </si>
  <si>
    <t>system.LDS-06.sketchup_id</t>
  </si>
  <si>
    <t>system.LDS-06.sketchup_pwd</t>
  </si>
  <si>
    <t>system.LDS-07.windows_key</t>
  </si>
  <si>
    <t>system.LDS-07.ms_office_id</t>
  </si>
  <si>
    <t>system.LDS-07.ms_office_pwd</t>
  </si>
  <si>
    <t>system.LDS-07.autocad_id</t>
  </si>
  <si>
    <t>system.LDS-07.autocad_pwd</t>
  </si>
  <si>
    <t>system.LDS-07.sketchup_id</t>
  </si>
  <si>
    <t>system.LDS-07.sketchup_pwd</t>
  </si>
  <si>
    <t>system.LDS-08.windows_key</t>
  </si>
  <si>
    <t>system.LDS-08.ms_office_id</t>
  </si>
  <si>
    <t>system.LDS-08.ms_office_pwd</t>
  </si>
  <si>
    <t>system.LDS-08.autocad_id</t>
  </si>
  <si>
    <t>system.LDS-08.autocad_pwd</t>
  </si>
  <si>
    <t>system.LDS-08.antivirus_key</t>
  </si>
  <si>
    <t>system.LDS-08.sketchup_id</t>
  </si>
  <si>
    <t>system.LDS-08.sketchup_pwd</t>
  </si>
  <si>
    <t>system.LDS-10.windows_key</t>
  </si>
  <si>
    <t>system.LDS-10.ms_office_id</t>
  </si>
  <si>
    <t>system.LDS-10.ms_office_pwd</t>
  </si>
  <si>
    <t>system.LDS-10.autocad_id</t>
  </si>
  <si>
    <t>system.LDS-10.autocad_pwd</t>
  </si>
  <si>
    <t>system.LDS-10.antivirus_key</t>
  </si>
  <si>
    <t>system.LDS-10.sketchup_id</t>
  </si>
  <si>
    <t>system.LDS-10.sketchup_pwd</t>
  </si>
  <si>
    <t>system.LDS-11.windows_key</t>
  </si>
  <si>
    <t>system.LDS-11.ms_office_id</t>
  </si>
  <si>
    <t>system.LDS-11.ms_office_pwd</t>
  </si>
  <si>
    <t>system.LDS-11.autocad_id</t>
  </si>
  <si>
    <t>system.LDS-11.autocad_pwd</t>
  </si>
  <si>
    <t>system.LDS-11.antivirus_key</t>
  </si>
  <si>
    <t>system.LDS-11.sketchup_id</t>
  </si>
  <si>
    <t>system.LDS-11.sketchup_pwd</t>
  </si>
  <si>
    <t>system.LDS-13.windows_key</t>
  </si>
  <si>
    <t>system.LDS-13.ms_office_id</t>
  </si>
  <si>
    <t>system.LDS-13.ms_office_pwd</t>
  </si>
  <si>
    <t>system.LDS-13.autocad_id</t>
  </si>
  <si>
    <t>system.LDS-13.autocad_pwd</t>
  </si>
  <si>
    <t>system.LDS-13.adobe_id</t>
  </si>
  <si>
    <t>system.LDS-13.adobe_pwd</t>
  </si>
  <si>
    <t>system.LDS-13.sketchup_id</t>
  </si>
  <si>
    <t>system.LDS-13.sketchup_pwd</t>
  </si>
  <si>
    <t>system.LDS-14.windows_key</t>
  </si>
  <si>
    <t>system.LDS-14.ms_office_id</t>
  </si>
  <si>
    <t>system.LDS-14.ms_office_pwd</t>
  </si>
  <si>
    <t>system.LDS-14.autocad_id</t>
  </si>
  <si>
    <t>system.LDS-14.autocad_pwd</t>
  </si>
  <si>
    <t>system.LDS-14.sketchup_id</t>
  </si>
  <si>
    <t>system.LDS-14.sketchup_pwd</t>
  </si>
  <si>
    <t>system.LDS-101\LUM.windows_key</t>
  </si>
  <si>
    <t>LDS-101\LUM</t>
  </si>
  <si>
    <t>system.LDS-101\LUM.ms_office_id</t>
  </si>
  <si>
    <t>system.LDS-101\LUM.ms_office_pwd</t>
  </si>
  <si>
    <t>system.LDS-101\LUM.autocad_id</t>
  </si>
  <si>
    <t>system.LDS-101\LUM.autocad_pwd</t>
  </si>
  <si>
    <t>system.LDS-101\LUM.antivirus_key</t>
  </si>
  <si>
    <t>system.LDS-16.windows_key</t>
  </si>
  <si>
    <t>system.LDS-16.ms_office_id</t>
  </si>
  <si>
    <t>system.LDS-16.ms_office_pwd</t>
  </si>
  <si>
    <t>system.LDS-16.autocad_id</t>
  </si>
  <si>
    <t>system.LDS-16.autocad_pwd</t>
  </si>
  <si>
    <t>system.LDS-16.antivirus_key</t>
  </si>
  <si>
    <t>system.LDS-16.sketchup_id</t>
  </si>
  <si>
    <t>system.LDS-16.sketchup_pwd</t>
  </si>
  <si>
    <t>system.LDS-19.windows_key</t>
  </si>
  <si>
    <t>system.LDS-19.ms_office_id</t>
  </si>
  <si>
    <t>system.LDS-19.ms_office_pwd</t>
  </si>
  <si>
    <t>system.LDS-19.autocad_id</t>
  </si>
  <si>
    <t>system.LDS-19.autocad_pwd</t>
  </si>
  <si>
    <t>system.LDS-19.antivirus_key</t>
  </si>
  <si>
    <t>system.LDS-19.sketchup_id</t>
  </si>
  <si>
    <t>system.LDS-19.sketchup_pwd</t>
  </si>
  <si>
    <t>system.LDS-20.windows_key</t>
  </si>
  <si>
    <t>system.LDS-20.ms_office_id</t>
  </si>
  <si>
    <t>system.LDS-20.ms_office_pwd</t>
  </si>
  <si>
    <t>system.LDS-20.autocad_id</t>
  </si>
  <si>
    <t>system.LDS-20.autocad_pwd</t>
  </si>
  <si>
    <t>system.LDS-21.windows_key</t>
  </si>
  <si>
    <t>system.LDS-21.ms_office_id</t>
  </si>
  <si>
    <t>system.LDS-21.ms_office_pwd</t>
  </si>
  <si>
    <t>system.LDS-21.autocad_id</t>
  </si>
  <si>
    <t>system.LDS-21.autocad_pwd</t>
  </si>
  <si>
    <t>system.LDS-21.antivirus_key</t>
  </si>
  <si>
    <t>system.LDS-21.sketchup_pwd</t>
  </si>
  <si>
    <t>system.LDS-23.windows_key</t>
  </si>
  <si>
    <t>system.LDS-23.ms_office_id</t>
  </si>
  <si>
    <t>system.LDS-23.ms_office_pwd</t>
  </si>
  <si>
    <t>system.LDS-23.autocad_id</t>
  </si>
  <si>
    <t>system.LDS-23.autocad_pwd</t>
  </si>
  <si>
    <t>system.LDS-23.antivirus_key</t>
  </si>
  <si>
    <t>system.LDS-25.windows_key</t>
  </si>
  <si>
    <t>system.LDS-25.ms_office_id</t>
  </si>
  <si>
    <t>system.LDS-25.ms_office_pwd</t>
  </si>
  <si>
    <t>system.LDS-25.autocad_id</t>
  </si>
  <si>
    <t>system.LDS-25.autocad_pwd</t>
  </si>
  <si>
    <t>system.LDS-25.adobe_id</t>
  </si>
  <si>
    <t>system.LDS-25.adobe_pwd</t>
  </si>
  <si>
    <t>system.LDS-25.antivirus_key</t>
  </si>
  <si>
    <t>system.LDS-26.windows_key</t>
  </si>
  <si>
    <t>system.LDS-26.ms_office_id</t>
  </si>
  <si>
    <t>system.LDS-26.ms_office_pwd</t>
  </si>
  <si>
    <t>system.LDS-26.autocad_id</t>
  </si>
  <si>
    <t>system.LDS-26.autocad_pwd</t>
  </si>
  <si>
    <t>system.LDS-26.sketchup_id</t>
  </si>
  <si>
    <t>system.LDS-26.sketchup_pwd</t>
  </si>
  <si>
    <t>system.LDS-28.windows_key</t>
  </si>
  <si>
    <t>system.LDS-28.ms_office_id</t>
  </si>
  <si>
    <t>system.LDS-28.ms_office_pwd</t>
  </si>
  <si>
    <t>system.LDS-28.autocad_id</t>
  </si>
  <si>
    <t>system.LDS-28.autocad_pwd</t>
  </si>
  <si>
    <t>system.LDS-28.antivirus_key</t>
  </si>
  <si>
    <t>system.LDS-28.sketchup_id</t>
  </si>
  <si>
    <t>system.LDS-28.sketchup_pwd</t>
  </si>
  <si>
    <t>system.LDS-29.windows_key</t>
  </si>
  <si>
    <t>system.LDS-29.ms_office_id</t>
  </si>
  <si>
    <t>system.LDS-29.ms_office_pwd</t>
  </si>
  <si>
    <t>system.LDS-29.autocad_id</t>
  </si>
  <si>
    <t>system.LDS-29.autocad_pwd</t>
  </si>
  <si>
    <t>system.LDS-29.antivirus_key</t>
  </si>
  <si>
    <t>system.LDS-29.sketchup_id</t>
  </si>
  <si>
    <t>system.LDS-29.sketchup_pwd</t>
  </si>
  <si>
    <t>system.LDS-33.windows_key</t>
  </si>
  <si>
    <t>system.LDS-33.ms_office_id</t>
  </si>
  <si>
    <t>system.LDS-33.ms_office_pwd</t>
  </si>
  <si>
    <t>system.LDS-33.autocad_id</t>
  </si>
  <si>
    <t>system.LDS-33.autocad_pwd</t>
  </si>
  <si>
    <t>system.LDS-33.antivirus_key</t>
  </si>
  <si>
    <t>system.LDS-33.sketchup_id</t>
  </si>
  <si>
    <t>system.LDS-33.sketchup_pwd</t>
  </si>
  <si>
    <t>system.LDS-34.windows_key</t>
  </si>
  <si>
    <t>system.LDS-34.ms_office_id</t>
  </si>
  <si>
    <t>system.LDS-34.ms_office_pwd</t>
  </si>
  <si>
    <t>system.LDS-34.autocad_id</t>
  </si>
  <si>
    <t>system.LDS-34.autocad_pwd</t>
  </si>
  <si>
    <t>system.LDS-34.adobe_id</t>
  </si>
  <si>
    <t>system.LDS-34.adobe_pwd</t>
  </si>
  <si>
    <t>system.LDS-34.antivirus_key</t>
  </si>
  <si>
    <t>system.LDS-34.sketchup_id</t>
  </si>
  <si>
    <t>system.LDS-34.sketchup_pwd</t>
  </si>
  <si>
    <t>system.LDS-35.windows_key</t>
  </si>
  <si>
    <t>system.LDS-35.ms_office_id</t>
  </si>
  <si>
    <t>system.LDS-35.ms_office_pwd</t>
  </si>
  <si>
    <t>system.LDS-35.autocad_id</t>
  </si>
  <si>
    <t>system.LDS-35.autocad_pwd</t>
  </si>
  <si>
    <t>system.LDS-35.antivirus_key</t>
  </si>
  <si>
    <t>system.LDS-38.windows_key</t>
  </si>
  <si>
    <t>system.LDS-38.ms_office_id</t>
  </si>
  <si>
    <t>system.LDS-38.ms_office_pwd</t>
  </si>
  <si>
    <t>system.LDS-38.autocad_id</t>
  </si>
  <si>
    <t>system.LDS-38.autocad_pwd</t>
  </si>
  <si>
    <t>system.LDS-38.antivirus_key</t>
  </si>
  <si>
    <t>system.LDS-39.windows_key</t>
  </si>
  <si>
    <t>system.LDS-39.ms_office_id</t>
  </si>
  <si>
    <t>system.LDS-39.ms_office_pwd</t>
  </si>
  <si>
    <t>system.LDS-39.autocad_id</t>
  </si>
  <si>
    <t>system.LDS-39.autocad_pwd</t>
  </si>
  <si>
    <t>system.LDS-39.antivirus_key</t>
  </si>
  <si>
    <t>system.LDS-39.sketchup_id</t>
  </si>
  <si>
    <t>system.LDS-39.sketchup_pwd</t>
  </si>
  <si>
    <t>system.LDS-41.windows_key</t>
  </si>
  <si>
    <t>system.LDS-41.ms_office_id</t>
  </si>
  <si>
    <t>system.LDS-41.ms_office_pwd</t>
  </si>
  <si>
    <t>system.LDS-41.autocad_id</t>
  </si>
  <si>
    <t>system.LDS-41.autocad_pwd</t>
  </si>
  <si>
    <t>system.LDS-41.adobe_id</t>
  </si>
  <si>
    <t>system.LDS-41.adobe_pwd</t>
  </si>
  <si>
    <t>system.LDS-42.windows_key</t>
  </si>
  <si>
    <t>system.LDS-42.ms_office_id</t>
  </si>
  <si>
    <t>system.LDS-42.ms_office_pwd</t>
  </si>
  <si>
    <t>system.LDS-42.autocad_id</t>
  </si>
  <si>
    <t>system.LDS-42.autocad_pwd</t>
  </si>
  <si>
    <t>system.LDS-42.antivirus_key</t>
  </si>
  <si>
    <t>system.LDS-43.windows_key</t>
  </si>
  <si>
    <t>system.LDS-43.ms_office_id</t>
  </si>
  <si>
    <t>system.LDS-43.ms_office_pwd</t>
  </si>
  <si>
    <t>system.LDS-43.adobe_id</t>
  </si>
  <si>
    <t>system.LDS-43.adobe_pwd</t>
  </si>
  <si>
    <t>system.LDS-43.antivirus_key</t>
  </si>
  <si>
    <t>system.LDS-44.windows_key</t>
  </si>
  <si>
    <t>system.LDS-44.ms_office_id</t>
  </si>
  <si>
    <t>system.LDS-44.ms_office_pwd</t>
  </si>
  <si>
    <t>system.LDS-44.autocad_id</t>
  </si>
  <si>
    <t>system.LDS-44.autocad_pwd</t>
  </si>
  <si>
    <t>system.LDS-44.antivirus_key</t>
  </si>
  <si>
    <t>system.LDS-45.windows_key</t>
  </si>
  <si>
    <t>system.LDS-45.ms_office_id</t>
  </si>
  <si>
    <t>system.LDS-45.ms_office_pwd</t>
  </si>
  <si>
    <t>system.LDS-45.autocad_id</t>
  </si>
  <si>
    <t>system.LDS-45.autocad_pwd</t>
  </si>
  <si>
    <t>system.LDS-45.antivirus_key</t>
  </si>
  <si>
    <t>system.LDS-46.windows_key</t>
  </si>
  <si>
    <t>system.LDS-46.ms_office_id</t>
  </si>
  <si>
    <t>system.LDS-46.ms_office_pwd</t>
  </si>
  <si>
    <t>system.LDS-46.autocad_id</t>
  </si>
  <si>
    <t>system.LDS-46.autocad_pwd</t>
  </si>
  <si>
    <t>system.LDS-46.antivirus_key</t>
  </si>
  <si>
    <t>system.LDS-46.sketchup_id</t>
  </si>
  <si>
    <t>system.LDS-46.sketchup_pwd</t>
  </si>
  <si>
    <t>system.LDS-47.windows_key</t>
  </si>
  <si>
    <t>system.LDS-47.ms_office_id</t>
  </si>
  <si>
    <t>system.LDS-47.ms_office_pwd</t>
  </si>
  <si>
    <t>system.LDS-47.autocad_id</t>
  </si>
  <si>
    <t>system.LDS-47.autocad_pwd</t>
  </si>
  <si>
    <t>system.LDS-47.antivirus_key</t>
  </si>
  <si>
    <t>system.LDS-48.windows_key</t>
  </si>
  <si>
    <t>system.LDS-48.ms_office_id</t>
  </si>
  <si>
    <t>system.LDS-48.ms_office_pwd</t>
  </si>
  <si>
    <t>system.LDS-48.autocad_id</t>
  </si>
  <si>
    <t>system.LDS-48.autocad_pwd</t>
  </si>
  <si>
    <t>system.LDS-48.antivirus_key</t>
  </si>
  <si>
    <t>system.LDS-48.sketchup_id</t>
  </si>
  <si>
    <t>system.LDS-48.sketchup_pwd</t>
  </si>
  <si>
    <t>system.LDS-49.windows_key</t>
  </si>
  <si>
    <t>system.LDS-49.ms_office_id</t>
  </si>
  <si>
    <t>system.LDS-49.ms_office_pwd</t>
  </si>
  <si>
    <t>system.LDS-49.autocad_id</t>
  </si>
  <si>
    <t>system.LDS-49.autocad_pwd</t>
  </si>
  <si>
    <t>system.LDS-49.antivirus_key</t>
  </si>
  <si>
    <t>system.LDS-50.windows_key</t>
  </si>
  <si>
    <t>system.LDS-50.ms_office_id</t>
  </si>
  <si>
    <t>system.LDS-50.ms_office_pwd</t>
  </si>
  <si>
    <t>system.LDS-50.autocad_id</t>
  </si>
  <si>
    <t>system.LDS-50.autocad_pwd</t>
  </si>
  <si>
    <t>system.LDS-50.antivirus_key</t>
  </si>
  <si>
    <t>system.LDS-50.sketchup_id</t>
  </si>
  <si>
    <t>system.LDS-50.sketchup_pwd</t>
  </si>
  <si>
    <t>system.LDS-51.windows_key</t>
  </si>
  <si>
    <t>system.LDS-51.ms_office_id</t>
  </si>
  <si>
    <t>system.LDS-51.ms_office_pwd</t>
  </si>
  <si>
    <t>system.LDS-51.autocad_id</t>
  </si>
  <si>
    <t>system.LDS-51.autocad_pwd</t>
  </si>
  <si>
    <t>system.LDS-51.sketchup_id</t>
  </si>
  <si>
    <t>system.LDS-51.sketchup_pwd</t>
  </si>
  <si>
    <t>system.LDS-53.windows_key</t>
  </si>
  <si>
    <t>system.LDS-53.ms_office_id</t>
  </si>
  <si>
    <t>system.LDS-53.ms_office_pwd</t>
  </si>
  <si>
    <t>system.LDS-53.autocad_id</t>
  </si>
  <si>
    <t>system.LDS-53.autocad_pwd</t>
  </si>
  <si>
    <t>system.LDS-53.antivirus_key</t>
  </si>
  <si>
    <t>system.LDS-53.sketchup_id</t>
  </si>
  <si>
    <t>system.LDS-53.sketchup_pwd</t>
  </si>
  <si>
    <t>system.LDS-54.windows_key</t>
  </si>
  <si>
    <t>system.LDS-54.ms_office_id</t>
  </si>
  <si>
    <t>system.LDS-54.ms_office_pwd</t>
  </si>
  <si>
    <t>system.LDS-54.autocad_id</t>
  </si>
  <si>
    <t>system.LDS-54.autocad_pwd</t>
  </si>
  <si>
    <t>system.LDS-54.adobe_id</t>
  </si>
  <si>
    <t>system.LDS-54.adobe_pwd</t>
  </si>
  <si>
    <t>system.LDS-54.antivirus_key</t>
  </si>
  <si>
    <t>system.LDS-55.windows_key</t>
  </si>
  <si>
    <t>system.LDS-55.ms_office_id</t>
  </si>
  <si>
    <t>system.LDS-55.ms_office_pwd</t>
  </si>
  <si>
    <t>system.LDS-55.autocad_id</t>
  </si>
  <si>
    <t>system.LDS-55.autocad_pwd</t>
  </si>
  <si>
    <t>system.LDS-55.adobe_id</t>
  </si>
  <si>
    <t>system.LDS-55.adobe_pwd</t>
  </si>
  <si>
    <t>system.LDS-55.antivirus_key</t>
  </si>
  <si>
    <t>system.LDS-55.sketchup_id</t>
  </si>
  <si>
    <t>system.LDS-55.sketchup_pwd</t>
  </si>
  <si>
    <t>system.LDS-57.windows_key</t>
  </si>
  <si>
    <t>system.LDS-57.ms_office_id</t>
  </si>
  <si>
    <t>system.LDS-57.ms_office_pwd</t>
  </si>
  <si>
    <t>system.LDS-57.autocad_id</t>
  </si>
  <si>
    <t>system.LDS-57.autocad_pwd</t>
  </si>
  <si>
    <t>system.LDS-57.adobe_id</t>
  </si>
  <si>
    <t>system.LDS-57.adobe_pwd</t>
  </si>
  <si>
    <t>system.LDS-57.antivirus_key</t>
  </si>
  <si>
    <t>system.LDS-58.windows_key</t>
  </si>
  <si>
    <t>system.LDS-58.ms_office_id</t>
  </si>
  <si>
    <t>system.LDS-58.ms_office_pwd</t>
  </si>
  <si>
    <t>system.LDS-58.autocad_id</t>
  </si>
  <si>
    <t>system.LDS-58.autocad_pwd</t>
  </si>
  <si>
    <t>system.LDS-58.adobe_pwd</t>
  </si>
  <si>
    <t>system.LDS-58.antivirus_key</t>
  </si>
  <si>
    <t>system.LDS-59.windows_key</t>
  </si>
  <si>
    <t>system.LDS-59.ms_office_id</t>
  </si>
  <si>
    <t>system.LDS-59.ms_office_pwd</t>
  </si>
  <si>
    <t>system.LDS-59.autocad_id</t>
  </si>
  <si>
    <t>system.LDS-59.autocad_pwd</t>
  </si>
  <si>
    <t>system.LDS-59.antivirus_key</t>
  </si>
  <si>
    <t>system.LDS-60.windows_key</t>
  </si>
  <si>
    <t>system.LDS-60.ms_office_id</t>
  </si>
  <si>
    <t>system.LDS-60.ms_office_pwd</t>
  </si>
  <si>
    <t>system.LDS-60.autocad_id</t>
  </si>
  <si>
    <t>system.LDS-60.autocad_pwd</t>
  </si>
  <si>
    <t>system.LDS-60.antivirus_key</t>
  </si>
  <si>
    <t>system.LDS-61.windows_key</t>
  </si>
  <si>
    <t>system.LDS-61.ms_office_id</t>
  </si>
  <si>
    <t>system.LDS-61.ms_office_pwd</t>
  </si>
  <si>
    <t>system.LDS-61.autocad_id</t>
  </si>
  <si>
    <t>system.LDS-61.autocad_pwd</t>
  </si>
  <si>
    <t>system.LDS-61.antivirus_key</t>
  </si>
  <si>
    <t>system.LDS-62.windows_key</t>
  </si>
  <si>
    <t>system.LDS-62.ms_office_id</t>
  </si>
  <si>
    <t>system.LDS-62.ms_office_pwd</t>
  </si>
  <si>
    <t>system.LDS-62.autocad_id</t>
  </si>
  <si>
    <t>system.LDS-62.autocad_pwd</t>
  </si>
  <si>
    <t>system.LDS-62.adobe_id</t>
  </si>
  <si>
    <t>system.LDS-62.antivirus_key</t>
  </si>
  <si>
    <t>system.LDS-64.windows_key</t>
  </si>
  <si>
    <t>system.LDS-64.ms_office_id</t>
  </si>
  <si>
    <t>system.LDS-64.ms_office_pwd</t>
  </si>
  <si>
    <t>system.LDS-64.autocad_id</t>
  </si>
  <si>
    <t>system.LDS-64.autocad_pwd</t>
  </si>
  <si>
    <t>system.LDS-64.antivirus_key</t>
  </si>
  <si>
    <t>system.LDS-64.sketchup_id</t>
  </si>
  <si>
    <t>system.LDS-64.sketchup_pwd</t>
  </si>
  <si>
    <t>system.LDS-65.windows_key</t>
  </si>
  <si>
    <t>system.LDS-65.ms_office_id</t>
  </si>
  <si>
    <t>system.LDS-65.ms_office_pwd</t>
  </si>
  <si>
    <t>system.LDS-65.autocad_id</t>
  </si>
  <si>
    <t>system.LDS-65.autocad_pwd</t>
  </si>
  <si>
    <t>system.LDS-65.antivirus_key</t>
  </si>
  <si>
    <t>system.LDS-68.windows_key</t>
  </si>
  <si>
    <t>system.LDS-68.ms_office_id</t>
  </si>
  <si>
    <t>system.LDS-68.ms_office_pwd</t>
  </si>
  <si>
    <t>system.LDS-68.autocad_id</t>
  </si>
  <si>
    <t>system.LDS-68.autocad_pwd</t>
  </si>
  <si>
    <t>system.LDS-68.antivirus_key</t>
  </si>
  <si>
    <t>system.LDS-68.sketchup_id</t>
  </si>
  <si>
    <t>system.LDS-68.sketchup_pwd</t>
  </si>
  <si>
    <t>system.LDS-71.windows_key</t>
  </si>
  <si>
    <t>LDS-71</t>
  </si>
  <si>
    <t>system.LDS-71.ms_office_id</t>
  </si>
  <si>
    <t>system.LDS-71.ms_office_pwd</t>
  </si>
  <si>
    <t>system.LDS-71.autocad_id</t>
  </si>
  <si>
    <t>system.LDS-71.autocad_pwd</t>
  </si>
  <si>
    <t>system.LDS-71.antivirus_key</t>
  </si>
  <si>
    <t>system.LDS-71.sketchup_id</t>
  </si>
  <si>
    <t>system.LDS-71.sketchup_pwd</t>
  </si>
  <si>
    <t>system.LDS-72.windows_key</t>
  </si>
  <si>
    <t>system.LDS-72.ms_office_id</t>
  </si>
  <si>
    <t>system.LDS-72.ms_office_pwd</t>
  </si>
  <si>
    <t>system.LDS-72.autocad_id</t>
  </si>
  <si>
    <t>system.LDS-72.autocad_pwd</t>
  </si>
  <si>
    <t>system.LDS-72.antivirus_key</t>
  </si>
  <si>
    <t>system.LDS-72.sketchup_id</t>
  </si>
  <si>
    <t>system.LDS-72.sketchup_pwd</t>
  </si>
  <si>
    <t>system.LDS-73.windows_key</t>
  </si>
  <si>
    <t>system.LDS-73.ms_office_id</t>
  </si>
  <si>
    <t>system.LDS-73.ms_office_pwd</t>
  </si>
  <si>
    <t>system.LDS-73.autocad_id</t>
  </si>
  <si>
    <t>system.LDS-73.autocad_pwd</t>
  </si>
  <si>
    <t>system.LDS-73.antivirus_key</t>
  </si>
  <si>
    <t>system.LDS-73.sketchup_id</t>
  </si>
  <si>
    <t>system.LDS-73.sketchup_pwd</t>
  </si>
  <si>
    <t>system.LDS-75.windows_key</t>
  </si>
  <si>
    <t>system.LDS-75.ms_office_id</t>
  </si>
  <si>
    <t>system.LDS-75.ms_office_pwd</t>
  </si>
  <si>
    <t>system.LDS-75.autocad_id</t>
  </si>
  <si>
    <t>system.LDS-75.autocad_pwd</t>
  </si>
  <si>
    <t>system.LDS-75.antivirus_key</t>
  </si>
  <si>
    <t>system.LDS-76.windows_key</t>
  </si>
  <si>
    <t>system.LDS-76.ms_office_id</t>
  </si>
  <si>
    <t>system.LDS-76.ms_office_pwd</t>
  </si>
  <si>
    <t>system.LDS-76.autocad_id</t>
  </si>
  <si>
    <t>system.LDS-76.autocad_pwd</t>
  </si>
  <si>
    <t>system.LDS-76.antivirus_key</t>
  </si>
  <si>
    <t>system.LDS-76.sketchup_id</t>
  </si>
  <si>
    <t>system.LDS-76.sketchup_pwd</t>
  </si>
  <si>
    <t>system.LDS-56.windows_key</t>
  </si>
  <si>
    <t>system.LDS-56.ms_office_id</t>
  </si>
  <si>
    <t>system.LDS-56.ms_office_pwd</t>
  </si>
  <si>
    <t>system.LDS-56.autocad_id</t>
  </si>
  <si>
    <t>system.LDS-56.autocad_pwd</t>
  </si>
  <si>
    <t>system.LDS-56.adobe_id</t>
  </si>
  <si>
    <t>system.LDS-56.antivirus_key</t>
  </si>
  <si>
    <t>system.LDS-56.sketchup_id</t>
  </si>
  <si>
    <t>system.LDS-56.sketchup_pwd</t>
  </si>
  <si>
    <t>system.LDS-78.windows_key</t>
  </si>
  <si>
    <t>system.LDS-78.ms_office_id</t>
  </si>
  <si>
    <t>system.LDS-78.ms_office_pwd</t>
  </si>
  <si>
    <t>system.LDS-78.autocad_id</t>
  </si>
  <si>
    <t>system.LDS-78.autocad_pwd</t>
  </si>
  <si>
    <t>system.LDS-78.sketchup_id</t>
  </si>
  <si>
    <t>system.LDS-78.sketchup_pwd</t>
  </si>
  <si>
    <t>system.LDS-79.windows_key</t>
  </si>
  <si>
    <t>system.LDS-79.ms_office_id</t>
  </si>
  <si>
    <t>system.LDS-79.ms_office_pwd</t>
  </si>
  <si>
    <t>system.LDS-79.autocad_id</t>
  </si>
  <si>
    <t>system.LDS-79.autocad_pwd</t>
  </si>
  <si>
    <t>system.LDS-80.windows_key</t>
  </si>
  <si>
    <t>system.LDS-80.ms_office_id</t>
  </si>
  <si>
    <t>system.LDS-80.ms_office_pwd</t>
  </si>
  <si>
    <t>system.LDS-80.autocad_id</t>
  </si>
  <si>
    <t>system.LDS-80.autocad_pwd</t>
  </si>
  <si>
    <t>system.LDS-80.antivirus_key</t>
  </si>
  <si>
    <t>system.LDS-81.windows_key</t>
  </si>
  <si>
    <t>system.LDS-81.ms_office_id</t>
  </si>
  <si>
    <t>system.LDS-81.ms_office_pwd</t>
  </si>
  <si>
    <t>system.LDS-81.autocad_id</t>
  </si>
  <si>
    <t>system.LDS-81.autocad_pwd</t>
  </si>
  <si>
    <t>system.LDS-81.antivirus_key</t>
  </si>
  <si>
    <t>system.LDS-81.sketchup_id</t>
  </si>
  <si>
    <t>system.LDS-81.sketchup_pwd</t>
  </si>
  <si>
    <t>system.LDS-82.windows_key</t>
  </si>
  <si>
    <t>system.LDS-82.ms_office_id</t>
  </si>
  <si>
    <t>system.LDS-82.ms_office_pwd</t>
  </si>
  <si>
    <t>system.LDS-82.autocad_id</t>
  </si>
  <si>
    <t>system.LDS-82.autocad_pwd</t>
  </si>
  <si>
    <t>system.LDS-82.sketchup_id</t>
  </si>
  <si>
    <t>system.LDS-82.sketchup_pwd</t>
  </si>
  <si>
    <t>system.LDS-83.windows_key</t>
  </si>
  <si>
    <t>system.LDS-83.ms_office_id</t>
  </si>
  <si>
    <t>system.LDS-83.ms_office_pwd</t>
  </si>
  <si>
    <t>system.LDS-83.autocad_pwd</t>
  </si>
  <si>
    <t>system.LDS-83.adobe_id</t>
  </si>
  <si>
    <t>system.LDS-83.adobe_pwd</t>
  </si>
  <si>
    <t>system.LDS-83.antivirus_key</t>
  </si>
  <si>
    <t>system.LDS-83.sketchup_id</t>
  </si>
  <si>
    <t>system.LDS-83.sketchup_pwd</t>
  </si>
  <si>
    <t>system.LDS-84.windows_key</t>
  </si>
  <si>
    <t>system.LDS-84.ms_office_id</t>
  </si>
  <si>
    <t>system.LDS-84.ms_office_pwd</t>
  </si>
  <si>
    <t>system.LDS-84.autocad_id</t>
  </si>
  <si>
    <t>system.LDS-84.autocad_pwd</t>
  </si>
  <si>
    <t>system.LDS-84.antivirus_key</t>
  </si>
  <si>
    <t>system.LDS-85.windows_key</t>
  </si>
  <si>
    <t>system.LDS-85.ms_office_id</t>
  </si>
  <si>
    <t>system.LDS-85.ms_office_pwd</t>
  </si>
  <si>
    <t>system.LDS-85.autocad_id</t>
  </si>
  <si>
    <t>system.LDS-85.autocad_pwd</t>
  </si>
  <si>
    <t>system.LDS-85.adobe_id</t>
  </si>
  <si>
    <t>system.LDS-85.adobe_pwd</t>
  </si>
  <si>
    <t>system.LDS-86.windows_key</t>
  </si>
  <si>
    <t>system.LDS-86.ms_office_id</t>
  </si>
  <si>
    <t>system.LDS-86.ms_office_pwd</t>
  </si>
  <si>
    <t>system.LDS-86.autocad_id</t>
  </si>
  <si>
    <t>system.LDS-86.autocad_pwd</t>
  </si>
  <si>
    <t>system.LDS-86.antivirus_key</t>
  </si>
  <si>
    <t>system.LDS-87.windows_key</t>
  </si>
  <si>
    <t>system.LDS-87.ms_office_id</t>
  </si>
  <si>
    <t>system.LDS-87.ms_office_pwd</t>
  </si>
  <si>
    <t>system.LDS-87.autocad_id</t>
  </si>
  <si>
    <t>system.LDS-87.autocad_pwd</t>
  </si>
  <si>
    <t>system.LDS-87.antivirus_key</t>
  </si>
  <si>
    <t>system.LDS-87.sketchup_id</t>
  </si>
  <si>
    <t>system.LDS-87.sketchup_pwd</t>
  </si>
  <si>
    <t>system.LDS-89.windows_key</t>
  </si>
  <si>
    <t>system.LDS-89.ms_office_id</t>
  </si>
  <si>
    <t>system.LDS-89.ms_office_pwd</t>
  </si>
  <si>
    <t>system.LDS-89.autocad_id</t>
  </si>
  <si>
    <t>system.LDS-89.autocad_pwd</t>
  </si>
  <si>
    <t>system.LDS-89.antivirus_key</t>
  </si>
  <si>
    <t>system.LDS-89.sketchup_id</t>
  </si>
  <si>
    <t>system.LDS-89.sketchup_pwd</t>
  </si>
  <si>
    <t>system.LDS-90.windows_key</t>
  </si>
  <si>
    <t>system.LDS-90.ms_office_id</t>
  </si>
  <si>
    <t>system.LDS-90.ms_office_pwd</t>
  </si>
  <si>
    <t>system.LDS-90.autocad_id</t>
  </si>
  <si>
    <t>system.LDS-90.autocad_pwd</t>
  </si>
  <si>
    <t>system.LDS-90.adobe_id</t>
  </si>
  <si>
    <t>system.LDS-90.adobe_pwd</t>
  </si>
  <si>
    <t>system.LDS-90.antivirus_key</t>
  </si>
  <si>
    <t>system.LDS-91.windows_key</t>
  </si>
  <si>
    <t>system.LDS-91.ms_office_id</t>
  </si>
  <si>
    <t>system.LDS-91.ms_office_pwd</t>
  </si>
  <si>
    <t>system.LDS-91.autocad_id</t>
  </si>
  <si>
    <t>system.LDS-91.autocad_pwd</t>
  </si>
  <si>
    <t>system.LDS-91.sketchup_id</t>
  </si>
  <si>
    <t>system.LDS-91.sketchup_pwd</t>
  </si>
  <si>
    <t>system.LDS-92.windows_key</t>
  </si>
  <si>
    <t>system.LDS-92.ms_office_id</t>
  </si>
  <si>
    <t>system.LDS-92.ms_office_pwd</t>
  </si>
  <si>
    <t>system.LDS-92.autocad_id</t>
  </si>
  <si>
    <t>system.LDS-92.autocad_pwd</t>
  </si>
  <si>
    <t>system.LDS-92.antivirus_key</t>
  </si>
  <si>
    <t>system.LDS-92.sketchup_id</t>
  </si>
  <si>
    <t>system.LDS-92.sketchup_pwd</t>
  </si>
  <si>
    <t>system.LDS-93.windows_key</t>
  </si>
  <si>
    <t>system.LDS-93.ms_office_id</t>
  </si>
  <si>
    <t>system.LDS-93.ms_office_pwd</t>
  </si>
  <si>
    <t>system.LDS-93.autocad_id</t>
  </si>
  <si>
    <t>system.LDS-93.autocad_pwd</t>
  </si>
  <si>
    <t>system.LDS-93.antivirus_key</t>
  </si>
  <si>
    <t>system.LDS-93.sketchup_pwd</t>
  </si>
  <si>
    <t>system.LDS-94.windows_key</t>
  </si>
  <si>
    <t>system.LDS-94.ms_office_id</t>
  </si>
  <si>
    <t>system.LDS-94.ms_office_pwd</t>
  </si>
  <si>
    <t>system.LDS-94.autocad_pwd</t>
  </si>
  <si>
    <t>system.LDS-94.antivirus_key</t>
  </si>
  <si>
    <t>system.LDS-96.windows_key</t>
  </si>
  <si>
    <t>system.LDS-96.ms_office_id</t>
  </si>
  <si>
    <t>system.LDS-96.ms_office_pwd</t>
  </si>
  <si>
    <t>system.LDS-96.autocad_id</t>
  </si>
  <si>
    <t>system.LDS-96.autocad_pwd</t>
  </si>
  <si>
    <t>system.LDS-96.antivirus_key</t>
  </si>
  <si>
    <t>system.LDS-97.windows_key</t>
  </si>
  <si>
    <t>system.LDS-97.ms_office_id</t>
  </si>
  <si>
    <t>system.LDS-97.ms_office_pwd</t>
  </si>
  <si>
    <t>system.LDS-97.autocad_id</t>
  </si>
  <si>
    <t>system.LDS-97.autocad_pwd</t>
  </si>
  <si>
    <t>system.LDS-97.adobe_id</t>
  </si>
  <si>
    <t>system.LDS-97.adobe_pwd</t>
  </si>
  <si>
    <t>system.LDS-98.windows_key</t>
  </si>
  <si>
    <t>system.LDS-98.ms_office_id</t>
  </si>
  <si>
    <t>system.LDS-98.ms_office_pwd</t>
  </si>
  <si>
    <t>system.LDS-98.autocad_id</t>
  </si>
  <si>
    <t>system.LDS-98.autocad_pwd</t>
  </si>
  <si>
    <t>system.LDS-98.antivirus_key</t>
  </si>
  <si>
    <t>system.LDS-100.windows_key</t>
  </si>
  <si>
    <t>system.LDS-100.ms_office_id</t>
  </si>
  <si>
    <t>system.LDS-100.ms_office_pwd</t>
  </si>
  <si>
    <t>system.LDS-100.autocad_id</t>
  </si>
  <si>
    <t>system.LDS-100.autocad_pwd</t>
  </si>
  <si>
    <t>system.LDS-100.antivirus_key</t>
  </si>
  <si>
    <t>system.LDS-102.windows_key</t>
  </si>
  <si>
    <t>system.LDS-102.ms_office_id</t>
  </si>
  <si>
    <t>system.LDS-102.ms_office_pwd</t>
  </si>
  <si>
    <t>system.LDS-102.autocad_id</t>
  </si>
  <si>
    <t>system.LDS-102.autocad_pwd</t>
  </si>
  <si>
    <t>system.LDS-102.adobe_id</t>
  </si>
  <si>
    <t>system.LDS-102.adobe_pwd</t>
  </si>
  <si>
    <t>system.LDS-102.antivirus_key</t>
  </si>
  <si>
    <t>system.LDS-102.sketchup_id</t>
  </si>
  <si>
    <t>system.LDS-102.sketchup_pwd</t>
  </si>
  <si>
    <t>system.LDS-102.threedsmax_serial</t>
  </si>
  <si>
    <t>3ds Max Serial</t>
  </si>
  <si>
    <t>system.LDS-102.threedsmax_key</t>
  </si>
  <si>
    <t>3ds Max Key</t>
  </si>
  <si>
    <t>system.LDS-104.windows_key</t>
  </si>
  <si>
    <t>system.LDS-104.ms_office_id</t>
  </si>
  <si>
    <t>system.LDS-104.ms_office_pwd</t>
  </si>
  <si>
    <t>system.LDS-104.autocad_id</t>
  </si>
  <si>
    <t>system.LDS-104.autocad_pwd</t>
  </si>
  <si>
    <t>system.LDS-104.sketchup_id</t>
  </si>
  <si>
    <t>system.LDS-104.sketchup_pwd</t>
  </si>
  <si>
    <t>system.LDS-105.windows_key</t>
  </si>
  <si>
    <t>system.LDS-105.ms_office_id</t>
  </si>
  <si>
    <t>system.LDS-105.ms_office_pwd</t>
  </si>
  <si>
    <t>system.LDS-105.autocad_id</t>
  </si>
  <si>
    <t>system.LDS-105.autocad_pwd</t>
  </si>
  <si>
    <t>system.LDS-107.windows_key</t>
  </si>
  <si>
    <t>system.LDS-107.ms_office_id</t>
  </si>
  <si>
    <t>system.LDS-107.ms_office_pwd</t>
  </si>
  <si>
    <t>system.LDS-107.autocad_id</t>
  </si>
  <si>
    <t>system.LDS-107.autocad_pwd</t>
  </si>
  <si>
    <t>system.LDS-109.ms_office_id</t>
  </si>
  <si>
    <t>system.LDS-109.ms_office_pwd</t>
  </si>
  <si>
    <t>system.LDS-109.autocad_id</t>
  </si>
  <si>
    <t>system.LDS-109.autocad_pwd</t>
  </si>
  <si>
    <t>system.LDS-109.adobe_id</t>
  </si>
  <si>
    <t>system.LDS-109.antivirus_key</t>
  </si>
  <si>
    <t>system.LDS-109.sketchup_id</t>
  </si>
  <si>
    <t>system.LDS-109.sketchup_pwd</t>
  </si>
  <si>
    <t>system.SERVER.antivirus_key</t>
  </si>
  <si>
    <t>system.SERVER-01.antivirus_key</t>
  </si>
  <si>
    <t>system.LDS-18.windows_key</t>
  </si>
  <si>
    <t>system.LDS-18.antivirus_key</t>
  </si>
  <si>
    <t>system.LDS-24.windows_key</t>
  </si>
  <si>
    <t>system.LDS-24.ms_office_id</t>
  </si>
  <si>
    <t>system.LDS-24.ms_office_pwd</t>
  </si>
  <si>
    <t>system.LDS-24.antivirus_key</t>
  </si>
  <si>
    <t>system.LDS-27.windows_key</t>
  </si>
  <si>
    <t>system.LDS-32.ms_office_id</t>
  </si>
  <si>
    <t>system.LDS-32.ms_office_pwd</t>
  </si>
  <si>
    <t>system.LDS-32.antivirus_key</t>
  </si>
  <si>
    <t>system.LDS-40.windows_key</t>
  </si>
  <si>
    <t>system.LDS-40.ms_office_id</t>
  </si>
  <si>
    <t>system.LDS-40.ms_office_pwd</t>
  </si>
  <si>
    <t>system.LDS-40.antivirus_key</t>
  </si>
  <si>
    <t>system.LDS-63.windows_key</t>
  </si>
  <si>
    <t>system.LDS-63.ms_office_id</t>
  </si>
  <si>
    <t>system.LDS-63.ms_office_pwd</t>
  </si>
  <si>
    <t>system.LDS-63.autocad_pwd</t>
  </si>
  <si>
    <t>system.LDS-63.antivirus_key</t>
  </si>
  <si>
    <t>system.LDS-63.sketchup_id</t>
  </si>
  <si>
    <t>system.LDS-63.sketchup_pwd</t>
  </si>
  <si>
    <t>system.LDS-66.windows_key</t>
  </si>
  <si>
    <t>system.LDS-66.ms_office_id</t>
  </si>
  <si>
    <t>system.LDS-66.ms_office_pwd</t>
  </si>
  <si>
    <t>system.LDS-66.autocad_pwd</t>
  </si>
  <si>
    <t>system.LDS-66.antivirus_key</t>
  </si>
  <si>
    <t>system.LDS-66.sketchup_id</t>
  </si>
  <si>
    <t>system.LDS-66.sketchup_pwd</t>
  </si>
  <si>
    <t>system.LDS-67.windows_key</t>
  </si>
  <si>
    <t>system.LDS-67.ms_office_id</t>
  </si>
  <si>
    <t>system.LDS-67.ms_office_pwd</t>
  </si>
  <si>
    <t>system.LDS-67.autocad_pwd</t>
  </si>
  <si>
    <t>system.LDS-67.antivirus_key</t>
  </si>
  <si>
    <t>system.LDS-67.sketchup_id</t>
  </si>
  <si>
    <t>system.LDS-67.sketchup_pwd</t>
  </si>
  <si>
    <t>system.LDS-69.windows_key</t>
  </si>
  <si>
    <t>system.LDS-69.ms_office_id</t>
  </si>
  <si>
    <t>system.LDS-69.ms_office_pwd</t>
  </si>
  <si>
    <t>system.LDS-69.autocad_pwd</t>
  </si>
  <si>
    <t>system.LDS-69.antivirus_key</t>
  </si>
  <si>
    <t>system.LDS-69.sketchup_id</t>
  </si>
  <si>
    <t>system.LDS-69.sketchup_pwd</t>
  </si>
  <si>
    <t>system.LDS-70.windows_key</t>
  </si>
  <si>
    <t>system.LDS-70.ms_office_id</t>
  </si>
  <si>
    <t>system.LDS-70.ms_office_pwd</t>
  </si>
  <si>
    <t>system.LDS-70.autocad_pwd</t>
  </si>
  <si>
    <t>system.LDS-70.sketchup_id</t>
  </si>
  <si>
    <t>system.LDS-70.sketchup_pwd</t>
  </si>
  <si>
    <t>system.LDS-88.windows_key</t>
  </si>
  <si>
    <t>system.LDS-88.ms_office_id</t>
  </si>
  <si>
    <t>system.LDS-88.ms_office_pwd</t>
  </si>
  <si>
    <t>system.LDS-88.autocad_pwd</t>
  </si>
  <si>
    <t>system.LDS-88.antivirus_key</t>
  </si>
  <si>
    <t>system.LDS-88.sketchup_id</t>
  </si>
  <si>
    <t>system.LDS-88.sketchup_pwd</t>
  </si>
  <si>
    <t>system.LDS-95.windows_key</t>
  </si>
  <si>
    <t>system.LDS-95.ms_office_id</t>
  </si>
  <si>
    <t>system.LDS-95.ms_office_pwd</t>
  </si>
  <si>
    <t>system.LDS-95.autocad_pwd</t>
  </si>
  <si>
    <t>system.LDS-95.antivirus_key</t>
  </si>
  <si>
    <t>system.LDS-95.sketchup_id</t>
  </si>
  <si>
    <t>system.LDS-95.sketchup_pwd</t>
  </si>
  <si>
    <t>system.LDS-99.windows_key</t>
  </si>
  <si>
    <t>system.LDS-99.ms_office_id</t>
  </si>
  <si>
    <t>system.LDS-99.ms_office_pwd</t>
  </si>
  <si>
    <t>system.LDS-99.autocad_pwd</t>
  </si>
  <si>
    <t>system.LDS-99.antivirus_key</t>
  </si>
  <si>
    <t>system.LDS-99.sketchup_id</t>
  </si>
  <si>
    <t>system.LDS-99.sketchup_pwd</t>
  </si>
  <si>
    <t>system.LDS-106.windows_key</t>
  </si>
  <si>
    <t>system.LDS-106.ms_office_id</t>
  </si>
  <si>
    <t>system.LDS-106.ms_office_pwd</t>
  </si>
  <si>
    <t>system.LDS-106.autocad_pwd</t>
  </si>
  <si>
    <t>system.LDS-106.antivirus_key</t>
  </si>
  <si>
    <t>system.LDS-106.sketchup_id</t>
  </si>
  <si>
    <t>system.LDS-106.sketchup_pwd</t>
  </si>
  <si>
    <t>system.LDS-17.rdp_pin</t>
  </si>
  <si>
    <t>LDS-17</t>
  </si>
  <si>
    <t>Remote Desktop PIN</t>
  </si>
  <si>
    <t>system.LDS-33.rdp_pin</t>
  </si>
  <si>
    <t>system.LDS-47.rdp_pin</t>
  </si>
  <si>
    <t>system.LDS-75.rdp_pin</t>
  </si>
  <si>
    <t>system.LDS-56.rdp_pin</t>
  </si>
  <si>
    <t>system.LDS-90.rdp_pin</t>
  </si>
  <si>
    <t>system.LDS-107.rdp_pin</t>
  </si>
  <si>
    <t>system.LDS-21.rdp_pin</t>
  </si>
  <si>
    <t>system.LDS-42.rdp_pin</t>
  </si>
  <si>
    <t>system.LDS-46.rdp_pin</t>
  </si>
  <si>
    <t>system.LDS-54.rdp_pin</t>
  </si>
  <si>
    <t>system.LDS-58.rdp_pin</t>
  </si>
  <si>
    <t>system.LDS-73.rdp_pin</t>
  </si>
  <si>
    <t>system.LDS-74.rdp_pin</t>
  </si>
  <si>
    <t>LDS-74</t>
  </si>
  <si>
    <t>system.LDS-109.rdp_pin</t>
  </si>
  <si>
    <t>system.LDS-10.rdp_pin</t>
  </si>
  <si>
    <t>system.LDS-11.rdp_pin</t>
  </si>
  <si>
    <t>system.LDS-39.rdp_pin</t>
  </si>
  <si>
    <t>system.LDS-61.rdp_pin</t>
  </si>
  <si>
    <t>system.LDS-64.rdp_pin</t>
  </si>
  <si>
    <t>system.LDS-72.rdp_pin</t>
  </si>
  <si>
    <t>system.LDS-78.rdp_pin</t>
  </si>
  <si>
    <t>system.LDS-82.rdp_pin</t>
  </si>
  <si>
    <t>system.LDS-91.rdp_pin</t>
  </si>
  <si>
    <t>system.LDS-35.rdp_pin</t>
  </si>
  <si>
    <t>system.LDS-03.rdp_pin</t>
  </si>
  <si>
    <t>system.LDS-07.rdp_pin</t>
  </si>
  <si>
    <t>system.LDS-13.rdp_pin</t>
  </si>
  <si>
    <t>system.LDS-14.rdp_pin</t>
  </si>
  <si>
    <t>system.LDS-19.rdp_pin</t>
  </si>
  <si>
    <t>system.LDS-41.rdp_pin</t>
  </si>
  <si>
    <t>system.LDS-44.rdp_pin</t>
  </si>
  <si>
    <t>system.LDS-93.rdp_pin</t>
  </si>
  <si>
    <t>system.LDS-101.rdp_pin</t>
  </si>
  <si>
    <t>LDS-101</t>
  </si>
  <si>
    <t>system.LDS-104.rdp_pin</t>
  </si>
  <si>
    <t>system.LDS-108.rdp_pin</t>
  </si>
  <si>
    <t>LDS-108</t>
  </si>
  <si>
    <t>system.LDS-06.rdp_pin</t>
  </si>
  <si>
    <t>system.LDS-48.rdp_pin</t>
  </si>
  <si>
    <t>system.LDS-09.rdp_pin</t>
  </si>
  <si>
    <t>LDS-09</t>
  </si>
  <si>
    <t>system.LDS-34.rdp_pin</t>
  </si>
  <si>
    <t>system.LDS-49.rdp_pin</t>
  </si>
  <si>
    <t>system.LDS-50.rdp_pin</t>
  </si>
  <si>
    <t>system.LDS-52.rdp_pin</t>
  </si>
  <si>
    <t>LDS-52</t>
  </si>
  <si>
    <t>system.LDS-53.rdp_pin</t>
  </si>
  <si>
    <t>system.LDS-55.rdp_pin</t>
  </si>
  <si>
    <t>system.LDS-87.rdp_pin</t>
  </si>
  <si>
    <t>system.LDS-89.rdp_pin</t>
  </si>
  <si>
    <t>system.LDS-100.rdp_pin</t>
  </si>
  <si>
    <t>system.LDS-02.rdp_pin</t>
  </si>
  <si>
    <t>system.LDS-29.rdp_pin</t>
  </si>
  <si>
    <t>system.LDS-60.rdp_pin</t>
  </si>
  <si>
    <t>system.LDS-76.rdp_pin</t>
  </si>
  <si>
    <t>system.LDS-86.rdp_pin</t>
  </si>
  <si>
    <t>system.LDS-105.rdp_pin</t>
  </si>
  <si>
    <t>system.LDS-30.rdp_pin</t>
  </si>
  <si>
    <t>LDS-30</t>
  </si>
  <si>
    <t>system.LDS-37.rdp_pin</t>
  </si>
  <si>
    <t>LDS-37</t>
  </si>
  <si>
    <t>system.LDS-62.rdp_pin</t>
  </si>
  <si>
    <t>system.LDS-77.rdp_pin</t>
  </si>
  <si>
    <t>LDS-77</t>
  </si>
  <si>
    <t>system.LDS-80.rdp_pin</t>
  </si>
  <si>
    <t>system.LDS-84.rdp_pin</t>
  </si>
  <si>
    <t>system.LDS-43.rdp_pin</t>
  </si>
  <si>
    <t>system.LDS-92.rdp_pin</t>
  </si>
  <si>
    <t>system.LDS-38.rdp_pin</t>
  </si>
  <si>
    <t>system.LDS-31.rdp_pin</t>
  </si>
  <si>
    <t>LDS-31</t>
  </si>
  <si>
    <t>system.SYSTEM-NAME.rdp_pin</t>
  </si>
  <si>
    <t>SYSTEM-NAME</t>
  </si>
  <si>
    <t>system.LDS-12.rdp_pin</t>
  </si>
  <si>
    <t>LDS-12</t>
  </si>
  <si>
    <t>system.LDS-15.rdp_pin</t>
  </si>
  <si>
    <t>system.LDS-20.rdp_pin</t>
  </si>
  <si>
    <t>system.LDS-25.rdp_pin</t>
  </si>
  <si>
    <t>system.LDS-36.rdp_pin</t>
  </si>
  <si>
    <t>LDS-36</t>
  </si>
  <si>
    <t>system.LDS-83.rdp_pin</t>
  </si>
  <si>
    <t>system.LDS-102.rdp_pin</t>
  </si>
  <si>
    <t>system.LDS-04.rdp_pin</t>
  </si>
  <si>
    <t>system.LDS-26.rdp_pin</t>
  </si>
  <si>
    <t>system.LDS-57.rdp_pin</t>
  </si>
  <si>
    <t>system.LDS-59.rdp_pin</t>
  </si>
  <si>
    <t>system.LDS-71.rdp_pin</t>
  </si>
  <si>
    <t>system.LDS-96.rdp_pin</t>
  </si>
  <si>
    <t>system.LDS-05.rdp_pin</t>
  </si>
  <si>
    <t>system.LDS-16.rdp_pin</t>
  </si>
  <si>
    <t>system.LDS-23.rdp_pin</t>
  </si>
  <si>
    <t>system.LDS-51.rdp_pin</t>
  </si>
  <si>
    <t>system.LDS-68.rdp_pin</t>
  </si>
  <si>
    <t>system.LDS-81.rdp_pin</t>
  </si>
  <si>
    <t>team.mohit_goel.email_pwd</t>
  </si>
  <si>
    <t>mohitteam@studiolotus.in</t>
  </si>
  <si>
    <t>Team Service Account Password</t>
  </si>
  <si>
    <t>team.group_3_e.email_pwd</t>
  </si>
  <si>
    <t>Group 3e@studiolotus.in</t>
  </si>
  <si>
    <t>team.neelam.email_pwd</t>
  </si>
  <si>
    <t>neelamteam@studiolotus.in</t>
  </si>
  <si>
    <t>team.swati.email_pwd</t>
  </si>
  <si>
    <t>Swatiteam@studiolotus.in</t>
  </si>
  <si>
    <t>team.insiya.email_pwd</t>
  </si>
  <si>
    <t>insiyateam@studiolotus.in</t>
  </si>
  <si>
    <t>team.yatin.email_pwd</t>
  </si>
  <si>
    <t>yatinteam@studiolotus.in</t>
  </si>
  <si>
    <t>team.remote_support.email_pwd</t>
  </si>
  <si>
    <t>Remotesupport@studiolotus.in</t>
  </si>
  <si>
    <t>team.varun.email_pwd</t>
  </si>
  <si>
    <t>varunteam@studiolotus.in</t>
  </si>
  <si>
    <t>team.dev.email_pwd</t>
  </si>
  <si>
    <t>devteam@studiolotus.in</t>
  </si>
  <si>
    <t>team.group_3_g.email_pwd</t>
  </si>
  <si>
    <t>Group 3g@studiolotus.in</t>
  </si>
  <si>
    <t>admin.sketchup.pwd</t>
  </si>
  <si>
    <t>Sketchup Admin Password</t>
  </si>
  <si>
    <t>admin.adobe.pwd</t>
  </si>
  <si>
    <t>nirmal@lotuslink.in</t>
  </si>
  <si>
    <t>Adobe Admin Password</t>
  </si>
  <si>
    <t>admin.microsoft.pwd</t>
  </si>
  <si>
    <t>admin@tacdesign.onmicrosoft.com</t>
  </si>
  <si>
    <t>Microsoft Admin Password</t>
  </si>
  <si>
    <t>admin.autodesk.pwd</t>
  </si>
  <si>
    <t>Autodesk Admin Password</t>
  </si>
  <si>
    <t>admin.gmail.pwd</t>
  </si>
  <si>
    <t>Gmail Admin Password</t>
  </si>
  <si>
    <t>Studio Lotus — Master Operating Workbook v2</t>
  </si>
  <si>
    <t>Last updated: 2026-05-22</t>
  </si>
  <si>
    <t>What changed in this version</t>
  </si>
  <si>
    <t>• Master_Employees gained DOJ + Prior Exp (yrs) + Image URL + Designation Level + Designation Color</t>
  </si>
  <si>
    <t>• SLExp (Studio Lotus tenure) and OExp (total experience) are auto-computed and shown on every person card</t>
  </si>
  <si>
    <t>• Designations grouped into colored levels (same level = same color across all variant spellings)</t>
  </si>
  <si>
    <t>• Systems sheet imported: 101 desktops + 13 laptops in one table, Type column distinguishes</t>
  </si>
  <si>
    <t>• Peripherals sheet imported: 19 projectors + 9 spare item categories</t>
  </si>
  <si>
    <t>• 769 passwords/keys/PINs extracted from inventory and routed to PropertiesService</t>
  </si>
  <si>
    <t>• Secrets_Registry sheet lists only metadata; actual values encrypted at rest in Apps Script</t>
  </si>
  <si>
    <t>• Integrated Console: single page with three sections — People · Licences · Systems</t>
  </si>
  <si>
    <t>• Optimistic UI: drag-drop org edits update instantly, server write happens in background</t>
  </si>
  <si>
    <t>Daily / weekly maintenance</t>
  </si>
  <si>
    <t>1. New joiner → add row in Master_Employees. Required: Emp No, Name, Email, Group Key (dropdown), Job Title, DOJ, Image URL, Include in Org = TRUE. Optional: Prior Exp</t>
  </si>
  <si>
    <t>2. Person leaves → set Include in Org = FALSE. Never delete the row.</t>
  </si>
  <si>
    <t>3. Person moves teams → change Group Key in Master OR drag them in the Console UI. Both auto-update everything else.</t>
  </si>
  <si>
    <t>4. New licence purchase → add row in License_Inventory.</t>
  </si>
  <si>
    <t>5. Assign licence to person → add row in Licenses OR use "+ Assign" in the Console.</t>
  </si>
  <si>
    <t>6. New machine arrives → add row in Systems. Set Assigned Email if it has an owner.</t>
  </si>
  <si>
    <t>7. Password rotation → menu "Studio Lotus → Set Secret" with same key, new value. Updates Last Rotated automatically.</t>
  </si>
  <si>
    <t>Experience math</t>
  </si>
  <si>
    <t>• SLExp = today − DOJ (in years to 1 decimal place)</t>
  </si>
  <si>
    <t>• OExp = SLExp + Prior Exp (yrs)</t>
  </si>
  <si>
    <t>• Both displayed on every person card AND in the drawer when card is clicked</t>
  </si>
  <si>
    <t>• If DOJ is blank, SLExp shows "—" and OExp shows just Prior Exp</t>
  </si>
  <si>
    <t>Designation colours (same level = same colour)</t>
  </si>
  <si>
    <t>• Principal #1A2332</t>
  </si>
  <si>
    <t>• Associate Principal #2E4057</t>
  </si>
  <si>
    <t>• Senior Associate #3F5260</t>
  </si>
  <si>
    <t>• Group Leader / Project Lead #475E4A</t>
  </si>
  <si>
    <t>• Associate #5D7A52</t>
  </si>
  <si>
    <t>• Project Architect / Designer #8A4A35</t>
  </si>
  <si>
    <t>• Senior Architect / Designer #A4853D</t>
  </si>
  <si>
    <t>• Architect / Designer #5D4156</t>
  </si>
  <si>
    <t>• Intern #97A0AB</t>
  </si>
  <si>
    <t>• Support roles #707A87</t>
  </si>
  <si>
    <t>• All variant spellings (Sr. = Senior etc.) auto-mapped</t>
  </si>
  <si>
    <t>Photos (easy maintenance path)</t>
  </si>
  <si>
    <t>• Upload to shared Drive folder (e.g. "Studio Lotus / People Photos")</t>
  </si>
  <si>
    <t>• Right-click each → Share → Anyone with link → Copy link → paste in Image URL column</t>
  </si>
  <si>
    <t>• Console auto-crops every photo to a 1:1 square (CSS object-fit: cover) — different aspect ratios handled</t>
  </si>
  <si>
    <t>• Empty Image URL → clean initials avatar in designation color</t>
  </si>
  <si>
    <t>• Tip: 400×400 source images give crisp display without bandwidth waste</t>
  </si>
  <si>
    <t>Security: how passwords are handled</t>
  </si>
  <si>
    <t>• Actual password values are NEVER stored in this workbook</t>
  </si>
  <si>
    <t>• They live in Apps Script PropertiesService (encrypted at rest by Google)</t>
  </si>
  <si>
    <t>• Secrets_Registry sheet lists only metadata: what exists, who owns it, when rotated</t>
  </si>
  <si>
    <t>• ONE-TIME SEED: run "Studio Lotus → Seed Secrets from JSON" and paste contents of secrets_seed.json — then delete the JSON file</t>
  </si>
  <si>
    <t>• To set/rotate: Studio Lotus menu → Set Secret → enter key + new value</t>
  </si>
  <si>
    <t>• To retrieve: Studio Lotus menu → Get Secret → shows in a modal, never written down</t>
  </si>
  <si>
    <t>• Only Apps Script editors (you + IT) can fetch actual values. Sheet viewers see registry only.</t>
  </si>
  <si>
    <t>Sheet inventory</t>
  </si>
  <si>
    <t>Editable (paste/edit here):</t>
  </si>
  <si>
    <t xml:space="preserve">  • Master_Employees · Groups · Licenses · License_Inventory · Monthly_Utilisation</t>
  </si>
  <si>
    <t xml:space="preserve">  • Systems · Peripherals · Secrets_Registry (metadata only)</t>
  </si>
  <si>
    <t>Auto-built (do not edit):</t>
  </si>
  <si>
    <t xml:space="preserve">  • Live_Org_Chart · User_License_Matrix · Group_License_View · Tool_Catalogue</t>
  </si>
  <si>
    <t xml:space="preserve">  • System_Health · Data_Health · Expired_Licenses · Expiring_Soon</t>
  </si>
  <si>
    <t>License Dashboard</t>
  </si>
  <si>
    <t>Studio Lotus — software inventory, assignments and renewal posture</t>
  </si>
  <si>
    <t>← Back to Org Dashboard</t>
  </si>
  <si>
    <t>Active Contracts</t>
  </si>
  <si>
    <t>Expiring in 30 days</t>
  </si>
  <si>
    <t>Already Expired</t>
  </si>
  <si>
    <t>rows in Licenses sheet</t>
  </si>
  <si>
    <t>unallocated capacity</t>
  </si>
  <si>
    <t>in License_Inventory</t>
  </si>
  <si>
    <t>see Expiring_Soon →</t>
  </si>
  <si>
    <t>needs immediate renewal</t>
  </si>
  <si>
    <t>Software Summary</t>
  </si>
  <si>
    <t>Contracts</t>
  </si>
  <si>
    <t>Earliest End</t>
  </si>
  <si>
    <t>Action</t>
  </si>
  <si>
    <t>Drill-downs</t>
  </si>
  <si>
    <t>Every contract / SKU with vendor, seats and dates.</t>
  </si>
  <si>
    <t>One row per user-license assignment.</t>
  </si>
  <si>
    <t>Renewals due in the next 30 days (configurable).</t>
  </si>
  <si>
    <t>License consumption by team and principal.</t>
  </si>
  <si>
    <t>Who has which tool — cross-tab.</t>
  </si>
  <si>
    <t>Dashboard</t>
  </si>
  <si>
    <t>Back to the studio overview.</t>
  </si>
  <si>
    <t>Level</t>
  </si>
  <si>
    <t>Name</t>
  </si>
  <si>
    <t>Designation</t>
  </si>
  <si>
    <t>Reports To</t>
  </si>
  <si>
    <t>Member</t>
  </si>
  <si>
    <t>asha@lotuslink.in</t>
  </si>
  <si>
    <t xml:space="preserve">kimaya.kamat@studiolotus.in
</t>
  </si>
  <si>
    <t>Renewals Watchlist</t>
  </si>
  <si>
    <t>Window (days)</t>
  </si>
  <si>
    <t>Anything in the next</t>
  </si>
  <si>
    <t>·  Already-expired rows are highlighted in red.</t>
  </si>
  <si>
    <t>Studio Lotus — Group × Licence × System Overview</t>
  </si>
  <si>
    <t>Auto-refreshed by console. Groups × 13 licence tools × PC tiers. 17 active groups.</t>
  </si>
  <si>
    <t>─── LICENCE ASSIGNMENTS ───</t>
  </si>
  <si>
    <t>─── SYSTEM TIERS ───</t>
  </si>
  <si>
    <t>HC</t>
  </si>
  <si>
    <t>PCs</t>
  </si>
  <si>
    <t>AC</t>
  </si>
  <si>
    <t>SK</t>
  </si>
  <si>
    <t>PS</t>
  </si>
  <si>
    <t>AI</t>
  </si>
  <si>
    <t>ID</t>
  </si>
  <si>
    <t>Ac</t>
  </si>
  <si>
    <t>O+</t>
  </si>
  <si>
    <t>O-</t>
  </si>
  <si>
    <t>3D</t>
  </si>
  <si>
    <t>EN</t>
  </si>
  <si>
    <t>CR</t>
  </si>
  <si>
    <t>LU</t>
  </si>
  <si>
    <t>D5</t>
  </si>
  <si>
    <t>Work</t>
  </si>
  <si>
    <t>Perf</t>
  </si>
  <si>
    <t>Stan</t>
  </si>
  <si>
    <t>Basi</t>
  </si>
  <si>
    <t>Entr</t>
  </si>
  <si>
    <t>Corona Renderer</t>
  </si>
  <si>
    <t>Lumion Pro</t>
  </si>
  <si>
    <t xml:space="preserve">  Ambrish Arora</t>
  </si>
  <si>
    <t xml:space="preserve">  Ankur Choksi</t>
  </si>
  <si>
    <t xml:space="preserve">  Asha Sairam</t>
  </si>
  <si>
    <t xml:space="preserve">  Harsh Vardhan</t>
  </si>
  <si>
    <t>STUDIO TOTALS</t>
  </si>
  <si>
    <t>Expired Licences — renew now (kept separate from live inventory)</t>
  </si>
  <si>
    <t>Days Overdue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</si>
</sst>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d&quot;-&quot;mmm&quot;-&quot;yy"/>
    <numFmt numFmtId="166" formatCode="d\-mmm\-yy"/>
    <numFmt numFmtId="167" formatCode="yyyy\-mm\-dd\ h:mm:ss"/>
    <numFmt numFmtId="168" formatCode="0.0%"/>
    <numFmt numFmtId="169" formatCode="yyyy\-mm\-dd"/>
  </numFmts>
  <fonts count="67">
    <font>
      <sz val="11.0"/>
      <color theme="1"/>
      <name val="Calibri"/>
      <scheme val="minor"/>
    </font>
    <font>
      <b/>
      <sz val="18.0"/>
      <color rgb="FF111827"/>
      <name val="Arial"/>
    </font>
    <font>
      <sz val="11.0"/>
      <color theme="1"/>
      <name val="Calibri"/>
    </font>
    <font>
      <i/>
      <sz val="11.0"/>
      <color rgb="FF707A87"/>
      <name val="Arial"/>
    </font>
    <font>
      <i/>
      <sz val="10.0"/>
      <color rgb="FF707A87"/>
      <name val="Arial"/>
    </font>
    <font>
      <b/>
      <sz val="14.0"/>
      <color rgb="FF1A2332"/>
      <name val="Arial"/>
    </font>
    <font>
      <b/>
      <sz val="9.0"/>
      <color rgb="FF707A87"/>
      <name val="Arial"/>
    </font>
    <font>
      <b/>
      <sz val="22.0"/>
      <color rgb="FF111827"/>
      <name val="Arial"/>
    </font>
    <font>
      <i/>
      <sz val="9.0"/>
      <color rgb="FF8A4A35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u/>
      <sz val="11.0"/>
      <color rgb="FF244C66"/>
      <name val="Arial"/>
    </font>
    <font/>
    <font>
      <b/>
      <sz val="11.0"/>
      <color rgb="FFFFFFFF"/>
      <name val="Manrope"/>
    </font>
    <font>
      <b/>
      <sz val="10.0"/>
      <color rgb="FFFFFFFF"/>
      <name val="Google Sans"/>
    </font>
    <font>
      <sz val="11.0"/>
      <color theme="1"/>
      <name val="Manrope"/>
    </font>
    <font>
      <sz val="10.0"/>
      <color rgb="FF111827"/>
      <name val="Google Sans"/>
    </font>
    <font>
      <b/>
      <sz val="10.0"/>
      <color rgb="FF111827"/>
      <name val="Google Sans"/>
    </font>
    <font>
      <sz val="10.0"/>
      <color rgb="FF6B7280"/>
      <name val="Google Sans"/>
    </font>
    <font>
      <b/>
      <sz val="11.0"/>
      <color rgb="FFFFFFFF"/>
      <name val="Calibri"/>
    </font>
    <font>
      <b/>
      <sz val="9.0"/>
      <color rgb="FFFFFFFF"/>
      <name val="Google Sans"/>
    </font>
    <font>
      <sz val="9.0"/>
      <color theme="1"/>
      <name val="Google Sans"/>
    </font>
    <font>
      <color rgb="FF000000"/>
      <name val="Calibri"/>
    </font>
    <font>
      <b/>
      <sz val="14.0"/>
      <color rgb="FF1A2332"/>
      <name val="Calibri"/>
      <scheme val="minor"/>
    </font>
    <font>
      <color theme="1"/>
      <name val="Calibri"/>
      <scheme val="minor"/>
    </font>
    <font>
      <i/>
      <color rgb="FF707A87"/>
      <name val="Calibri"/>
      <scheme val="minor"/>
    </font>
    <font>
      <b/>
      <color rgb="FFFFFFFF"/>
      <name val="Calibri"/>
      <scheme val="minor"/>
    </font>
    <font>
      <b/>
      <sz val="10.0"/>
      <color rgb="FFFFFFFF"/>
      <name val="Cambria"/>
    </font>
    <font>
      <b/>
      <sz val="11.0"/>
      <color theme="1"/>
      <name val="Arial"/>
    </font>
    <font>
      <sz val="11.0"/>
      <color rgb="FF0000FF"/>
      <name val="Arial"/>
    </font>
    <font>
      <i/>
      <sz val="11.0"/>
      <color rgb="FF8A4A35"/>
      <name val="Arial"/>
    </font>
    <font>
      <sz val="10.0"/>
      <color theme="1"/>
      <name val="Manrope"/>
    </font>
    <font>
      <color rgb="FF8A1A1A"/>
      <name val="Calibri"/>
      <scheme val="minor"/>
    </font>
    <font>
      <color rgb="FF1E7A3D"/>
      <name val="Calibri"/>
      <scheme val="minor"/>
    </font>
    <font>
      <i/>
      <sz val="11.0"/>
      <color rgb="FF8A1A1A"/>
      <name val="Manrope"/>
    </font>
    <font>
      <sz val="24.0"/>
      <color rgb="FF1A2332"/>
      <name val="Fraunces"/>
    </font>
    <font>
      <sz val="11.0"/>
      <color theme="1"/>
      <name val="Cambria"/>
    </font>
    <font>
      <i/>
      <sz val="11.0"/>
      <color rgb="FF707A87"/>
      <name val="Manrope"/>
    </font>
    <font>
      <sz val="11.0"/>
      <color rgb="FF303A46"/>
      <name val="Manrope"/>
    </font>
    <font>
      <sz val="16.0"/>
      <color rgb="FF1A2332"/>
      <name val="Fraunces"/>
    </font>
    <font>
      <b/>
      <sz val="11.0"/>
      <color rgb="FF1A2332"/>
      <name val="Manrope"/>
    </font>
    <font>
      <b/>
      <u/>
      <sz val="11.0"/>
      <color rgb="FF244C66"/>
      <name val="Arial"/>
    </font>
    <font>
      <b/>
      <sz val="13.0"/>
      <color rgb="FF1A2332"/>
      <name val="Arial"/>
    </font>
    <font>
      <b/>
      <u/>
      <sz val="11.0"/>
      <color rgb="FF244C66"/>
      <name val="Arial"/>
    </font>
    <font>
      <b/>
      <sz val="11.0"/>
      <color rgb="FFFFFFFF"/>
      <name val="Google Sans"/>
    </font>
    <font>
      <b/>
      <sz val="12.0"/>
      <color rgb="FFFFFFFF"/>
      <name val="Google Sans"/>
    </font>
    <font>
      <b/>
      <sz val="11.0"/>
      <color rgb="FF111827"/>
      <name val="Google Sans"/>
    </font>
    <font>
      <sz val="11.0"/>
      <color rgb="FF111827"/>
      <name val="Google Sans"/>
    </font>
    <font>
      <b/>
      <sz val="10.0"/>
      <color theme="1"/>
      <name val="Arial"/>
    </font>
    <font>
      <b/>
      <sz val="12.0"/>
      <color rgb="FF8A4A35"/>
      <name val="Arial"/>
    </font>
    <font>
      <i/>
      <sz val="11.0"/>
      <color theme="1"/>
      <name val="Arial"/>
    </font>
    <font>
      <i/>
      <sz val="11.0"/>
      <color rgb="FF707A87"/>
      <name val="Cambria"/>
    </font>
    <font>
      <i/>
      <sz val="9.0"/>
      <color rgb="FF707A87"/>
      <name val="Cambria"/>
    </font>
    <font>
      <b/>
      <sz val="14.0"/>
      <color rgb="FF0F1620"/>
      <name val="Manrope"/>
    </font>
    <font>
      <i/>
      <sz val="9.0"/>
      <color rgb="FF6B7280"/>
      <name val="Calibri"/>
    </font>
    <font>
      <b/>
      <sz val="8.0"/>
      <color rgb="FF6B7280"/>
      <name val="Manrope"/>
    </font>
    <font>
      <b/>
      <sz val="9.0"/>
      <color rgb="FFFFFFFF"/>
      <name val="Manrope"/>
    </font>
    <font>
      <b/>
      <sz val="8.0"/>
      <color rgb="FFFFFFFF"/>
      <name val="Manrope"/>
    </font>
    <font>
      <i/>
      <sz val="7.0"/>
      <color rgb="FF6B7280"/>
      <name val="Calibri"/>
    </font>
    <font>
      <b/>
      <sz val="10.0"/>
      <color rgb="FFFFFFFF"/>
      <name val="Manrope"/>
    </font>
    <font>
      <b/>
      <sz val="8.0"/>
      <color rgb="FFFFFFFF"/>
      <name val="Calibri"/>
    </font>
    <font>
      <b/>
      <sz val="9.0"/>
      <color rgb="FF0F1620"/>
      <name val="Calibri"/>
    </font>
    <font>
      <sz val="8.0"/>
      <color rgb="FF6B7280"/>
      <name val="Calibri"/>
    </font>
    <font>
      <b/>
      <sz val="10.0"/>
      <color rgb="FF0F1620"/>
      <name val="Manrope"/>
    </font>
    <font>
      <sz val="9.0"/>
      <color rgb="FF0F1620"/>
      <name val="Calibri"/>
    </font>
    <font>
      <b/>
      <sz val="10.0"/>
      <color rgb="FFC08A2C"/>
      <name val="Manrope"/>
    </font>
    <font>
      <b/>
      <sz val="9.0"/>
      <color rgb="FFE85D2F"/>
      <name val="Calibri"/>
    </font>
  </fonts>
  <fills count="45">
    <fill>
      <patternFill patternType="none"/>
    </fill>
    <fill>
      <patternFill patternType="lightGray"/>
    </fill>
    <fill>
      <patternFill patternType="solid">
        <fgColor rgb="FFF6F3EC"/>
        <bgColor rgb="FFF6F3EC"/>
      </patternFill>
    </fill>
    <fill>
      <patternFill patternType="solid">
        <fgColor rgb="FFFFFFFF"/>
        <bgColor rgb="FFFFFFFF"/>
      </patternFill>
    </fill>
    <fill>
      <patternFill patternType="solid">
        <fgColor rgb="FF0F161F"/>
        <bgColor rgb="FF0F161F"/>
      </patternFill>
    </fill>
    <fill>
      <patternFill patternType="solid">
        <fgColor rgb="FF244C66"/>
        <bgColor rgb="FF244C66"/>
      </patternFill>
    </fill>
    <fill>
      <patternFill patternType="solid">
        <fgColor rgb="FFB47035"/>
        <bgColor rgb="FFB47035"/>
      </patternFill>
    </fill>
    <fill>
      <patternFill patternType="solid">
        <fgColor rgb="FF2D7D53"/>
        <bgColor rgb="FF2D7D53"/>
      </patternFill>
    </fill>
    <fill>
      <patternFill patternType="solid">
        <fgColor rgb="FF6B5598"/>
        <bgColor rgb="FF6B5598"/>
      </patternFill>
    </fill>
    <fill>
      <patternFill patternType="solid">
        <fgColor rgb="FF1A2332"/>
        <bgColor rgb="FF1A2332"/>
      </patternFill>
    </fill>
    <fill>
      <patternFill patternType="solid">
        <fgColor rgb="FFF6FAFC"/>
        <bgColor rgb="FFF6FAFC"/>
      </patternFill>
    </fill>
    <fill>
      <patternFill patternType="solid">
        <fgColor rgb="FFF9F7FC"/>
        <bgColor rgb="FFF9F7FC"/>
      </patternFill>
    </fill>
    <fill>
      <patternFill patternType="solid">
        <fgColor rgb="FFF6FBF7"/>
        <bgColor rgb="FFF6FBF7"/>
      </patternFill>
    </fill>
    <fill>
      <patternFill patternType="solid">
        <fgColor rgb="FFF7FAF3"/>
        <bgColor rgb="FFF7FAF3"/>
      </patternFill>
    </fill>
    <fill>
      <patternFill patternType="solid">
        <fgColor rgb="FFFCF6F8"/>
        <bgColor rgb="FFFCF6F8"/>
      </patternFill>
    </fill>
    <fill>
      <patternFill patternType="solid">
        <fgColor rgb="FFFCFAEE"/>
        <bgColor rgb="FFFCFAEE"/>
      </patternFill>
    </fill>
    <fill>
      <patternFill patternType="solid">
        <fgColor rgb="FFF6FAFB"/>
        <bgColor rgb="FFF6FAFB"/>
      </patternFill>
    </fill>
    <fill>
      <patternFill patternType="solid">
        <fgColor rgb="FFF7F8FC"/>
        <bgColor rgb="FFF7F8FC"/>
      </patternFill>
    </fill>
    <fill>
      <patternFill patternType="solid">
        <fgColor rgb="FFF5FBFA"/>
        <bgColor rgb="FFF5FBFA"/>
      </patternFill>
    </fill>
    <fill>
      <patternFill patternType="solid">
        <fgColor rgb="FFF4F7FC"/>
        <bgColor rgb="FFF4F7FC"/>
      </patternFill>
    </fill>
    <fill>
      <patternFill patternType="solid">
        <fgColor rgb="FFFBF6FC"/>
        <bgColor rgb="FFFBF6FC"/>
      </patternFill>
    </fill>
    <fill>
      <patternFill patternType="solid">
        <fgColor rgb="FFFDF4F3"/>
        <bgColor rgb="FFFDF4F3"/>
      </patternFill>
    </fill>
    <fill>
      <patternFill patternType="solid">
        <fgColor rgb="FFF5FBFC"/>
        <bgColor rgb="FFF5FBFC"/>
      </patternFill>
    </fill>
    <fill>
      <patternFill patternType="solid">
        <fgColor rgb="FFFCFAF3"/>
        <bgColor rgb="FFFCFAF3"/>
      </patternFill>
    </fill>
    <fill>
      <patternFill patternType="solid">
        <fgColor rgb="FFF3F4F6"/>
        <bgColor rgb="FFF3F4F6"/>
      </patternFill>
    </fill>
    <fill>
      <patternFill patternType="solid">
        <fgColor rgb="FFFFFF00"/>
        <bgColor rgb="FFFFFF00"/>
      </patternFill>
    </fill>
    <fill>
      <patternFill patternType="solid">
        <fgColor rgb="FFE8E2D7"/>
        <bgColor rgb="FFE8E2D7"/>
      </patternFill>
    </fill>
    <fill>
      <patternFill patternType="solid">
        <fgColor rgb="FFFCE0E0"/>
        <bgColor rgb="FFFCE0E0"/>
      </patternFill>
    </fill>
    <fill>
      <patternFill patternType="solid">
        <fgColor rgb="FFFFF2D9"/>
        <bgColor rgb="FFFFF2D9"/>
      </patternFill>
    </fill>
    <fill>
      <patternFill patternType="solid">
        <fgColor rgb="FFECF0F7"/>
        <bgColor rgb="FFECF0F7"/>
      </patternFill>
    </fill>
    <fill>
      <patternFill patternType="solid">
        <fgColor rgb="FFFCE5E5"/>
        <bgColor rgb="FFFCE5E5"/>
      </patternFill>
    </fill>
    <fill>
      <patternFill patternType="solid">
        <fgColor rgb="FFE6F4E8"/>
        <bgColor rgb="FFE6F4E8"/>
      </patternFill>
    </fill>
    <fill>
      <patternFill patternType="solid">
        <fgColor rgb="FFE6F1E4"/>
        <bgColor rgb="FFE6F1E4"/>
      </patternFill>
    </fill>
    <fill>
      <patternFill patternType="solid">
        <fgColor rgb="FFFFE9CC"/>
        <bgColor rgb="FFFFE9CC"/>
      </patternFill>
    </fill>
    <fill>
      <patternFill patternType="solid">
        <fgColor rgb="FFF6F0DF"/>
        <bgColor rgb="FFF6F0DF"/>
      </patternFill>
    </fill>
    <fill>
      <patternFill patternType="solid">
        <fgColor rgb="FFFFF4D8"/>
        <bgColor rgb="FFFFF4D8"/>
      </patternFill>
    </fill>
    <fill>
      <patternFill patternType="solid">
        <fgColor rgb="FFF7F4ED"/>
        <bgColor rgb="FFF7F4ED"/>
      </patternFill>
    </fill>
    <fill>
      <patternFill patternType="solid">
        <fgColor rgb="FFFFF9F4"/>
        <bgColor rgb="FFFFF9F4"/>
      </patternFill>
    </fill>
    <fill>
      <patternFill patternType="solid">
        <fgColor rgb="FFEFF9EF"/>
        <bgColor rgb="FFEFF9EF"/>
      </patternFill>
    </fill>
    <fill>
      <patternFill patternType="solid">
        <fgColor rgb="FFFBF9F3"/>
        <bgColor rgb="FFFBF9F3"/>
      </patternFill>
    </fill>
    <fill>
      <patternFill patternType="solid">
        <fgColor rgb="FFE85D2F"/>
        <bgColor rgb="FFE85D2F"/>
      </patternFill>
    </fill>
    <fill>
      <patternFill patternType="solid">
        <fgColor rgb="FFB75C35"/>
        <bgColor rgb="FFB75C35"/>
      </patternFill>
    </fill>
    <fill>
      <patternFill patternType="solid">
        <fgColor rgb="FFFAF8F2"/>
        <bgColor rgb="FFFAF8F2"/>
      </patternFill>
    </fill>
    <fill>
      <patternFill patternType="solid">
        <fgColor rgb="FFF6EBDA"/>
        <bgColor rgb="FFF6EBDA"/>
      </patternFill>
    </fill>
    <fill>
      <patternFill patternType="solid">
        <fgColor rgb="FF8A1A1A"/>
        <bgColor rgb="FF8A1A1A"/>
      </patternFill>
    </fill>
  </fills>
  <borders count="9">
    <border/>
    <border>
      <left style="thin">
        <color rgb="FFD8D3C5"/>
      </left>
      <right style="thin">
        <color rgb="FFD8D3C5"/>
      </right>
      <top style="thin">
        <color rgb="FFD8D3C5"/>
      </top>
      <bottom style="thin">
        <color rgb="FFD8D3C5"/>
      </bottom>
    </border>
    <border>
      <left style="thin">
        <color rgb="FFD8D3C5"/>
      </left>
      <top style="thin">
        <color rgb="FFD8D3C5"/>
      </top>
      <bottom style="thin">
        <color rgb="FFD8D3C5"/>
      </bottom>
    </border>
    <border>
      <top style="thin">
        <color rgb="FFD8D3C5"/>
      </top>
      <bottom style="thin">
        <color rgb="FFD8D3C5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5CFC0"/>
      </left>
      <right style="thin">
        <color rgb="FFD5CFC0"/>
      </right>
      <top style="thin">
        <color rgb="FFD5CFC0"/>
      </top>
      <bottom style="thin">
        <color rgb="FFD5CFC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1" xfId="0" applyAlignment="1" applyBorder="1" applyFill="1" applyFont="1" applyNumberForma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left" shrinkToFit="0" vertical="center" wrapText="0"/>
    </xf>
    <xf borderId="1" fillId="0" fontId="10" numFmtId="0" xfId="0" applyAlignment="1" applyBorder="1" applyFont="1">
      <alignment horizontal="center" shrinkToFit="0" vertical="center" wrapText="1"/>
    </xf>
    <xf borderId="1" fillId="6" fontId="9" numFmtId="0" xfId="0" applyAlignment="1" applyBorder="1" applyFill="1" applyFont="1">
      <alignment horizontal="left" shrinkToFit="0" vertical="center" wrapText="0"/>
    </xf>
    <xf borderId="1" fillId="7" fontId="9" numFmtId="0" xfId="0" applyAlignment="1" applyBorder="1" applyFill="1" applyFont="1">
      <alignment horizontal="left" shrinkToFit="0" vertical="center" wrapText="0"/>
    </xf>
    <xf borderId="1" fillId="8" fontId="9" numFmtId="0" xfId="0" applyAlignment="1" applyBorder="1" applyFill="1" applyFont="1">
      <alignment horizontal="left" shrinkToFit="0" vertical="center" wrapText="0"/>
    </xf>
    <xf borderId="1" fillId="2" fontId="11" numFmtId="0" xfId="0" applyAlignment="1" applyBorder="1" applyFont="1">
      <alignment horizontal="left" shrinkToFit="0" vertical="center" wrapText="0"/>
    </xf>
    <xf borderId="2" fillId="0" fontId="10" numFmtId="0" xfId="0" applyAlignment="1" applyBorder="1" applyFont="1">
      <alignment horizontal="left" shrinkToFit="0" vertical="center" wrapText="1"/>
    </xf>
    <xf borderId="3" fillId="0" fontId="12" numFmtId="0" xfId="0" applyBorder="1" applyFont="1"/>
    <xf borderId="0" fillId="0" fontId="4" numFmtId="0" xfId="0" applyAlignment="1" applyFont="1">
      <alignment horizontal="left" shrinkToFit="0" vertical="center" wrapText="1"/>
    </xf>
    <xf borderId="4" fillId="9" fontId="13" numFmtId="164" xfId="0" applyAlignment="1" applyBorder="1" applyFill="1" applyFont="1" applyNumberFormat="1">
      <alignment horizontal="center" shrinkToFit="0" vertical="center" wrapText="1"/>
    </xf>
    <xf borderId="4" fillId="9" fontId="13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left" shrinkToFit="0" vertical="center" wrapText="1"/>
    </xf>
    <xf borderId="1" fillId="5" fontId="14" numFmtId="164" xfId="0" applyAlignment="1" applyBorder="1" applyFont="1" applyNumberFormat="1">
      <alignment horizontal="left" shrinkToFit="0" vertical="center" wrapText="1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readingOrder="0" shrinkToFit="0" vertical="center" wrapText="1"/>
    </xf>
    <xf borderId="1" fillId="10" fontId="16" numFmtId="0" xfId="0" applyAlignment="1" applyBorder="1" applyFill="1" applyFont="1">
      <alignment horizontal="left" shrinkToFit="0" vertical="center" wrapText="1"/>
    </xf>
    <xf borderId="1" fillId="10" fontId="16" numFmtId="164" xfId="0" applyAlignment="1" applyBorder="1" applyFont="1" applyNumberFormat="1">
      <alignment horizontal="left" shrinkToFit="0" vertical="center" wrapText="1"/>
    </xf>
    <xf borderId="1" fillId="11" fontId="17" numFmtId="0" xfId="0" applyAlignment="1" applyBorder="1" applyFill="1" applyFont="1">
      <alignment horizontal="left" shrinkToFit="0" vertical="center" wrapText="1"/>
    </xf>
    <xf borderId="1" fillId="11" fontId="17" numFmtId="164" xfId="0" applyAlignment="1" applyBorder="1" applyFont="1" applyNumberFormat="1">
      <alignment horizontal="left" shrinkToFit="0" vertical="center" wrapText="1"/>
    </xf>
    <xf borderId="1" fillId="12" fontId="16" numFmtId="0" xfId="0" applyAlignment="1" applyBorder="1" applyFill="1" applyFont="1">
      <alignment horizontal="left" shrinkToFit="0" vertical="center" wrapText="1"/>
    </xf>
    <xf borderId="1" fillId="12" fontId="16" numFmtId="164" xfId="0" applyAlignment="1" applyBorder="1" applyFont="1" applyNumberFormat="1">
      <alignment horizontal="left" shrinkToFit="0" vertical="center" wrapText="1"/>
    </xf>
    <xf borderId="1" fillId="12" fontId="17" numFmtId="0" xfId="0" applyAlignment="1" applyBorder="1" applyFont="1">
      <alignment horizontal="left" shrinkToFit="0" vertical="center" wrapText="1"/>
    </xf>
    <xf borderId="1" fillId="12" fontId="17" numFmtId="164" xfId="0" applyAlignment="1" applyBorder="1" applyFont="1" applyNumberFormat="1">
      <alignment horizontal="left" shrinkToFit="0" vertical="center" wrapText="1"/>
    </xf>
    <xf borderId="1" fillId="11" fontId="16" numFmtId="0" xfId="0" applyAlignment="1" applyBorder="1" applyFont="1">
      <alignment horizontal="left" shrinkToFit="0" vertical="center" wrapText="1"/>
    </xf>
    <xf borderId="1" fillId="11" fontId="16" numFmtId="164" xfId="0" applyAlignment="1" applyBorder="1" applyFont="1" applyNumberFormat="1">
      <alignment horizontal="left" shrinkToFit="0" vertical="center" wrapText="1"/>
    </xf>
    <xf borderId="1" fillId="13" fontId="17" numFmtId="0" xfId="0" applyAlignment="1" applyBorder="1" applyFill="1" applyFont="1">
      <alignment horizontal="left" shrinkToFit="0" vertical="center" wrapText="1"/>
    </xf>
    <xf borderId="1" fillId="13" fontId="17" numFmtId="164" xfId="0" applyAlignment="1" applyBorder="1" applyFont="1" applyNumberFormat="1">
      <alignment horizontal="left" shrinkToFit="0" vertical="center" wrapText="1"/>
    </xf>
    <xf borderId="1" fillId="13" fontId="16" numFmtId="0" xfId="0" applyAlignment="1" applyBorder="1" applyFont="1">
      <alignment horizontal="left" shrinkToFit="0" vertical="center" wrapText="1"/>
    </xf>
    <xf borderId="1" fillId="13" fontId="16" numFmtId="164" xfId="0" applyAlignment="1" applyBorder="1" applyFont="1" applyNumberFormat="1">
      <alignment horizontal="left" shrinkToFit="0" vertical="center" wrapText="1"/>
    </xf>
    <xf borderId="1" fillId="14" fontId="17" numFmtId="0" xfId="0" applyAlignment="1" applyBorder="1" applyFill="1" applyFont="1">
      <alignment horizontal="left" shrinkToFit="0" vertical="center" wrapText="1"/>
    </xf>
    <xf borderId="1" fillId="14" fontId="17" numFmtId="164" xfId="0" applyAlignment="1" applyBorder="1" applyFont="1" applyNumberFormat="1">
      <alignment horizontal="left" shrinkToFit="0" vertical="center" wrapText="1"/>
    </xf>
    <xf borderId="1" fillId="14" fontId="16" numFmtId="0" xfId="0" applyAlignment="1" applyBorder="1" applyFont="1">
      <alignment horizontal="left" shrinkToFit="0" vertical="center" wrapText="1"/>
    </xf>
    <xf borderId="1" fillId="14" fontId="16" numFmtId="164" xfId="0" applyAlignment="1" applyBorder="1" applyFont="1" applyNumberFormat="1">
      <alignment horizontal="left" shrinkToFit="0" vertical="center" wrapText="1"/>
    </xf>
    <xf borderId="1" fillId="6" fontId="14" numFmtId="0" xfId="0" applyAlignment="1" applyBorder="1" applyFont="1">
      <alignment horizontal="left" shrinkToFit="0" vertical="center" wrapText="1"/>
    </xf>
    <xf borderId="1" fillId="6" fontId="14" numFmtId="164" xfId="0" applyAlignment="1" applyBorder="1" applyFont="1" applyNumberFormat="1">
      <alignment horizontal="left" shrinkToFit="0" vertical="center" wrapText="1"/>
    </xf>
    <xf borderId="1" fillId="15" fontId="17" numFmtId="0" xfId="0" applyAlignment="1" applyBorder="1" applyFill="1" applyFont="1">
      <alignment horizontal="left" shrinkToFit="0" vertical="center" wrapText="1"/>
    </xf>
    <xf borderId="1" fillId="15" fontId="17" numFmtId="164" xfId="0" applyAlignment="1" applyBorder="1" applyFont="1" applyNumberFormat="1">
      <alignment horizontal="left" shrinkToFit="0" vertical="center" wrapText="1"/>
    </xf>
    <xf borderId="1" fillId="15" fontId="16" numFmtId="0" xfId="0" applyAlignment="1" applyBorder="1" applyFont="1">
      <alignment horizontal="left" shrinkToFit="0" vertical="center" wrapText="1"/>
    </xf>
    <xf borderId="1" fillId="15" fontId="16" numFmtId="164" xfId="0" applyAlignment="1" applyBorder="1" applyFont="1" applyNumberFormat="1">
      <alignment horizontal="left" shrinkToFit="0" vertical="center" wrapText="1"/>
    </xf>
    <xf borderId="1" fillId="16" fontId="17" numFmtId="0" xfId="0" applyAlignment="1" applyBorder="1" applyFill="1" applyFont="1">
      <alignment horizontal="left" shrinkToFit="0" vertical="center" wrapText="1"/>
    </xf>
    <xf borderId="1" fillId="16" fontId="17" numFmtId="164" xfId="0" applyAlignment="1" applyBorder="1" applyFont="1" applyNumberFormat="1">
      <alignment horizontal="left" shrinkToFit="0" vertical="center" wrapText="1"/>
    </xf>
    <xf borderId="1" fillId="16" fontId="16" numFmtId="0" xfId="0" applyAlignment="1" applyBorder="1" applyFont="1">
      <alignment horizontal="left" shrinkToFit="0" vertical="center" wrapText="1"/>
    </xf>
    <xf borderId="1" fillId="16" fontId="16" numFmtId="164" xfId="0" applyAlignment="1" applyBorder="1" applyFont="1" applyNumberFormat="1">
      <alignment horizontal="left" shrinkToFit="0" vertical="center" wrapText="1"/>
    </xf>
    <xf borderId="1" fillId="17" fontId="17" numFmtId="0" xfId="0" applyAlignment="1" applyBorder="1" applyFill="1" applyFont="1">
      <alignment horizontal="left" shrinkToFit="0" vertical="center" wrapText="1"/>
    </xf>
    <xf borderId="1" fillId="17" fontId="17" numFmtId="164" xfId="0" applyAlignment="1" applyBorder="1" applyFont="1" applyNumberFormat="1">
      <alignment horizontal="left" shrinkToFit="0" vertical="center" wrapText="1"/>
    </xf>
    <xf borderId="1" fillId="17" fontId="16" numFmtId="0" xfId="0" applyAlignment="1" applyBorder="1" applyFont="1">
      <alignment horizontal="left" shrinkToFit="0" vertical="center" wrapText="1"/>
    </xf>
    <xf borderId="1" fillId="17" fontId="16" numFmtId="164" xfId="0" applyAlignment="1" applyBorder="1" applyFont="1" applyNumberFormat="1">
      <alignment horizontal="left" shrinkToFit="0" vertical="center" wrapText="1"/>
    </xf>
    <xf borderId="1" fillId="18" fontId="17" numFmtId="0" xfId="0" applyAlignment="1" applyBorder="1" applyFill="1" applyFont="1">
      <alignment horizontal="left" shrinkToFit="0" vertical="center" wrapText="1"/>
    </xf>
    <xf borderId="1" fillId="18" fontId="17" numFmtId="164" xfId="0" applyAlignment="1" applyBorder="1" applyFont="1" applyNumberFormat="1">
      <alignment horizontal="left" shrinkToFit="0" vertical="center" wrapText="1"/>
    </xf>
    <xf borderId="1" fillId="18" fontId="16" numFmtId="0" xfId="0" applyAlignment="1" applyBorder="1" applyFont="1">
      <alignment horizontal="left" shrinkToFit="0" vertical="center" wrapText="1"/>
    </xf>
    <xf borderId="1" fillId="18" fontId="16" numFmtId="164" xfId="0" applyAlignment="1" applyBorder="1" applyFont="1" applyNumberFormat="1">
      <alignment horizontal="left" shrinkToFit="0" vertical="center" wrapText="1"/>
    </xf>
    <xf borderId="1" fillId="7" fontId="14" numFmtId="0" xfId="0" applyAlignment="1" applyBorder="1" applyFont="1">
      <alignment horizontal="left" shrinkToFit="0" vertical="center" wrapText="1"/>
    </xf>
    <xf borderId="1" fillId="7" fontId="14" numFmtId="164" xfId="0" applyAlignment="1" applyBorder="1" applyFont="1" applyNumberFormat="1">
      <alignment horizontal="left" shrinkToFit="0" vertical="center" wrapText="1"/>
    </xf>
    <xf borderId="1" fillId="19" fontId="17" numFmtId="0" xfId="0" applyAlignment="1" applyBorder="1" applyFill="1" applyFont="1">
      <alignment horizontal="left" shrinkToFit="0" vertical="center" wrapText="1"/>
    </xf>
    <xf borderId="1" fillId="19" fontId="17" numFmtId="164" xfId="0" applyAlignment="1" applyBorder="1" applyFont="1" applyNumberFormat="1">
      <alignment horizontal="left" shrinkToFit="0" vertical="center" wrapText="1"/>
    </xf>
    <xf borderId="1" fillId="19" fontId="16" numFmtId="0" xfId="0" applyAlignment="1" applyBorder="1" applyFont="1">
      <alignment horizontal="left" shrinkToFit="0" vertical="center" wrapText="1"/>
    </xf>
    <xf borderId="1" fillId="19" fontId="16" numFmtId="164" xfId="0" applyAlignment="1" applyBorder="1" applyFont="1" applyNumberFormat="1">
      <alignment horizontal="left" shrinkToFit="0" vertical="center" wrapText="1"/>
    </xf>
    <xf borderId="1" fillId="20" fontId="17" numFmtId="0" xfId="0" applyAlignment="1" applyBorder="1" applyFill="1" applyFont="1">
      <alignment horizontal="left" shrinkToFit="0" vertical="center" wrapText="1"/>
    </xf>
    <xf borderId="1" fillId="20" fontId="17" numFmtId="164" xfId="0" applyAlignment="1" applyBorder="1" applyFont="1" applyNumberFormat="1">
      <alignment horizontal="left" shrinkToFit="0" vertical="center" wrapText="1"/>
    </xf>
    <xf borderId="1" fillId="20" fontId="16" numFmtId="0" xfId="0" applyAlignment="1" applyBorder="1" applyFont="1">
      <alignment horizontal="left" shrinkToFit="0" vertical="center" wrapText="1"/>
    </xf>
    <xf borderId="1" fillId="20" fontId="16" numFmtId="164" xfId="0" applyAlignment="1" applyBorder="1" applyFont="1" applyNumberFormat="1">
      <alignment horizontal="left" shrinkToFit="0" vertical="center" wrapText="1"/>
    </xf>
    <xf borderId="1" fillId="8" fontId="14" numFmtId="0" xfId="0" applyAlignment="1" applyBorder="1" applyFont="1">
      <alignment horizontal="left" shrinkToFit="0" vertical="center" wrapText="1"/>
    </xf>
    <xf borderId="1" fillId="8" fontId="14" numFmtId="164" xfId="0" applyAlignment="1" applyBorder="1" applyFont="1" applyNumberFormat="1">
      <alignment horizontal="left" shrinkToFit="0" vertical="center" wrapText="1"/>
    </xf>
    <xf borderId="1" fillId="21" fontId="17" numFmtId="0" xfId="0" applyAlignment="1" applyBorder="1" applyFill="1" applyFont="1">
      <alignment horizontal="left" shrinkToFit="0" vertical="center" wrapText="1"/>
    </xf>
    <xf borderId="1" fillId="21" fontId="17" numFmtId="164" xfId="0" applyAlignment="1" applyBorder="1" applyFont="1" applyNumberFormat="1">
      <alignment horizontal="left" shrinkToFit="0" vertical="center" wrapText="1"/>
    </xf>
    <xf borderId="1" fillId="21" fontId="16" numFmtId="0" xfId="0" applyAlignment="1" applyBorder="1" applyFont="1">
      <alignment horizontal="left" shrinkToFit="0" vertical="center" wrapText="1"/>
    </xf>
    <xf borderId="1" fillId="21" fontId="16" numFmtId="164" xfId="0" applyAlignment="1" applyBorder="1" applyFont="1" applyNumberFormat="1">
      <alignment horizontal="left" shrinkToFit="0" vertical="center" wrapText="1"/>
    </xf>
    <xf borderId="1" fillId="22" fontId="17" numFmtId="0" xfId="0" applyAlignment="1" applyBorder="1" applyFill="1" applyFont="1">
      <alignment horizontal="left" shrinkToFit="0" vertical="center" wrapText="1"/>
    </xf>
    <xf borderId="1" fillId="22" fontId="17" numFmtId="164" xfId="0" applyAlignment="1" applyBorder="1" applyFont="1" applyNumberFormat="1">
      <alignment horizontal="left" shrinkToFit="0" vertical="center" wrapText="1"/>
    </xf>
    <xf borderId="1" fillId="22" fontId="16" numFmtId="0" xfId="0" applyAlignment="1" applyBorder="1" applyFont="1">
      <alignment horizontal="left" shrinkToFit="0" vertical="center" wrapText="1"/>
    </xf>
    <xf borderId="1" fillId="22" fontId="16" numFmtId="164" xfId="0" applyAlignment="1" applyBorder="1" applyFont="1" applyNumberFormat="1">
      <alignment horizontal="left" shrinkToFit="0" vertical="center" wrapText="1"/>
    </xf>
    <xf borderId="1" fillId="22" fontId="16" numFmtId="0" xfId="0" applyAlignment="1" applyBorder="1" applyFont="1">
      <alignment horizontal="left" readingOrder="0" shrinkToFit="0" vertical="center" wrapText="1"/>
    </xf>
    <xf borderId="1" fillId="23" fontId="17" numFmtId="0" xfId="0" applyAlignment="1" applyBorder="1" applyFill="1" applyFont="1">
      <alignment horizontal="left" shrinkToFit="0" vertical="center" wrapText="1"/>
    </xf>
    <xf borderId="1" fillId="23" fontId="17" numFmtId="164" xfId="0" applyAlignment="1" applyBorder="1" applyFont="1" applyNumberFormat="1">
      <alignment horizontal="left" shrinkToFit="0" vertical="center" wrapText="1"/>
    </xf>
    <xf borderId="1" fillId="23" fontId="16" numFmtId="0" xfId="0" applyAlignment="1" applyBorder="1" applyFont="1">
      <alignment horizontal="left" shrinkToFit="0" vertical="center" wrapText="1"/>
    </xf>
    <xf borderId="1" fillId="23" fontId="16" numFmtId="164" xfId="0" applyAlignment="1" applyBorder="1" applyFont="1" applyNumberFormat="1">
      <alignment horizontal="left" shrinkToFit="0" vertical="center" wrapText="1"/>
    </xf>
    <xf borderId="1" fillId="24" fontId="18" numFmtId="0" xfId="0" applyAlignment="1" applyBorder="1" applyFill="1" applyFont="1">
      <alignment horizontal="left" shrinkToFit="0" vertical="center" wrapText="1"/>
    </xf>
    <xf borderId="1" fillId="24" fontId="18" numFmtId="164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4" fillId="9" fontId="19" numFmtId="0" xfId="0" applyAlignment="1" applyBorder="1" applyFont="1">
      <alignment shrinkToFit="0" vertical="bottom" wrapText="0"/>
    </xf>
    <xf borderId="1" fillId="4" fontId="20" numFmtId="0" xfId="0" applyAlignment="1" applyBorder="1" applyFont="1">
      <alignment horizontal="center" shrinkToFit="0" vertical="center" wrapText="1"/>
    </xf>
    <xf borderId="1" fillId="4" fontId="20" numFmtId="165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horizontal="center" shrinkToFit="0" vertical="bottom" wrapText="0"/>
    </xf>
    <xf borderId="1" fillId="0" fontId="21" numFmtId="0" xfId="0" applyAlignment="1" applyBorder="1" applyFont="1">
      <alignment horizontal="center" shrinkToFit="0" vertical="bottom" wrapText="0"/>
    </xf>
    <xf borderId="1" fillId="0" fontId="21" numFmtId="165" xfId="0" applyAlignment="1" applyBorder="1" applyFont="1" applyNumberFormat="1">
      <alignment horizontal="center" shrinkToFit="0" vertical="bottom" wrapText="0"/>
    </xf>
    <xf borderId="1" fillId="0" fontId="21" numFmtId="0" xfId="0" applyAlignment="1" applyBorder="1" applyFont="1">
      <alignment horizontal="center" readingOrder="0" shrinkToFit="0" vertical="bottom" wrapText="0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0"/>
    </xf>
    <xf borderId="1" fillId="0" fontId="21" numFmtId="165" xfId="0" applyAlignment="1" applyBorder="1" applyFont="1" applyNumberForma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1"/>
    </xf>
    <xf borderId="1" fillId="0" fontId="21" numFmtId="165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horizontal="center" readingOrder="0" shrinkToFit="0" vertical="bottom" wrapText="0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166" xfId="0" applyAlignment="1" applyBorder="1" applyFont="1" applyNumberFormat="1">
      <alignment horizontal="center" shrinkToFit="0" vertical="center" wrapText="1"/>
    </xf>
    <xf borderId="0" fillId="0" fontId="21" numFmtId="165" xfId="0" applyAlignment="1" applyFont="1" applyNumberFormat="1">
      <alignment horizontal="center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center" shrinkToFit="0" vertical="center" wrapText="0"/>
    </xf>
    <xf borderId="0" fillId="0" fontId="21" numFmtId="165" xfId="0" applyAlignment="1" applyFont="1" applyNumberFormat="1">
      <alignment horizontal="center" shrinkToFit="0" vertical="center" wrapText="0"/>
    </xf>
    <xf borderId="0" fillId="0" fontId="21" numFmtId="166" xfId="0" applyAlignment="1" applyFont="1" applyNumberFormat="1">
      <alignment horizontal="center" shrinkToFit="0" vertical="bottom" wrapText="0"/>
    </xf>
    <xf borderId="0" fillId="0" fontId="21" numFmtId="0" xfId="0" applyAlignment="1" applyFont="1">
      <alignment horizontal="center"/>
    </xf>
    <xf borderId="1" fillId="4" fontId="9" numFmtId="166" xfId="0" applyAlignment="1" applyBorder="1" applyFont="1" applyNumberFormat="1">
      <alignment horizontal="center" shrinkToFit="0" vertical="center" wrapText="1"/>
    </xf>
    <xf borderId="1" fillId="0" fontId="10" numFmtId="166" xfId="0" applyAlignment="1" applyBorder="1" applyFont="1" applyNumberFormat="1">
      <alignment horizontal="center" shrinkToFit="0" vertical="center" wrapText="1"/>
    </xf>
    <xf borderId="1" fillId="0" fontId="10" numFmtId="1" xfId="0" applyAlignment="1" applyBorder="1" applyFont="1" applyNumberFormat="1">
      <alignment horizontal="center" shrinkToFit="0" vertical="center" wrapText="1"/>
    </xf>
    <xf borderId="1" fillId="0" fontId="10" numFmtId="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0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shrinkToFit="0" vertical="bottom" wrapText="0"/>
    </xf>
    <xf borderId="0" fillId="0" fontId="2" numFmtId="166" xfId="0" applyAlignment="1" applyFont="1" applyNumberFormat="1">
      <alignment shrinkToFit="0" vertical="bottom" wrapText="0"/>
    </xf>
    <xf borderId="1" fillId="0" fontId="10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readingOrder="0"/>
    </xf>
    <xf borderId="0" fillId="0" fontId="24" numFmtId="0" xfId="0" applyFont="1"/>
    <xf borderId="0" fillId="0" fontId="25" numFmtId="0" xfId="0" applyAlignment="1" applyFont="1">
      <alignment readingOrder="0"/>
    </xf>
    <xf borderId="0" fillId="9" fontId="26" numFmtId="0" xfId="0" applyAlignment="1" applyFont="1">
      <alignment horizontal="left" readingOrder="0" shrinkToFit="0" wrapText="1"/>
    </xf>
    <xf borderId="0" fillId="9" fontId="26" numFmtId="0" xfId="0" applyAlignment="1" applyFont="1">
      <alignment horizontal="center" readingOrder="0" shrinkToFit="0" wrapText="1"/>
    </xf>
    <xf borderId="0" fillId="0" fontId="24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4" numFmtId="0" xfId="0" applyFont="1"/>
    <xf borderId="4" fillId="9" fontId="9" numFmtId="0" xfId="0" applyAlignment="1" applyBorder="1" applyFont="1">
      <alignment horizontal="center" shrinkToFit="0" vertical="center" wrapText="1"/>
    </xf>
    <xf borderId="4" fillId="9" fontId="27" numFmtId="0" xfId="0" applyAlignment="1" applyBorder="1" applyFont="1">
      <alignment horizontal="left" shrinkToFit="0" vertical="center" wrapText="1"/>
    </xf>
    <xf borderId="0" fillId="0" fontId="2" numFmtId="167" xfId="0" applyAlignment="1" applyFont="1" applyNumberFormat="1">
      <alignment shrinkToFit="0" vertical="bottom" wrapText="0"/>
    </xf>
    <xf borderId="4" fillId="9" fontId="9" numFmtId="0" xfId="0" applyAlignment="1" applyBorder="1" applyFont="1">
      <alignment horizontal="center" shrinkToFit="0" vertical="bottom" wrapText="1"/>
    </xf>
    <xf borderId="0" fillId="0" fontId="28" numFmtId="0" xfId="0" applyAlignment="1" applyFont="1">
      <alignment shrinkToFit="0" vertical="bottom" wrapText="0"/>
    </xf>
    <xf borderId="0" fillId="0" fontId="2" numFmtId="168" xfId="0" applyAlignment="1" applyFont="1" applyNumberFormat="1">
      <alignment shrinkToFit="0" vertical="bottom" wrapText="0"/>
    </xf>
    <xf borderId="4" fillId="25" fontId="29" numFmtId="0" xfId="0" applyAlignment="1" applyBorder="1" applyFill="1" applyFon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9" numFmtId="0" xfId="0" applyAlignment="1" applyFont="1">
      <alignment shrinkToFit="0" vertical="bottom" wrapText="0"/>
    </xf>
    <xf borderId="4" fillId="26" fontId="28" numFmtId="0" xfId="0" applyAlignment="1" applyBorder="1" applyFill="1" applyFont="1">
      <alignment shrinkToFit="0" vertical="bottom" wrapText="0"/>
    </xf>
    <xf borderId="4" fillId="26" fontId="28" numFmtId="168" xfId="0" applyAlignment="1" applyBorder="1" applyFont="1" applyNumberFormat="1">
      <alignment shrinkToFit="0" vertical="bottom" wrapText="0"/>
    </xf>
    <xf borderId="4" fillId="26" fontId="28" numFmtId="3" xfId="0" applyAlignment="1" applyBorder="1" applyFont="1" applyNumberFormat="1">
      <alignment shrinkToFit="0" vertical="bottom" wrapText="0"/>
    </xf>
    <xf borderId="0" fillId="0" fontId="30" numFmtId="0" xfId="0" applyAlignment="1" applyFont="1">
      <alignment shrinkToFit="0" vertical="bottom" wrapText="0"/>
    </xf>
    <xf borderId="0" fillId="9" fontId="26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31" numFmtId="0" xfId="0" applyAlignment="1" applyFont="1">
      <alignment shrinkToFit="0" vertical="center" wrapText="1"/>
    </xf>
    <xf borderId="0" fillId="0" fontId="32" numFmtId="0" xfId="0" applyAlignment="1" applyFont="1">
      <alignment readingOrder="0"/>
    </xf>
    <xf borderId="0" fillId="27" fontId="24" numFmtId="0" xfId="0" applyAlignment="1" applyFill="1" applyFont="1">
      <alignment readingOrder="0"/>
    </xf>
    <xf borderId="0" fillId="28" fontId="24" numFmtId="0" xfId="0" applyAlignment="1" applyFill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shrinkToFit="0" vertical="top" wrapText="1"/>
    </xf>
    <xf borderId="0" fillId="0" fontId="31" numFmtId="164" xfId="0" applyAlignment="1" applyFont="1" applyNumberFormat="1">
      <alignment shrinkToFit="0" vertical="center" wrapText="1"/>
    </xf>
    <xf borderId="0" fillId="0" fontId="35" numFmtId="0" xfId="0" applyAlignment="1" applyFont="1">
      <alignment shrinkToFit="0" vertical="top" wrapText="1"/>
    </xf>
    <xf borderId="0" fillId="0" fontId="36" numFmtId="0" xfId="0" applyAlignment="1" applyFont="1">
      <alignment shrinkToFit="0" vertical="bottom" wrapText="0"/>
    </xf>
    <xf borderId="0" fillId="0" fontId="37" numFmtId="0" xfId="0" applyAlignment="1" applyFont="1">
      <alignment shrinkToFit="0" vertical="top" wrapText="1"/>
    </xf>
    <xf borderId="0" fillId="0" fontId="38" numFmtId="0" xfId="0" applyAlignment="1" applyFont="1">
      <alignment shrinkToFit="0" vertical="top" wrapText="1"/>
    </xf>
    <xf borderId="1" fillId="0" fontId="39" numFmtId="0" xfId="0" applyAlignment="1" applyBorder="1" applyFont="1">
      <alignment shrinkToFit="0" vertical="top" wrapText="1"/>
    </xf>
    <xf borderId="1" fillId="0" fontId="36" numFmtId="0" xfId="0" applyAlignment="1" applyBorder="1" applyFont="1">
      <alignment shrinkToFit="0" vertical="bottom" wrapText="0"/>
    </xf>
    <xf borderId="1" fillId="0" fontId="38" numFmtId="0" xfId="0" applyAlignment="1" applyBorder="1" applyFont="1">
      <alignment shrinkToFit="0" vertical="top" wrapText="1"/>
    </xf>
    <xf borderId="0" fillId="0" fontId="39" numFmtId="0" xfId="0" applyAlignment="1" applyFont="1">
      <alignment shrinkToFit="0" vertical="top" wrapText="1"/>
    </xf>
    <xf borderId="0" fillId="0" fontId="40" numFmtId="0" xfId="0" applyAlignment="1" applyFont="1">
      <alignment shrinkToFit="0" vertical="top" wrapText="1"/>
    </xf>
    <xf borderId="0" fillId="0" fontId="41" numFmtId="0" xfId="0" applyAlignment="1" applyFont="1">
      <alignment shrinkToFit="0" vertical="bottom" wrapText="0"/>
    </xf>
    <xf borderId="1" fillId="0" fontId="10" numFmtId="169" xfId="0" applyAlignment="1" applyBorder="1" applyFont="1" applyNumberFormat="1">
      <alignment horizontal="center" shrinkToFit="0" vertical="center" wrapText="1"/>
    </xf>
    <xf borderId="0" fillId="0" fontId="42" numFmtId="0" xfId="0" applyAlignment="1" applyFont="1">
      <alignment shrinkToFit="0" vertical="bottom" wrapText="0"/>
    </xf>
    <xf borderId="1" fillId="0" fontId="43" numFmtId="0" xfId="0" applyAlignment="1" applyBorder="1" applyFont="1">
      <alignment horizontal="left" shrinkToFit="0" vertical="center" wrapText="0"/>
    </xf>
    <xf borderId="4" fillId="4" fontId="44" numFmtId="0" xfId="0" applyAlignment="1" applyBorder="1" applyFont="1">
      <alignment horizontal="center" shrinkToFit="0" vertical="bottom" wrapText="0"/>
    </xf>
    <xf borderId="4" fillId="5" fontId="45" numFmtId="0" xfId="0" applyAlignment="1" applyBorder="1" applyFont="1">
      <alignment shrinkToFit="0" vertical="center" wrapText="1"/>
    </xf>
    <xf borderId="4" fillId="29" fontId="46" numFmtId="0" xfId="0" applyAlignment="1" applyBorder="1" applyFill="1" applyFont="1">
      <alignment shrinkToFit="0" vertical="center" wrapText="1"/>
    </xf>
    <xf borderId="4" fillId="10" fontId="47" numFmtId="0" xfId="0" applyAlignment="1" applyBorder="1" applyFont="1">
      <alignment shrinkToFit="0" vertical="center" wrapText="1"/>
    </xf>
    <xf borderId="4" fillId="30" fontId="46" numFmtId="0" xfId="0" applyAlignment="1" applyBorder="1" applyFill="1" applyFont="1">
      <alignment shrinkToFit="0" vertical="center" wrapText="1"/>
    </xf>
    <xf borderId="4" fillId="14" fontId="47" numFmtId="0" xfId="0" applyAlignment="1" applyBorder="1" applyFont="1">
      <alignment shrinkToFit="0" vertical="center" wrapText="1"/>
    </xf>
    <xf borderId="4" fillId="31" fontId="46" numFmtId="0" xfId="0" applyAlignment="1" applyBorder="1" applyFill="1" applyFont="1">
      <alignment shrinkToFit="0" vertical="center" wrapText="1"/>
    </xf>
    <xf borderId="4" fillId="12" fontId="47" numFmtId="0" xfId="0" applyAlignment="1" applyBorder="1" applyFont="1">
      <alignment shrinkToFit="0" vertical="center" wrapText="1"/>
    </xf>
    <xf borderId="4" fillId="32" fontId="46" numFmtId="0" xfId="0" applyAlignment="1" applyBorder="1" applyFill="1" applyFont="1">
      <alignment shrinkToFit="0" vertical="center" wrapText="1"/>
    </xf>
    <xf borderId="4" fillId="13" fontId="47" numFmtId="0" xfId="0" applyAlignment="1" applyBorder="1" applyFont="1">
      <alignment shrinkToFit="0" vertical="center" wrapText="1"/>
    </xf>
    <xf borderId="4" fillId="11" fontId="47" numFmtId="0" xfId="0" applyAlignment="1" applyBorder="1" applyFont="1">
      <alignment shrinkToFit="0" vertical="center" wrapText="1"/>
    </xf>
    <xf borderId="4" fillId="6" fontId="45" numFmtId="0" xfId="0" applyAlignment="1" applyBorder="1" applyFont="1">
      <alignment shrinkToFit="0" vertical="center" wrapText="1"/>
    </xf>
    <xf borderId="4" fillId="33" fontId="46" numFmtId="0" xfId="0" applyAlignment="1" applyBorder="1" applyFill="1" applyFont="1">
      <alignment shrinkToFit="0" vertical="center" wrapText="1"/>
    </xf>
    <xf borderId="4" fillId="23" fontId="47" numFmtId="0" xfId="0" applyAlignment="1" applyBorder="1" applyFont="1">
      <alignment shrinkToFit="0" vertical="center" wrapText="1"/>
    </xf>
    <xf borderId="4" fillId="17" fontId="47" numFmtId="0" xfId="0" applyAlignment="1" applyBorder="1" applyFont="1">
      <alignment shrinkToFit="0" vertical="center" wrapText="1"/>
    </xf>
    <xf borderId="4" fillId="22" fontId="47" numFmtId="0" xfId="0" applyAlignment="1" applyBorder="1" applyFont="1">
      <alignment shrinkToFit="0" vertical="center" wrapText="1"/>
    </xf>
    <xf borderId="4" fillId="7" fontId="45" numFmtId="0" xfId="0" applyAlignment="1" applyBorder="1" applyFont="1">
      <alignment shrinkToFit="0" vertical="center" wrapText="1"/>
    </xf>
    <xf borderId="4" fillId="20" fontId="47" numFmtId="0" xfId="0" applyAlignment="1" applyBorder="1" applyFont="1">
      <alignment shrinkToFit="0" vertical="center" wrapText="1"/>
    </xf>
    <xf borderId="4" fillId="8" fontId="45" numFmtId="0" xfId="0" applyAlignment="1" applyBorder="1" applyFont="1">
      <alignment shrinkToFit="0" vertical="center" wrapText="1"/>
    </xf>
    <xf borderId="4" fillId="34" fontId="46" numFmtId="0" xfId="0" applyAlignment="1" applyBorder="1" applyFill="1" applyFont="1">
      <alignment shrinkToFit="0" vertical="center" wrapText="1"/>
    </xf>
    <xf borderId="0" fillId="0" fontId="48" numFmtId="0" xfId="0" applyAlignment="1" applyFont="1">
      <alignment horizontal="right" shrinkToFit="0" vertical="center" wrapText="0"/>
    </xf>
    <xf borderId="1" fillId="35" fontId="49" numFmtId="0" xfId="0" applyAlignment="1" applyBorder="1" applyFill="1" applyFont="1">
      <alignment horizontal="center" shrinkToFit="0" vertical="center" wrapText="1"/>
    </xf>
    <xf borderId="0" fillId="0" fontId="50" numFmtId="0" xfId="0" applyAlignment="1" applyFont="1">
      <alignment shrinkToFit="0" vertical="bottom" wrapText="0"/>
    </xf>
    <xf borderId="0" fillId="0" fontId="51" numFmtId="0" xfId="0" applyAlignment="1" applyFont="1">
      <alignment shrinkToFit="0" vertical="bottom" wrapText="0"/>
    </xf>
    <xf borderId="0" fillId="0" fontId="52" numFmtId="0" xfId="0" applyAlignment="1" applyFon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5" fillId="36" fontId="53" numFmtId="0" xfId="0" applyAlignment="1" applyBorder="1" applyFill="1" applyFont="1">
      <alignment horizontal="left" shrinkToFit="0" vertical="center" wrapText="0"/>
    </xf>
    <xf borderId="6" fillId="0" fontId="12" numFmtId="0" xfId="0" applyBorder="1" applyFont="1"/>
    <xf borderId="7" fillId="0" fontId="12" numFmtId="0" xfId="0" applyBorder="1" applyFont="1"/>
    <xf borderId="5" fillId="36" fontId="54" numFmtId="0" xfId="0" applyAlignment="1" applyBorder="1" applyFont="1">
      <alignment shrinkToFit="0" vertical="center" wrapText="0"/>
    </xf>
    <xf borderId="5" fillId="37" fontId="55" numFmtId="0" xfId="0" applyAlignment="1" applyBorder="1" applyFill="1" applyFont="1">
      <alignment horizontal="center" shrinkToFit="0" vertical="center" wrapText="0"/>
    </xf>
    <xf borderId="5" fillId="38" fontId="55" numFmtId="0" xfId="0" applyAlignment="1" applyBorder="1" applyFill="1" applyFont="1">
      <alignment horizontal="center" shrinkToFit="0" vertical="center" wrapText="0"/>
    </xf>
    <xf borderId="4" fillId="39" fontId="2" numFmtId="0" xfId="0" applyAlignment="1" applyBorder="1" applyFill="1" applyFont="1">
      <alignment shrinkToFit="0" vertical="bottom" wrapText="0"/>
    </xf>
    <xf borderId="8" fillId="4" fontId="56" numFmtId="0" xfId="0" applyAlignment="1" applyBorder="1" applyFont="1">
      <alignment horizontal="center" shrinkToFit="0" vertical="center" wrapText="1"/>
    </xf>
    <xf borderId="8" fillId="4" fontId="57" numFmtId="0" xfId="0" applyAlignment="1" applyBorder="1" applyFont="1">
      <alignment horizontal="center" shrinkToFit="0" vertical="center" wrapText="1"/>
    </xf>
    <xf borderId="8" fillId="9" fontId="57" numFmtId="0" xfId="0" applyAlignment="1" applyBorder="1" applyFont="1">
      <alignment horizontal="center" shrinkToFit="0" vertical="center" wrapText="1"/>
    </xf>
    <xf borderId="8" fillId="40" fontId="56" numFmtId="0" xfId="0" applyAlignment="1" applyBorder="1" applyFill="1" applyFont="1">
      <alignment horizontal="center" shrinkToFit="0" vertical="center" wrapText="1"/>
    </xf>
    <xf borderId="8" fillId="39" fontId="2" numFmtId="0" xfId="0" applyAlignment="1" applyBorder="1" applyFont="1">
      <alignment shrinkToFit="0" vertical="bottom" wrapText="0"/>
    </xf>
    <xf borderId="8" fillId="21" fontId="58" numFmtId="0" xfId="0" applyAlignment="1" applyBorder="1" applyFont="1">
      <alignment horizontal="center" shrinkToFit="0" vertical="center" wrapText="1"/>
    </xf>
    <xf borderId="8" fillId="38" fontId="58" numFmtId="0" xfId="0" applyAlignment="1" applyBorder="1" applyFont="1">
      <alignment horizontal="center" shrinkToFit="0" vertical="center" wrapText="0"/>
    </xf>
    <xf borderId="5" fillId="41" fontId="59" numFmtId="0" xfId="0" applyAlignment="1" applyBorder="1" applyFill="1" applyFont="1">
      <alignment shrinkToFit="0" vertical="center" wrapText="0"/>
    </xf>
    <xf borderId="8" fillId="41" fontId="60" numFmtId="0" xfId="0" applyAlignment="1" applyBorder="1" applyFont="1">
      <alignment horizontal="center" shrinkToFit="0" vertical="center" wrapText="0"/>
    </xf>
    <xf borderId="8" fillId="3" fontId="61" numFmtId="0" xfId="0" applyAlignment="1" applyBorder="1" applyFont="1">
      <alignment shrinkToFit="0" vertical="center" wrapText="0"/>
    </xf>
    <xf borderId="8" fillId="3" fontId="62" numFmtId="0" xfId="0" applyAlignment="1" applyBorder="1" applyFont="1">
      <alignment shrinkToFit="0" vertical="center" wrapText="0"/>
    </xf>
    <xf borderId="8" fillId="3" fontId="63" numFmtId="1" xfId="0" applyAlignment="1" applyBorder="1" applyFont="1" applyNumberFormat="1">
      <alignment horizontal="center" shrinkToFit="0" vertical="center" wrapText="0"/>
    </xf>
    <xf borderId="8" fillId="3" fontId="64" numFmtId="0" xfId="0" applyAlignment="1" applyBorder="1" applyFont="1">
      <alignment horizontal="center" shrinkToFit="0" vertical="center" wrapText="0"/>
    </xf>
    <xf borderId="8" fillId="3" fontId="65" numFmtId="1" xfId="0" applyAlignment="1" applyBorder="1" applyFont="1" applyNumberFormat="1">
      <alignment horizontal="center" shrinkToFit="0" vertical="center" wrapText="0"/>
    </xf>
    <xf borderId="8" fillId="42" fontId="61" numFmtId="0" xfId="0" applyAlignment="1" applyBorder="1" applyFill="1" applyFont="1">
      <alignment shrinkToFit="0" vertical="center" wrapText="0"/>
    </xf>
    <xf borderId="8" fillId="42" fontId="62" numFmtId="0" xfId="0" applyAlignment="1" applyBorder="1" applyFont="1">
      <alignment shrinkToFit="0" vertical="center" wrapText="0"/>
    </xf>
    <xf borderId="8" fillId="42" fontId="63" numFmtId="1" xfId="0" applyAlignment="1" applyBorder="1" applyFont="1" applyNumberFormat="1">
      <alignment horizontal="center" shrinkToFit="0" vertical="center" wrapText="0"/>
    </xf>
    <xf borderId="8" fillId="37" fontId="66" numFmtId="0" xfId="0" applyAlignment="1" applyBorder="1" applyFont="1">
      <alignment horizontal="center" shrinkToFit="0" vertical="center" wrapText="0"/>
    </xf>
    <xf borderId="8" fillId="42" fontId="64" numFmtId="0" xfId="0" applyAlignment="1" applyBorder="1" applyFont="1">
      <alignment horizontal="center" shrinkToFit="0" vertical="center" wrapText="0"/>
    </xf>
    <xf borderId="8" fillId="32" fontId="61" numFmtId="0" xfId="0" applyAlignment="1" applyBorder="1" applyFont="1">
      <alignment horizontal="center" shrinkToFit="0" vertical="center" wrapText="0"/>
    </xf>
    <xf borderId="8" fillId="34" fontId="61" numFmtId="0" xfId="0" applyAlignment="1" applyBorder="1" applyFont="1">
      <alignment horizontal="center" shrinkToFit="0" vertical="center" wrapText="0"/>
    </xf>
    <xf borderId="8" fillId="43" fontId="65" numFmtId="1" xfId="0" applyAlignment="1" applyBorder="1" applyFill="1" applyFont="1" applyNumberFormat="1">
      <alignment horizontal="center" shrinkToFit="0" vertical="center" wrapText="0"/>
    </xf>
    <xf borderId="8" fillId="43" fontId="61" numFmtId="0" xfId="0" applyAlignment="1" applyBorder="1" applyFont="1">
      <alignment horizontal="center" shrinkToFit="0" vertical="center" wrapText="0"/>
    </xf>
    <xf borderId="5" fillId="7" fontId="59" numFmtId="0" xfId="0" applyAlignment="1" applyBorder="1" applyFont="1">
      <alignment shrinkToFit="0" vertical="center" wrapText="0"/>
    </xf>
    <xf borderId="8" fillId="7" fontId="60" numFmtId="0" xfId="0" applyAlignment="1" applyBorder="1" applyFont="1">
      <alignment horizontal="center" shrinkToFit="0" vertical="center" wrapText="0"/>
    </xf>
    <xf borderId="8" fillId="42" fontId="65" numFmtId="1" xfId="0" applyAlignment="1" applyBorder="1" applyFont="1" applyNumberFormat="1">
      <alignment horizontal="center" shrinkToFit="0" vertical="center" wrapText="0"/>
    </xf>
    <xf borderId="5" fillId="8" fontId="59" numFmtId="0" xfId="0" applyAlignment="1" applyBorder="1" applyFont="1">
      <alignment shrinkToFit="0" vertical="center" wrapText="0"/>
    </xf>
    <xf borderId="8" fillId="8" fontId="60" numFmtId="0" xfId="0" applyAlignment="1" applyBorder="1" applyFont="1">
      <alignment horizontal="center" shrinkToFit="0" vertical="center" wrapText="0"/>
    </xf>
    <xf borderId="8" fillId="26" fontId="61" numFmtId="0" xfId="0" applyAlignment="1" applyBorder="1" applyFont="1">
      <alignment horizontal="center" shrinkToFit="0" vertical="center" wrapText="0"/>
    </xf>
    <xf borderId="5" fillId="9" fontId="59" numFmtId="0" xfId="0" applyAlignment="1" applyBorder="1" applyFont="1">
      <alignment shrinkToFit="0" vertical="center" wrapText="0"/>
    </xf>
    <xf borderId="8" fillId="9" fontId="60" numFmtId="0" xfId="0" applyAlignment="1" applyBorder="1" applyFont="1">
      <alignment horizontal="center" shrinkToFit="0" vertical="center" wrapText="0"/>
    </xf>
    <xf borderId="5" fillId="4" fontId="56" numFmtId="0" xfId="0" applyAlignment="1" applyBorder="1" applyFont="1">
      <alignment horizontal="center" shrinkToFit="0" vertical="center" wrapText="0"/>
    </xf>
    <xf borderId="8" fillId="4" fontId="56" numFmtId="1" xfId="0" applyAlignment="1" applyBorder="1" applyFont="1" applyNumberFormat="1">
      <alignment horizontal="center" shrinkToFit="0" vertical="center" wrapText="0"/>
    </xf>
    <xf borderId="4" fillId="44" fontId="9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9">
    <dxf>
      <font/>
      <fill>
        <patternFill patternType="solid">
          <fgColor rgb="FFE6F4E6"/>
          <bgColor rgb="FFE6F4E6"/>
        </patternFill>
      </fill>
      <border/>
    </dxf>
    <dxf>
      <font/>
      <fill>
        <patternFill patternType="solid">
          <fgColor rgb="FFFFF4D6"/>
          <bgColor rgb="FFFFF4D6"/>
        </patternFill>
      </fill>
      <border/>
    </dxf>
    <dxf>
      <font/>
      <fill>
        <patternFill patternType="solid">
          <fgColor rgb="FFFCE7E7"/>
          <bgColor rgb="FFFCE7E7"/>
        </patternFill>
      </fill>
      <border/>
    </dxf>
    <dxf>
      <font/>
      <fill>
        <patternFill patternType="solid">
          <fgColor rgb="FFEAF0F6"/>
          <bgColor rgb="FFEAF0F6"/>
        </patternFill>
      </fill>
      <border/>
    </dxf>
    <dxf>
      <font>
        <b/>
        <color rgb="FF8A1A1A"/>
        <name val="Arial"/>
      </font>
      <fill>
        <patternFill patternType="solid">
          <fgColor rgb="FFFCE0E0"/>
          <bgColor rgb="FFFCE0E0"/>
        </patternFill>
      </fill>
      <border/>
    </dxf>
    <dxf>
      <font>
        <b/>
        <color rgb="FF8A4A35"/>
        <name val="Arial"/>
      </font>
      <fill>
        <patternFill patternType="solid">
          <fgColor rgb="FFFFE9CC"/>
          <bgColor rgb="FFFFE9CC"/>
        </patternFill>
      </fill>
      <border/>
    </dxf>
    <dxf>
      <font>
        <b/>
        <color rgb="FF5D4D1A"/>
        <name val="Arial"/>
      </font>
      <fill>
        <patternFill patternType="solid">
          <fgColor rgb="FFFFF6D9"/>
          <bgColor rgb="FFFFF6D9"/>
        </patternFill>
      </fill>
      <border/>
    </dxf>
    <dxf>
      <font>
        <color rgb="FF2E5C36"/>
        <name val="Arial"/>
      </font>
      <fill>
        <patternFill patternType="solid">
          <fgColor rgb="FFE2EFE0"/>
          <bgColor rgb="FFE2EFE0"/>
        </patternFill>
      </fill>
      <border/>
    </dxf>
    <dxf>
      <font>
        <color rgb="FF5D4D1A"/>
        <name val="Arial"/>
      </font>
      <fill>
        <patternFill patternType="solid">
          <fgColor rgb="FFFFF6D9"/>
          <bgColor rgb="FFFFF6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tudio_lotus_master.xlsx/" TargetMode="External"/><Relationship Id="rId2" Type="http://schemas.openxmlformats.org/officeDocument/2006/relationships/hyperlink" Target="http://studio_lotus_master.xlsx/" TargetMode="External"/><Relationship Id="rId3" Type="http://schemas.openxmlformats.org/officeDocument/2006/relationships/hyperlink" Target="http://studio_lotus_master.xlsx/" TargetMode="External"/><Relationship Id="rId4" Type="http://schemas.openxmlformats.org/officeDocument/2006/relationships/hyperlink" Target="http://studio_lotus_master.xlsx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studio_lotus_master.xlsx/" TargetMode="External"/><Relationship Id="rId6" Type="http://schemas.openxmlformats.org/officeDocument/2006/relationships/hyperlink" Target="http://studio_lotus_master.xlsx/" TargetMode="External"/><Relationship Id="rId7" Type="http://schemas.openxmlformats.org/officeDocument/2006/relationships/hyperlink" Target="http://studio_lotus_master.xlsx/" TargetMode="External"/><Relationship Id="rId8" Type="http://schemas.openxmlformats.org/officeDocument/2006/relationships/hyperlink" Target="http://studio_lotus_master.xlsx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tudio_lotus_master.xlsx/" TargetMode="External"/><Relationship Id="rId2" Type="http://schemas.openxmlformats.org/officeDocument/2006/relationships/hyperlink" Target="http://studio_lotus_master.xlsx/" TargetMode="External"/><Relationship Id="rId3" Type="http://schemas.openxmlformats.org/officeDocument/2006/relationships/hyperlink" Target="http://studio_lotus_master.xlsx/" TargetMode="External"/><Relationship Id="rId4" Type="http://schemas.openxmlformats.org/officeDocument/2006/relationships/hyperlink" Target="http://studio_lotus_master.xlsx/" TargetMode="External"/><Relationship Id="rId5" Type="http://schemas.openxmlformats.org/officeDocument/2006/relationships/hyperlink" Target="http://studio_lotus_master.xlsx/" TargetMode="External"/><Relationship Id="rId6" Type="http://schemas.openxmlformats.org/officeDocument/2006/relationships/hyperlink" Target="http://studio_lotus_master.xlsx/" TargetMode="External"/><Relationship Id="rId7" Type="http://schemas.openxmlformats.org/officeDocument/2006/relationships/hyperlink" Target="http://studio_lotus_master.xlsx/" TargetMode="External"/><Relationship Id="rId8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1827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10" width="16.0"/>
  </cols>
  <sheetData>
    <row r="1" ht="39.7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 t="str">
        <f>"Last refreshed: " &amp; TEXT(TODAY(),"dddd, mmmm d, yyyy")</f>
        <v>Last refreshed: Tuesday, June 2, 2026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5" t="s">
        <v>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2"/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2"/>
      <c r="B8" s="7">
        <f>COUNTIF(Master_Employees!P:P,TRUE())</f>
        <v>104</v>
      </c>
      <c r="C8" s="7">
        <f>4</f>
        <v>4</v>
      </c>
      <c r="D8" s="7">
        <f>COUNTIF(Groups!H:H,TRUE())</f>
        <v>17</v>
      </c>
      <c r="E8" s="7">
        <f>COUNTIFS(Master_Employees!O:O,"Intern",Master_Employees!P:P,TRUE())</f>
        <v>6</v>
      </c>
      <c r="F8" s="7">
        <f>COUNTIFS(Master_Employees!O:O,"Permanent",Master_Employees!P:P,TRUE())</f>
        <v>98</v>
      </c>
      <c r="G8" s="7">
        <f>SUMPRODUCT((Master_Employees!Q2:Q1000&gt;0)*1)</f>
        <v>87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"/>
      <c r="B9" s="8" t="s">
        <v>9</v>
      </c>
      <c r="C9" s="8" t="s">
        <v>10</v>
      </c>
      <c r="D9" s="8" t="s">
        <v>11</v>
      </c>
      <c r="E9" s="8" t="s">
        <v>12</v>
      </c>
      <c r="F9" s="8" t="s">
        <v>12</v>
      </c>
      <c r="G9" s="8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5" t="s">
        <v>14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2"/>
      <c r="B13" s="6" t="s">
        <v>15</v>
      </c>
      <c r="C13" s="6" t="s">
        <v>16</v>
      </c>
      <c r="D13" s="6" t="s">
        <v>17</v>
      </c>
      <c r="E13" s="6" t="s">
        <v>18</v>
      </c>
      <c r="F13" s="6" t="s">
        <v>19</v>
      </c>
      <c r="G13" s="6" t="s">
        <v>20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2"/>
      <c r="B14" s="7">
        <f>SUMPRODUCT((License_Inventory!C2:C194&lt;&gt;"")/COUNTIF(License_Inventory!C2:C194,License_Inventory!C2:C194&amp;""))</f>
        <v>11</v>
      </c>
      <c r="C14" s="7">
        <f>SUM(License_Inventory!H:H)</f>
        <v>297</v>
      </c>
      <c r="D14" s="7">
        <f>COUNTA(Licenses!A2:A4996)</f>
        <v>216</v>
      </c>
      <c r="E14" s="7">
        <f>COUNTIFS(License_Inventory!O$2:O$199,"&gt;="&amp;0,License_Inventory!O$2:O$199,"&lt;="&amp;30)</f>
        <v>2</v>
      </c>
      <c r="F14" s="7">
        <f>COUNTIFS(License_Inventory!O$2:O$199,"&lt;"&amp;0)</f>
        <v>0</v>
      </c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8" t="s">
        <v>21</v>
      </c>
      <c r="C15" s="8" t="s">
        <v>22</v>
      </c>
      <c r="D15" s="8" t="s">
        <v>23</v>
      </c>
      <c r="E15" s="8" t="s">
        <v>24</v>
      </c>
      <c r="F15" s="8" t="s">
        <v>25</v>
      </c>
      <c r="G15" s="8" t="s">
        <v>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5" t="s">
        <v>27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9" t="s">
        <v>28</v>
      </c>
      <c r="B19" s="9" t="s">
        <v>3</v>
      </c>
      <c r="C19" s="9" t="s">
        <v>5</v>
      </c>
      <c r="D19" s="9" t="s">
        <v>29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" t="s">
        <v>30</v>
      </c>
      <c r="B20" s="11">
        <f>COUNTIFS(Master_Employees!D:D,"Harsh Vardhan",Master_Employees!P:P,TRUE())</f>
        <v>28</v>
      </c>
      <c r="C20" s="11">
        <f>COUNTIFS(Groups!C:C,"Harsh Vardhan",Groups!H:H,TRUE())</f>
        <v>6</v>
      </c>
      <c r="D20" s="11">
        <f>SUMPRODUCT((Master_Employees!D2:D1000="Harsh Vardhan")*(Master_Employees!P2:P1000=TRUE())*(Master_Employees!Q2:Q1000))</f>
        <v>53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2" t="s">
        <v>31</v>
      </c>
      <c r="B21" s="11">
        <f>COUNTIFS(Master_Employees!D:D,"Ambrish Arora",Master_Employees!P:P,TRUE())</f>
        <v>25</v>
      </c>
      <c r="C21" s="11">
        <f>COUNTIFS(Groups!C:C,"Ambrish Arora",Groups!H:H,TRUE())</f>
        <v>4</v>
      </c>
      <c r="D21" s="11">
        <f>SUMPRODUCT((Master_Employees!D2:D1000="Ambrish Arora")*(Master_Employees!P2:P1000=TRUE())*(Master_Employees!Q2:Q1000))</f>
        <v>53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 t="s">
        <v>32</v>
      </c>
      <c r="B22" s="11">
        <f>COUNTIFS(Master_Employees!D:D,"Ankur Choksi",Master_Employees!P:P,TRUE())</f>
        <v>21</v>
      </c>
      <c r="C22" s="11">
        <f>COUNTIFS(Groups!C:C,"Ankur Choksi",Groups!H:H,TRUE())</f>
        <v>3</v>
      </c>
      <c r="D22" s="11">
        <f>SUMPRODUCT((Master_Employees!D2:D1000="Ankur Choksi")*(Master_Employees!P2:P1000=TRUE())*(Master_Employees!Q2:Q1000))</f>
        <v>39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" t="s">
        <v>33</v>
      </c>
      <c r="B23" s="11">
        <f>COUNTIFS(Master_Employees!D:D,"Asha Sairam",Master_Employees!P:P,TRUE())</f>
        <v>30</v>
      </c>
      <c r="C23" s="11">
        <f>COUNTIFS(Groups!C:C,"Asha Sairam",Groups!H:H,TRUE())</f>
        <v>4</v>
      </c>
      <c r="D23" s="11">
        <f>SUMPRODUCT((Master_Employees!D2:D1000="Asha Sairam")*(Master_Employees!P2:P1000=TRUE())*(Master_Employees!Q2:Q1000))</f>
        <v>62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34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15" t="s">
        <v>35</v>
      </c>
      <c r="B28" s="16" t="s">
        <v>36</v>
      </c>
      <c r="C28" s="17"/>
      <c r="D28" s="17"/>
      <c r="E28" s="17"/>
      <c r="F28" s="17"/>
      <c r="G28" s="17"/>
      <c r="H28" s="17"/>
      <c r="I28" s="17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15" t="s">
        <v>37</v>
      </c>
      <c r="B29" s="16" t="s">
        <v>38</v>
      </c>
      <c r="C29" s="17"/>
      <c r="D29" s="17"/>
      <c r="E29" s="17"/>
      <c r="F29" s="17"/>
      <c r="G29" s="17"/>
      <c r="H29" s="17"/>
      <c r="I29" s="17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5" t="s">
        <v>39</v>
      </c>
      <c r="B30" s="16" t="s">
        <v>40</v>
      </c>
      <c r="C30" s="17"/>
      <c r="D30" s="17"/>
      <c r="E30" s="17"/>
      <c r="F30" s="17"/>
      <c r="G30" s="17"/>
      <c r="H30" s="17"/>
      <c r="I30" s="17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5" t="s">
        <v>41</v>
      </c>
      <c r="B31" s="16" t="s">
        <v>42</v>
      </c>
      <c r="C31" s="17"/>
      <c r="D31" s="17"/>
      <c r="E31" s="17"/>
      <c r="F31" s="17"/>
      <c r="G31" s="17"/>
      <c r="H31" s="17"/>
      <c r="I31" s="17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5" t="s">
        <v>43</v>
      </c>
      <c r="B32" s="16" t="s">
        <v>44</v>
      </c>
      <c r="C32" s="17"/>
      <c r="D32" s="17"/>
      <c r="E32" s="17"/>
      <c r="F32" s="17"/>
      <c r="G32" s="17"/>
      <c r="H32" s="17"/>
      <c r="I32" s="17"/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5" t="s">
        <v>45</v>
      </c>
      <c r="B33" s="16" t="s">
        <v>46</v>
      </c>
      <c r="C33" s="17"/>
      <c r="D33" s="17"/>
      <c r="E33" s="17"/>
      <c r="F33" s="17"/>
      <c r="G33" s="17"/>
      <c r="H33" s="17"/>
      <c r="I33" s="17"/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5" t="s">
        <v>47</v>
      </c>
      <c r="B34" s="16" t="s">
        <v>48</v>
      </c>
      <c r="C34" s="17"/>
      <c r="D34" s="17"/>
      <c r="E34" s="17"/>
      <c r="F34" s="17"/>
      <c r="G34" s="17"/>
      <c r="H34" s="17"/>
      <c r="I34" s="17"/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5" t="s">
        <v>49</v>
      </c>
      <c r="B35" s="16" t="s">
        <v>50</v>
      </c>
      <c r="C35" s="17"/>
      <c r="D35" s="17"/>
      <c r="E35" s="17"/>
      <c r="F35" s="17"/>
      <c r="G35" s="17"/>
      <c r="H35" s="17"/>
      <c r="I35" s="17"/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0" customHeight="1">
      <c r="A37" s="18" t="s">
        <v>51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16">
    <mergeCell ref="A1:J1"/>
    <mergeCell ref="A2:J2"/>
    <mergeCell ref="A3:J3"/>
    <mergeCell ref="A5:J5"/>
    <mergeCell ref="A11:J11"/>
    <mergeCell ref="A17:J17"/>
    <mergeCell ref="A26:J26"/>
    <mergeCell ref="B35:J35"/>
    <mergeCell ref="A37:J37"/>
    <mergeCell ref="B28:J28"/>
    <mergeCell ref="B29:J29"/>
    <mergeCell ref="B30:J30"/>
    <mergeCell ref="B31:J31"/>
    <mergeCell ref="B32:J32"/>
    <mergeCell ref="B33:J33"/>
    <mergeCell ref="B34:J34"/>
  </mergeCells>
  <hyperlinks>
    <hyperlink r:id="rId1" location="License_Dashboard!A1" ref="A28"/>
    <hyperlink r:id="rId2" location="Master_Employees!A1" ref="A29"/>
    <hyperlink r:id="rId3" location="Licenses!A1" ref="A30"/>
    <hyperlink r:id="rId4" location="License_Inventory!A1" ref="A31"/>
    <hyperlink r:id="rId5" location="Expiring_Soon!A1" ref="A32"/>
    <hyperlink r:id="rId6" location="Group_License_View!A1" ref="A33"/>
    <hyperlink r:id="rId7" location="User_License_Matrix!A1" ref="A34"/>
    <hyperlink r:id="rId8" location="Live_Org_Chart!A1" ref="A35"/>
  </hyperlinks>
  <printOptions/>
  <pageMargins bottom="1.0" footer="0.0" header="0.0" left="0.75" right="0.75" top="1.0"/>
  <pageSetup paperSize="9"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C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32.43"/>
    <col customWidth="1" min="4" max="5" width="18.0"/>
    <col customWidth="1" min="6" max="6" width="26.0"/>
    <col customWidth="1" min="7" max="7" width="22.0"/>
    <col customWidth="1" min="8" max="8" width="14.0"/>
    <col customWidth="1" min="9" max="10" width="22.0"/>
    <col customWidth="1" min="11" max="12" width="18.0"/>
    <col customWidth="1" min="13" max="13" width="16.0"/>
    <col customWidth="1" min="14" max="14" width="32.0"/>
    <col customWidth="1" min="15" max="17" width="14.0"/>
    <col customWidth="1" min="18" max="18" width="30.0"/>
    <col customWidth="1" min="19" max="19" width="10.86"/>
    <col customWidth="1" min="20" max="20" width="14.0"/>
    <col customWidth="1" min="21" max="21" width="40.0"/>
    <col customWidth="1" min="22" max="22" width="26.0"/>
    <col customWidth="1" min="23" max="23" width="14.0"/>
  </cols>
  <sheetData>
    <row r="1" ht="27.75" customHeight="1">
      <c r="A1" s="9" t="s">
        <v>52</v>
      </c>
      <c r="B1" s="9" t="s">
        <v>53</v>
      </c>
      <c r="C1" s="9" t="s">
        <v>54</v>
      </c>
      <c r="D1" s="9" t="s">
        <v>28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19" t="s">
        <v>69</v>
      </c>
      <c r="T1" s="20" t="s">
        <v>70</v>
      </c>
      <c r="U1" s="20" t="s">
        <v>71</v>
      </c>
      <c r="V1" s="20" t="s">
        <v>72</v>
      </c>
      <c r="W1" s="20" t="s">
        <v>73</v>
      </c>
      <c r="X1" s="2"/>
      <c r="Y1" s="2"/>
      <c r="Z1" s="2"/>
    </row>
    <row r="2" ht="15.0" customHeight="1">
      <c r="A2" s="21" t="s">
        <v>74</v>
      </c>
      <c r="B2" s="21" t="s">
        <v>30</v>
      </c>
      <c r="C2" s="21" t="s">
        <v>75</v>
      </c>
      <c r="D2" s="21" t="str">
        <f>IFERROR(VLOOKUP(E2,Groups!$A:$I,3,FALSE()),"Unassigned")</f>
        <v>Harsh Vardhan</v>
      </c>
      <c r="E2" s="21" t="s">
        <v>76</v>
      </c>
      <c r="F2" s="21" t="str">
        <f>IFERROR(VLOOKUP(E2,Groups!$A:$I,2,FALSE()),"Unassigned")</f>
        <v>Homes</v>
      </c>
      <c r="G2" s="21" t="str">
        <f>IFERROR(VLOOKUP(E2,Groups!$A:$I,4,FALSE()),"Direct Reports")</f>
        <v>Harsh Vardhan</v>
      </c>
      <c r="H2" s="21" t="str">
        <f t="shared" ref="H2:H300" si="1">IF(OR(P2=FALSE(),P2="FALSE"),"Excluded",IF(B2=D2,"Principal",IF(B2=G2,"Team Lead","Member")))</f>
        <v>Principal</v>
      </c>
      <c r="I2" s="21" t="s">
        <v>28</v>
      </c>
      <c r="J2" s="21" t="s">
        <v>31</v>
      </c>
      <c r="K2" s="21" t="s">
        <v>77</v>
      </c>
      <c r="L2" s="21"/>
      <c r="M2" s="21" t="s">
        <v>78</v>
      </c>
      <c r="N2" s="21" t="s">
        <v>79</v>
      </c>
      <c r="O2" s="21" t="s">
        <v>7</v>
      </c>
      <c r="P2" s="21" t="b">
        <f t="shared" ref="P2:P105" si="2">TRUE()</f>
        <v>1</v>
      </c>
      <c r="Q2" s="21">
        <f>COUNTIF(Licenses!$A:$A,C2)</f>
        <v>0</v>
      </c>
      <c r="R2" s="21"/>
      <c r="S2" s="22">
        <v>42979.0</v>
      </c>
      <c r="T2" s="23"/>
      <c r="U2" s="23"/>
      <c r="V2" s="24" t="s">
        <v>28</v>
      </c>
      <c r="W2" s="24" t="s">
        <v>80</v>
      </c>
      <c r="X2" s="2"/>
      <c r="Y2" s="2"/>
      <c r="Z2" s="2"/>
    </row>
    <row r="3" ht="23.25" customHeight="1">
      <c r="A3" s="25" t="s">
        <v>81</v>
      </c>
      <c r="B3" s="25" t="s">
        <v>82</v>
      </c>
      <c r="C3" s="25" t="s">
        <v>83</v>
      </c>
      <c r="D3" s="25" t="str">
        <f>IFERROR(VLOOKUP(E3,Groups!$A:$I,3,FALSE()),"Unassigned")</f>
        <v>Harsh Vardhan</v>
      </c>
      <c r="E3" s="25" t="s">
        <v>76</v>
      </c>
      <c r="F3" s="25" t="str">
        <f>IFERROR(VLOOKUP(E3,Groups!$A:$I,2,FALSE()),"Unassigned")</f>
        <v>Homes</v>
      </c>
      <c r="G3" s="25" t="str">
        <f>IFERROR(VLOOKUP(E3,Groups!$A:$I,4,FALSE()),"Direct Reports")</f>
        <v>Harsh Vardhan</v>
      </c>
      <c r="H3" s="25" t="str">
        <f t="shared" si="1"/>
        <v>Member</v>
      </c>
      <c r="I3" s="25" t="s">
        <v>84</v>
      </c>
      <c r="J3" s="25" t="s">
        <v>30</v>
      </c>
      <c r="K3" s="25" t="s">
        <v>74</v>
      </c>
      <c r="L3" s="25"/>
      <c r="M3" s="25" t="s">
        <v>85</v>
      </c>
      <c r="N3" s="25" t="s">
        <v>86</v>
      </c>
      <c r="O3" s="25" t="s">
        <v>7</v>
      </c>
      <c r="P3" s="25" t="b">
        <f t="shared" si="2"/>
        <v>1</v>
      </c>
      <c r="Q3" s="25">
        <f>COUNTIF(Licenses!$A:$A,C3)</f>
        <v>3</v>
      </c>
      <c r="R3" s="25"/>
      <c r="S3" s="26">
        <v>45139.0</v>
      </c>
      <c r="T3" s="23"/>
      <c r="U3" s="23"/>
      <c r="V3" s="24" t="s">
        <v>87</v>
      </c>
      <c r="W3" s="24" t="s">
        <v>88</v>
      </c>
      <c r="X3" s="2"/>
      <c r="Y3" s="2"/>
      <c r="Z3" s="2"/>
    </row>
    <row r="4" ht="23.25" customHeight="1">
      <c r="A4" s="25" t="s">
        <v>89</v>
      </c>
      <c r="B4" s="25" t="s">
        <v>90</v>
      </c>
      <c r="C4" s="25" t="s">
        <v>91</v>
      </c>
      <c r="D4" s="25" t="str">
        <f>IFERROR(VLOOKUP(E4,Groups!$A:$I,3,FALSE()),"Unassigned")</f>
        <v>Harsh Vardhan</v>
      </c>
      <c r="E4" s="25" t="s">
        <v>76</v>
      </c>
      <c r="F4" s="25" t="str">
        <f>IFERROR(VLOOKUP(E4,Groups!$A:$I,2,FALSE()),"Unassigned")</f>
        <v>Homes</v>
      </c>
      <c r="G4" s="25" t="str">
        <f>IFERROR(VLOOKUP(E4,Groups!$A:$I,4,FALSE()),"Direct Reports")</f>
        <v>Harsh Vardhan</v>
      </c>
      <c r="H4" s="25" t="str">
        <f t="shared" si="1"/>
        <v>Member</v>
      </c>
      <c r="I4" s="25" t="s">
        <v>92</v>
      </c>
      <c r="J4" s="25" t="s">
        <v>30</v>
      </c>
      <c r="K4" s="25" t="s">
        <v>74</v>
      </c>
      <c r="L4" s="25"/>
      <c r="M4" s="25" t="s">
        <v>85</v>
      </c>
      <c r="N4" s="25" t="s">
        <v>86</v>
      </c>
      <c r="O4" s="25" t="s">
        <v>7</v>
      </c>
      <c r="P4" s="25" t="b">
        <f t="shared" si="2"/>
        <v>1</v>
      </c>
      <c r="Q4" s="25">
        <f>COUNTIF(Licenses!$A:$A,C4)</f>
        <v>3</v>
      </c>
      <c r="R4" s="25"/>
      <c r="S4" s="26">
        <v>45355.0</v>
      </c>
      <c r="T4" s="23"/>
      <c r="U4" s="23"/>
      <c r="V4" s="24" t="s">
        <v>93</v>
      </c>
      <c r="W4" s="24" t="s">
        <v>94</v>
      </c>
      <c r="X4" s="2"/>
      <c r="Y4" s="2"/>
      <c r="Z4" s="2"/>
    </row>
    <row r="5" ht="23.25" customHeight="1">
      <c r="A5" s="27" t="s">
        <v>95</v>
      </c>
      <c r="B5" s="27" t="s">
        <v>96</v>
      </c>
      <c r="C5" s="27" t="s">
        <v>97</v>
      </c>
      <c r="D5" s="27" t="str">
        <f>IFERROR(VLOOKUP(E5,Groups!$A:$I,3,FALSE()),"Unassigned")</f>
        <v>Harsh Vardhan</v>
      </c>
      <c r="E5" s="27" t="s">
        <v>98</v>
      </c>
      <c r="F5" s="27" t="str">
        <f>IFERROR(VLOOKUP(E5,Groups!$A:$I,2,FALSE()),"Unassigned")</f>
        <v>Admin &amp; Infra</v>
      </c>
      <c r="G5" s="27" t="str">
        <f>IFERROR(VLOOKUP(E5,Groups!$A:$I,4,FALSE()),"Direct Reports")</f>
        <v>Kavita Chatola</v>
      </c>
      <c r="H5" s="27" t="str">
        <f t="shared" si="1"/>
        <v>Team Lead</v>
      </c>
      <c r="I5" s="27" t="s">
        <v>99</v>
      </c>
      <c r="J5" s="27" t="s">
        <v>30</v>
      </c>
      <c r="K5" s="27" t="s">
        <v>74</v>
      </c>
      <c r="L5" s="27"/>
      <c r="M5" s="27" t="s">
        <v>78</v>
      </c>
      <c r="N5" s="27" t="s">
        <v>79</v>
      </c>
      <c r="O5" s="27" t="s">
        <v>7</v>
      </c>
      <c r="P5" s="27" t="b">
        <f t="shared" si="2"/>
        <v>1</v>
      </c>
      <c r="Q5" s="27">
        <f>COUNTIF(Licenses!$A:$A,C5)</f>
        <v>2</v>
      </c>
      <c r="R5" s="27"/>
      <c r="S5" s="28">
        <v>40692.0</v>
      </c>
      <c r="T5" s="23"/>
      <c r="U5" s="23"/>
      <c r="V5" s="24" t="s">
        <v>100</v>
      </c>
      <c r="W5" s="24" t="s">
        <v>101</v>
      </c>
      <c r="X5" s="2"/>
      <c r="Y5" s="2"/>
      <c r="Z5" s="2"/>
    </row>
    <row r="6" ht="23.25" customHeight="1">
      <c r="A6" s="25" t="s">
        <v>102</v>
      </c>
      <c r="B6" s="25" t="s">
        <v>103</v>
      </c>
      <c r="C6" s="25" t="s">
        <v>104</v>
      </c>
      <c r="D6" s="25" t="str">
        <f>IFERROR(VLOOKUP(E6,Groups!$A:$I,3,FALSE()),"Unassigned")</f>
        <v>Harsh Vardhan</v>
      </c>
      <c r="E6" s="25" t="s">
        <v>76</v>
      </c>
      <c r="F6" s="25" t="str">
        <f>IFERROR(VLOOKUP(E6,Groups!$A:$I,2,FALSE()),"Unassigned")</f>
        <v>Homes</v>
      </c>
      <c r="G6" s="25" t="str">
        <f>IFERROR(VLOOKUP(E6,Groups!$A:$I,4,FALSE()),"Direct Reports")</f>
        <v>Harsh Vardhan</v>
      </c>
      <c r="H6" s="25" t="str">
        <f t="shared" si="1"/>
        <v>Member</v>
      </c>
      <c r="I6" s="25" t="s">
        <v>84</v>
      </c>
      <c r="J6" s="25" t="s">
        <v>30</v>
      </c>
      <c r="K6" s="25" t="s">
        <v>74</v>
      </c>
      <c r="L6" s="25"/>
      <c r="M6" s="25" t="s">
        <v>85</v>
      </c>
      <c r="N6" s="25" t="s">
        <v>86</v>
      </c>
      <c r="O6" s="25" t="s">
        <v>7</v>
      </c>
      <c r="P6" s="25" t="b">
        <f t="shared" si="2"/>
        <v>1</v>
      </c>
      <c r="Q6" s="25">
        <f>COUNTIF(Licenses!$A:$A,C6)</f>
        <v>2</v>
      </c>
      <c r="R6" s="25"/>
      <c r="S6" s="26">
        <v>44879.0</v>
      </c>
      <c r="T6" s="23"/>
      <c r="U6" s="23"/>
      <c r="V6" s="24" t="s">
        <v>87</v>
      </c>
      <c r="W6" s="24" t="s">
        <v>88</v>
      </c>
      <c r="X6" s="2"/>
      <c r="Y6" s="2"/>
      <c r="Z6" s="2"/>
    </row>
    <row r="7" ht="23.25" customHeight="1">
      <c r="A7" s="25" t="s">
        <v>105</v>
      </c>
      <c r="B7" s="25" t="s">
        <v>106</v>
      </c>
      <c r="C7" s="25" t="s">
        <v>107</v>
      </c>
      <c r="D7" s="25" t="str">
        <f>IFERROR(VLOOKUP(E7,Groups!$A:$I,3,FALSE()),"Unassigned")</f>
        <v>Harsh Vardhan</v>
      </c>
      <c r="E7" s="25" t="s">
        <v>76</v>
      </c>
      <c r="F7" s="25" t="str">
        <f>IFERROR(VLOOKUP(E7,Groups!$A:$I,2,FALSE()),"Unassigned")</f>
        <v>Homes</v>
      </c>
      <c r="G7" s="25" t="str">
        <f>IFERROR(VLOOKUP(E7,Groups!$A:$I,4,FALSE()),"Direct Reports")</f>
        <v>Harsh Vardhan</v>
      </c>
      <c r="H7" s="25" t="str">
        <f t="shared" si="1"/>
        <v>Member</v>
      </c>
      <c r="I7" s="25" t="s">
        <v>92</v>
      </c>
      <c r="J7" s="25" t="s">
        <v>30</v>
      </c>
      <c r="K7" s="25" t="s">
        <v>74</v>
      </c>
      <c r="L7" s="25"/>
      <c r="M7" s="25" t="s">
        <v>85</v>
      </c>
      <c r="N7" s="25" t="s">
        <v>86</v>
      </c>
      <c r="O7" s="25" t="s">
        <v>7</v>
      </c>
      <c r="P7" s="25" t="b">
        <f t="shared" si="2"/>
        <v>1</v>
      </c>
      <c r="Q7" s="25">
        <f>COUNTIF(Licenses!$A:$A,C7)</f>
        <v>2</v>
      </c>
      <c r="R7" s="25"/>
      <c r="S7" s="26">
        <v>45539.0</v>
      </c>
      <c r="T7" s="23"/>
      <c r="U7" s="23"/>
      <c r="V7" s="24" t="s">
        <v>93</v>
      </c>
      <c r="W7" s="24" t="s">
        <v>94</v>
      </c>
      <c r="X7" s="2"/>
      <c r="Y7" s="2"/>
      <c r="Z7" s="2"/>
    </row>
    <row r="8" ht="23.25" customHeight="1">
      <c r="A8" s="29" t="s">
        <v>108</v>
      </c>
      <c r="B8" s="29" t="s">
        <v>109</v>
      </c>
      <c r="C8" s="29" t="s">
        <v>110</v>
      </c>
      <c r="D8" s="29" t="str">
        <f>IFERROR(VLOOKUP(E8,Groups!$A:$I,3,FALSE()),"Unassigned")</f>
        <v>Harsh Vardhan</v>
      </c>
      <c r="E8" s="29" t="s">
        <v>111</v>
      </c>
      <c r="F8" s="29" t="str">
        <f>IFERROR(VLOOKUP(E8,Groups!$A:$I,2,FALSE()),"Unassigned")</f>
        <v>BD &amp; Comms</v>
      </c>
      <c r="G8" s="29" t="str">
        <f>IFERROR(VLOOKUP(E8,Groups!$A:$I,4,FALSE()),"Direct Reports")</f>
        <v>Amita Goel</v>
      </c>
      <c r="H8" s="29" t="str">
        <f t="shared" si="1"/>
        <v>Member</v>
      </c>
      <c r="I8" s="29" t="s">
        <v>112</v>
      </c>
      <c r="J8" s="29" t="s">
        <v>30</v>
      </c>
      <c r="K8" s="29" t="s">
        <v>74</v>
      </c>
      <c r="L8" s="29"/>
      <c r="M8" s="29" t="s">
        <v>78</v>
      </c>
      <c r="N8" s="29" t="s">
        <v>79</v>
      </c>
      <c r="O8" s="29" t="s">
        <v>7</v>
      </c>
      <c r="P8" s="29" t="b">
        <f t="shared" si="2"/>
        <v>1</v>
      </c>
      <c r="Q8" s="29">
        <f>COUNTIF(Licenses!$A:$A,C8)</f>
        <v>2</v>
      </c>
      <c r="R8" s="29"/>
      <c r="S8" s="30">
        <v>43556.0</v>
      </c>
      <c r="T8" s="23"/>
      <c r="U8" s="23"/>
      <c r="V8" s="24" t="s">
        <v>100</v>
      </c>
      <c r="W8" s="24" t="s">
        <v>101</v>
      </c>
      <c r="X8" s="2"/>
      <c r="Y8" s="2"/>
      <c r="Z8" s="2"/>
    </row>
    <row r="9" ht="23.25" customHeight="1">
      <c r="A9" s="25" t="s">
        <v>113</v>
      </c>
      <c r="B9" s="25" t="s">
        <v>114</v>
      </c>
      <c r="C9" s="25" t="s">
        <v>115</v>
      </c>
      <c r="D9" s="25" t="str">
        <f>IFERROR(VLOOKUP(E9,Groups!$A:$I,3,FALSE()),"Unassigned")</f>
        <v>Harsh Vardhan</v>
      </c>
      <c r="E9" s="25" t="s">
        <v>76</v>
      </c>
      <c r="F9" s="25" t="str">
        <f>IFERROR(VLOOKUP(E9,Groups!$A:$I,2,FALSE()),"Unassigned")</f>
        <v>Homes</v>
      </c>
      <c r="G9" s="25" t="str">
        <f>IFERROR(VLOOKUP(E9,Groups!$A:$I,4,FALSE()),"Direct Reports")</f>
        <v>Harsh Vardhan</v>
      </c>
      <c r="H9" s="25" t="str">
        <f t="shared" si="1"/>
        <v>Member</v>
      </c>
      <c r="I9" s="25" t="s">
        <v>116</v>
      </c>
      <c r="J9" s="25" t="s">
        <v>30</v>
      </c>
      <c r="K9" s="25" t="s">
        <v>74</v>
      </c>
      <c r="L9" s="25"/>
      <c r="M9" s="25" t="s">
        <v>85</v>
      </c>
      <c r="N9" s="25" t="s">
        <v>86</v>
      </c>
      <c r="O9" s="25" t="s">
        <v>7</v>
      </c>
      <c r="P9" s="25" t="b">
        <f t="shared" si="2"/>
        <v>1</v>
      </c>
      <c r="Q9" s="25">
        <f>COUNTIF(Licenses!$A:$A,C9)</f>
        <v>2</v>
      </c>
      <c r="R9" s="25"/>
      <c r="S9" s="26">
        <v>45909.0</v>
      </c>
      <c r="T9" s="23"/>
      <c r="U9" s="23"/>
      <c r="V9" s="24" t="s">
        <v>117</v>
      </c>
      <c r="W9" s="24" t="s">
        <v>118</v>
      </c>
      <c r="X9" s="2"/>
      <c r="Y9" s="2"/>
      <c r="Z9" s="2"/>
    </row>
    <row r="10" ht="23.25" customHeight="1">
      <c r="A10" s="25" t="s">
        <v>119</v>
      </c>
      <c r="B10" s="25" t="s">
        <v>120</v>
      </c>
      <c r="C10" s="25" t="s">
        <v>121</v>
      </c>
      <c r="D10" s="25" t="str">
        <f>IFERROR(VLOOKUP(E10,Groups!$A:$I,3,FALSE()),"Unassigned")</f>
        <v>Harsh Vardhan</v>
      </c>
      <c r="E10" s="25" t="s">
        <v>76</v>
      </c>
      <c r="F10" s="25" t="str">
        <f>IFERROR(VLOOKUP(E10,Groups!$A:$I,2,FALSE()),"Unassigned")</f>
        <v>Homes</v>
      </c>
      <c r="G10" s="25" t="str">
        <f>IFERROR(VLOOKUP(E10,Groups!$A:$I,4,FALSE()),"Direct Reports")</f>
        <v>Harsh Vardhan</v>
      </c>
      <c r="H10" s="25" t="str">
        <f t="shared" si="1"/>
        <v>Member</v>
      </c>
      <c r="I10" s="25" t="s">
        <v>122</v>
      </c>
      <c r="J10" s="25" t="s">
        <v>114</v>
      </c>
      <c r="K10" s="25" t="s">
        <v>113</v>
      </c>
      <c r="L10" s="25"/>
      <c r="M10" s="25" t="s">
        <v>85</v>
      </c>
      <c r="N10" s="25" t="s">
        <v>86</v>
      </c>
      <c r="O10" s="25" t="s">
        <v>122</v>
      </c>
      <c r="P10" s="25" t="b">
        <f t="shared" si="2"/>
        <v>1</v>
      </c>
      <c r="Q10" s="25">
        <f>COUNTIF(Licenses!$A:$A,C10)</f>
        <v>1</v>
      </c>
      <c r="R10" s="25"/>
      <c r="S10" s="26">
        <v>46055.0</v>
      </c>
      <c r="T10" s="23"/>
      <c r="U10" s="23"/>
      <c r="V10" s="24" t="s">
        <v>122</v>
      </c>
      <c r="W10" s="24" t="s">
        <v>123</v>
      </c>
      <c r="X10" s="2"/>
      <c r="Y10" s="2"/>
      <c r="Z10" s="2"/>
    </row>
    <row r="11" ht="15.0" customHeight="1">
      <c r="A11" s="31" t="s">
        <v>124</v>
      </c>
      <c r="B11" s="31" t="s">
        <v>125</v>
      </c>
      <c r="C11" s="31" t="s">
        <v>126</v>
      </c>
      <c r="D11" s="31" t="str">
        <f>IFERROR(VLOOKUP(E11,Groups!$A:$I,3,FALSE()),"Unassigned")</f>
        <v>Harsh Vardhan</v>
      </c>
      <c r="E11" s="31" t="s">
        <v>111</v>
      </c>
      <c r="F11" s="31" t="str">
        <f>IFERROR(VLOOKUP(E11,Groups!$A:$I,2,FALSE()),"Unassigned")</f>
        <v>BD &amp; Comms</v>
      </c>
      <c r="G11" s="31" t="str">
        <f>IFERROR(VLOOKUP(E11,Groups!$A:$I,4,FALSE()),"Direct Reports")</f>
        <v>Amita Goel</v>
      </c>
      <c r="H11" s="31" t="str">
        <f t="shared" si="1"/>
        <v>Team Lead</v>
      </c>
      <c r="I11" s="31" t="s">
        <v>127</v>
      </c>
      <c r="J11" s="31" t="s">
        <v>30</v>
      </c>
      <c r="K11" s="31" t="s">
        <v>74</v>
      </c>
      <c r="L11" s="31"/>
      <c r="M11" s="31" t="s">
        <v>78</v>
      </c>
      <c r="N11" s="31" t="s">
        <v>79</v>
      </c>
      <c r="O11" s="31" t="s">
        <v>7</v>
      </c>
      <c r="P11" s="31" t="b">
        <f t="shared" si="2"/>
        <v>1</v>
      </c>
      <c r="Q11" s="31">
        <f>COUNTIF(Licenses!$A:$A,C11)</f>
        <v>1</v>
      </c>
      <c r="R11" s="31"/>
      <c r="S11" s="32">
        <v>45082.0</v>
      </c>
      <c r="T11" s="23"/>
      <c r="U11" s="23"/>
      <c r="V11" s="24" t="s">
        <v>127</v>
      </c>
      <c r="W11" s="24" t="s">
        <v>128</v>
      </c>
      <c r="X11" s="2"/>
      <c r="Y11" s="2"/>
      <c r="Z11" s="2"/>
    </row>
    <row r="12" ht="15.0" customHeight="1">
      <c r="A12" s="29" t="s">
        <v>129</v>
      </c>
      <c r="B12" s="29" t="s">
        <v>130</v>
      </c>
      <c r="C12" s="29" t="s">
        <v>131</v>
      </c>
      <c r="D12" s="29" t="str">
        <f>IFERROR(VLOOKUP(E12,Groups!$A:$I,3,FALSE()),"Unassigned")</f>
        <v>Harsh Vardhan</v>
      </c>
      <c r="E12" s="29" t="s">
        <v>111</v>
      </c>
      <c r="F12" s="29" t="str">
        <f>IFERROR(VLOOKUP(E12,Groups!$A:$I,2,FALSE()),"Unassigned")</f>
        <v>BD &amp; Comms</v>
      </c>
      <c r="G12" s="29" t="str">
        <f>IFERROR(VLOOKUP(E12,Groups!$A:$I,4,FALSE()),"Direct Reports")</f>
        <v>Amita Goel</v>
      </c>
      <c r="H12" s="29" t="str">
        <f t="shared" si="1"/>
        <v>Member</v>
      </c>
      <c r="I12" s="29" t="s">
        <v>132</v>
      </c>
      <c r="J12" s="29" t="s">
        <v>125</v>
      </c>
      <c r="K12" s="29" t="s">
        <v>124</v>
      </c>
      <c r="L12" s="29"/>
      <c r="M12" s="29" t="s">
        <v>78</v>
      </c>
      <c r="N12" s="29" t="s">
        <v>79</v>
      </c>
      <c r="O12" s="29" t="s">
        <v>7</v>
      </c>
      <c r="P12" s="29" t="b">
        <f t="shared" si="2"/>
        <v>1</v>
      </c>
      <c r="Q12" s="29">
        <f>COUNTIF(Licenses!$A:$A,C12)</f>
        <v>6</v>
      </c>
      <c r="R12" s="29"/>
      <c r="S12" s="30">
        <v>45166.0</v>
      </c>
      <c r="T12" s="23"/>
      <c r="U12" s="23"/>
      <c r="V12" s="24" t="s">
        <v>100</v>
      </c>
      <c r="W12" s="24" t="s">
        <v>101</v>
      </c>
      <c r="X12" s="2"/>
      <c r="Y12" s="2"/>
      <c r="Z12" s="2"/>
    </row>
    <row r="13" ht="23.25" customHeight="1">
      <c r="A13" s="29" t="s">
        <v>133</v>
      </c>
      <c r="B13" s="29" t="s">
        <v>134</v>
      </c>
      <c r="C13" s="29" t="s">
        <v>135</v>
      </c>
      <c r="D13" s="29" t="str">
        <f>IFERROR(VLOOKUP(E13,Groups!$A:$I,3,FALSE()),"Unassigned")</f>
        <v>Harsh Vardhan</v>
      </c>
      <c r="E13" s="29" t="s">
        <v>111</v>
      </c>
      <c r="F13" s="29" t="str">
        <f>IFERROR(VLOOKUP(E13,Groups!$A:$I,2,FALSE()),"Unassigned")</f>
        <v>BD &amp; Comms</v>
      </c>
      <c r="G13" s="29" t="str">
        <f>IFERROR(VLOOKUP(E13,Groups!$A:$I,4,FALSE()),"Direct Reports")</f>
        <v>Amita Goel</v>
      </c>
      <c r="H13" s="29" t="str">
        <f t="shared" si="1"/>
        <v>Member</v>
      </c>
      <c r="I13" s="29" t="s">
        <v>136</v>
      </c>
      <c r="J13" s="29" t="s">
        <v>125</v>
      </c>
      <c r="K13" s="29" t="s">
        <v>124</v>
      </c>
      <c r="L13" s="29"/>
      <c r="M13" s="29" t="s">
        <v>78</v>
      </c>
      <c r="N13" s="29" t="s">
        <v>79</v>
      </c>
      <c r="O13" s="29" t="s">
        <v>7</v>
      </c>
      <c r="P13" s="29" t="b">
        <f t="shared" si="2"/>
        <v>1</v>
      </c>
      <c r="Q13" s="29">
        <f>COUNTIF(Licenses!$A:$A,C13)</f>
        <v>6</v>
      </c>
      <c r="R13" s="29"/>
      <c r="S13" s="30">
        <v>45119.0</v>
      </c>
      <c r="T13" s="23"/>
      <c r="U13" s="23"/>
      <c r="V13" s="24" t="s">
        <v>100</v>
      </c>
      <c r="W13" s="24" t="s">
        <v>101</v>
      </c>
      <c r="X13" s="2"/>
      <c r="Y13" s="2"/>
      <c r="Z13" s="2"/>
    </row>
    <row r="14" ht="23.25" customHeight="1">
      <c r="A14" s="29" t="s">
        <v>137</v>
      </c>
      <c r="B14" s="29" t="s">
        <v>138</v>
      </c>
      <c r="C14" s="29" t="s">
        <v>139</v>
      </c>
      <c r="D14" s="29" t="str">
        <f>IFERROR(VLOOKUP(E14,Groups!$A:$I,3,FALSE()),"Unassigned")</f>
        <v>Harsh Vardhan</v>
      </c>
      <c r="E14" s="29" t="s">
        <v>111</v>
      </c>
      <c r="F14" s="29" t="str">
        <f>IFERROR(VLOOKUP(E14,Groups!$A:$I,2,FALSE()),"Unassigned")</f>
        <v>BD &amp; Comms</v>
      </c>
      <c r="G14" s="29" t="str">
        <f>IFERROR(VLOOKUP(E14,Groups!$A:$I,4,FALSE()),"Direct Reports")</f>
        <v>Amita Goel</v>
      </c>
      <c r="H14" s="29" t="str">
        <f t="shared" si="1"/>
        <v>Member</v>
      </c>
      <c r="I14" s="29" t="s">
        <v>92</v>
      </c>
      <c r="J14" s="29" t="s">
        <v>125</v>
      </c>
      <c r="K14" s="29" t="s">
        <v>124</v>
      </c>
      <c r="L14" s="29"/>
      <c r="M14" s="29" t="s">
        <v>78</v>
      </c>
      <c r="N14" s="29" t="s">
        <v>79</v>
      </c>
      <c r="O14" s="29" t="s">
        <v>7</v>
      </c>
      <c r="P14" s="29" t="b">
        <f t="shared" si="2"/>
        <v>1</v>
      </c>
      <c r="Q14" s="29">
        <f>COUNTIF(Licenses!$A:$A,C14)</f>
        <v>2</v>
      </c>
      <c r="R14" s="29"/>
      <c r="S14" s="30">
        <v>46027.0</v>
      </c>
      <c r="T14" s="23"/>
      <c r="U14" s="23"/>
      <c r="V14" s="24" t="s">
        <v>93</v>
      </c>
      <c r="W14" s="24" t="s">
        <v>94</v>
      </c>
      <c r="X14" s="2"/>
      <c r="Y14" s="2"/>
      <c r="Z14" s="2"/>
    </row>
    <row r="15" ht="15.0" customHeight="1">
      <c r="A15" s="33" t="s">
        <v>140</v>
      </c>
      <c r="B15" s="33" t="s">
        <v>141</v>
      </c>
      <c r="C15" s="33" t="s">
        <v>142</v>
      </c>
      <c r="D15" s="33" t="str">
        <f>IFERROR(VLOOKUP(E15,Groups!$A:$I,3,FALSE()),"Unassigned")</f>
        <v>Harsh Vardhan</v>
      </c>
      <c r="E15" s="33" t="s">
        <v>98</v>
      </c>
      <c r="F15" s="33" t="str">
        <f>IFERROR(VLOOKUP(E15,Groups!$A:$I,2,FALSE()),"Unassigned")</f>
        <v>Admin &amp; Infra</v>
      </c>
      <c r="G15" s="33" t="str">
        <f>IFERROR(VLOOKUP(E15,Groups!$A:$I,4,FALSE()),"Direct Reports")</f>
        <v>Kavita Chatola</v>
      </c>
      <c r="H15" s="33" t="str">
        <f t="shared" si="1"/>
        <v>Member</v>
      </c>
      <c r="I15" s="33" t="s">
        <v>143</v>
      </c>
      <c r="J15" s="33" t="s">
        <v>30</v>
      </c>
      <c r="K15" s="33" t="s">
        <v>74</v>
      </c>
      <c r="L15" s="33"/>
      <c r="M15" s="33" t="s">
        <v>78</v>
      </c>
      <c r="N15" s="33" t="s">
        <v>79</v>
      </c>
      <c r="O15" s="33" t="s">
        <v>7</v>
      </c>
      <c r="P15" s="33" t="b">
        <f t="shared" si="2"/>
        <v>1</v>
      </c>
      <c r="Q15" s="33">
        <f>COUNTIF(Licenses!$A:$A,C15)</f>
        <v>2</v>
      </c>
      <c r="R15" s="33"/>
      <c r="S15" s="34">
        <v>45313.0</v>
      </c>
      <c r="T15" s="23"/>
      <c r="U15" s="23"/>
      <c r="V15" s="24" t="s">
        <v>100</v>
      </c>
      <c r="W15" s="24" t="s">
        <v>101</v>
      </c>
      <c r="X15" s="2"/>
      <c r="Y15" s="2"/>
      <c r="Z15" s="2"/>
    </row>
    <row r="16" ht="15.0" customHeight="1">
      <c r="A16" s="33" t="s">
        <v>144</v>
      </c>
      <c r="B16" s="33" t="s">
        <v>145</v>
      </c>
      <c r="C16" s="33" t="s">
        <v>146</v>
      </c>
      <c r="D16" s="33" t="str">
        <f>IFERROR(VLOOKUP(E16,Groups!$A:$I,3,FALSE()),"Unassigned")</f>
        <v>Harsh Vardhan</v>
      </c>
      <c r="E16" s="33" t="s">
        <v>98</v>
      </c>
      <c r="F16" s="33" t="str">
        <f>IFERROR(VLOOKUP(E16,Groups!$A:$I,2,FALSE()),"Unassigned")</f>
        <v>Admin &amp; Infra</v>
      </c>
      <c r="G16" s="33" t="str">
        <f>IFERROR(VLOOKUP(E16,Groups!$A:$I,4,FALSE()),"Direct Reports")</f>
        <v>Kavita Chatola</v>
      </c>
      <c r="H16" s="33" t="str">
        <f t="shared" si="1"/>
        <v>Member</v>
      </c>
      <c r="I16" s="33" t="s">
        <v>147</v>
      </c>
      <c r="J16" s="33" t="s">
        <v>141</v>
      </c>
      <c r="K16" s="33" t="s">
        <v>140</v>
      </c>
      <c r="L16" s="33"/>
      <c r="M16" s="33" t="s">
        <v>78</v>
      </c>
      <c r="N16" s="33" t="s">
        <v>79</v>
      </c>
      <c r="O16" s="33" t="s">
        <v>7</v>
      </c>
      <c r="P16" s="33" t="b">
        <f t="shared" si="2"/>
        <v>1</v>
      </c>
      <c r="Q16" s="33">
        <f>COUNTIF(Licenses!$A:$A,C16)</f>
        <v>0</v>
      </c>
      <c r="R16" s="33"/>
      <c r="S16" s="34">
        <v>42095.0</v>
      </c>
      <c r="T16" s="23"/>
      <c r="U16" s="23"/>
      <c r="V16" s="24" t="s">
        <v>100</v>
      </c>
      <c r="W16" s="24" t="s">
        <v>101</v>
      </c>
      <c r="X16" s="2"/>
      <c r="Y16" s="2"/>
      <c r="Z16" s="2"/>
    </row>
    <row r="17" ht="23.25" customHeight="1">
      <c r="A17" s="33" t="s">
        <v>148</v>
      </c>
      <c r="B17" s="33" t="s">
        <v>149</v>
      </c>
      <c r="C17" s="33" t="s">
        <v>150</v>
      </c>
      <c r="D17" s="33" t="str">
        <f>IFERROR(VLOOKUP(E17,Groups!$A:$I,3,FALSE()),"Unassigned")</f>
        <v>Harsh Vardhan</v>
      </c>
      <c r="E17" s="33" t="s">
        <v>98</v>
      </c>
      <c r="F17" s="33" t="str">
        <f>IFERROR(VLOOKUP(E17,Groups!$A:$I,2,FALSE()),"Unassigned")</f>
        <v>Admin &amp; Infra</v>
      </c>
      <c r="G17" s="33" t="str">
        <f>IFERROR(VLOOKUP(E17,Groups!$A:$I,4,FALSE()),"Direct Reports")</f>
        <v>Kavita Chatola</v>
      </c>
      <c r="H17" s="33" t="str">
        <f t="shared" si="1"/>
        <v>Member</v>
      </c>
      <c r="I17" s="33" t="s">
        <v>147</v>
      </c>
      <c r="J17" s="33" t="s">
        <v>141</v>
      </c>
      <c r="K17" s="33" t="s">
        <v>140</v>
      </c>
      <c r="L17" s="33"/>
      <c r="M17" s="33" t="s">
        <v>78</v>
      </c>
      <c r="N17" s="33" t="s">
        <v>79</v>
      </c>
      <c r="O17" s="33" t="s">
        <v>7</v>
      </c>
      <c r="P17" s="33" t="b">
        <f t="shared" si="2"/>
        <v>1</v>
      </c>
      <c r="Q17" s="33">
        <f>COUNTIF(Licenses!$A:$A,C17)</f>
        <v>0</v>
      </c>
      <c r="R17" s="33"/>
      <c r="S17" s="34">
        <v>40334.0</v>
      </c>
      <c r="T17" s="23"/>
      <c r="U17" s="23"/>
      <c r="V17" s="24" t="s">
        <v>100</v>
      </c>
      <c r="W17" s="24" t="s">
        <v>101</v>
      </c>
      <c r="X17" s="2"/>
      <c r="Y17" s="2"/>
      <c r="Z17" s="2"/>
    </row>
    <row r="18" ht="15.0" customHeight="1">
      <c r="A18" s="33" t="s">
        <v>151</v>
      </c>
      <c r="B18" s="33" t="s">
        <v>152</v>
      </c>
      <c r="C18" s="33" t="s">
        <v>153</v>
      </c>
      <c r="D18" s="33" t="str">
        <f>IFERROR(VLOOKUP(E18,Groups!$A:$I,3,FALSE()),"Unassigned")</f>
        <v>Harsh Vardhan</v>
      </c>
      <c r="E18" s="33" t="s">
        <v>98</v>
      </c>
      <c r="F18" s="33" t="str">
        <f>IFERROR(VLOOKUP(E18,Groups!$A:$I,2,FALSE()),"Unassigned")</f>
        <v>Admin &amp; Infra</v>
      </c>
      <c r="G18" s="33" t="str">
        <f>IFERROR(VLOOKUP(E18,Groups!$A:$I,4,FALSE()),"Direct Reports")</f>
        <v>Kavita Chatola</v>
      </c>
      <c r="H18" s="33" t="str">
        <f t="shared" si="1"/>
        <v>Member</v>
      </c>
      <c r="I18" s="33" t="s">
        <v>147</v>
      </c>
      <c r="J18" s="33" t="s">
        <v>141</v>
      </c>
      <c r="K18" s="33" t="s">
        <v>140</v>
      </c>
      <c r="L18" s="33"/>
      <c r="M18" s="33" t="s">
        <v>78</v>
      </c>
      <c r="N18" s="33" t="s">
        <v>79</v>
      </c>
      <c r="O18" s="33" t="s">
        <v>7</v>
      </c>
      <c r="P18" s="33" t="b">
        <f t="shared" si="2"/>
        <v>1</v>
      </c>
      <c r="Q18" s="33">
        <f>COUNTIF(Licenses!$A:$A,C18)</f>
        <v>0</v>
      </c>
      <c r="R18" s="33"/>
      <c r="S18" s="34">
        <v>42444.0</v>
      </c>
      <c r="T18" s="23"/>
      <c r="U18" s="23"/>
      <c r="V18" s="24" t="s">
        <v>100</v>
      </c>
      <c r="W18" s="24" t="s">
        <v>101</v>
      </c>
      <c r="X18" s="2"/>
      <c r="Y18" s="2"/>
      <c r="Z18" s="2"/>
    </row>
    <row r="19" ht="23.25" customHeight="1">
      <c r="A19" s="33" t="s">
        <v>154</v>
      </c>
      <c r="B19" s="33" t="s">
        <v>155</v>
      </c>
      <c r="C19" s="33" t="s">
        <v>156</v>
      </c>
      <c r="D19" s="33" t="str">
        <f>IFERROR(VLOOKUP(E19,Groups!$A:$I,3,FALSE()),"Unassigned")</f>
        <v>Harsh Vardhan</v>
      </c>
      <c r="E19" s="33" t="s">
        <v>98</v>
      </c>
      <c r="F19" s="33" t="str">
        <f>IFERROR(VLOOKUP(E19,Groups!$A:$I,2,FALSE()),"Unassigned")</f>
        <v>Admin &amp; Infra</v>
      </c>
      <c r="G19" s="33" t="str">
        <f>IFERROR(VLOOKUP(E19,Groups!$A:$I,4,FALSE()),"Direct Reports")</f>
        <v>Kavita Chatola</v>
      </c>
      <c r="H19" s="33" t="str">
        <f t="shared" si="1"/>
        <v>Member</v>
      </c>
      <c r="I19" s="33" t="s">
        <v>157</v>
      </c>
      <c r="J19" s="33" t="s">
        <v>141</v>
      </c>
      <c r="K19" s="33" t="s">
        <v>140</v>
      </c>
      <c r="L19" s="33"/>
      <c r="M19" s="33" t="s">
        <v>78</v>
      </c>
      <c r="N19" s="33" t="s">
        <v>79</v>
      </c>
      <c r="O19" s="33" t="s">
        <v>7</v>
      </c>
      <c r="P19" s="33" t="b">
        <f t="shared" si="2"/>
        <v>1</v>
      </c>
      <c r="Q19" s="33">
        <f>COUNTIF(Licenses!$A:$A,C19)</f>
        <v>0</v>
      </c>
      <c r="R19" s="33"/>
      <c r="S19" s="34">
        <v>39022.0</v>
      </c>
      <c r="T19" s="23"/>
      <c r="U19" s="23"/>
      <c r="V19" s="24" t="s">
        <v>100</v>
      </c>
      <c r="W19" s="24" t="s">
        <v>101</v>
      </c>
      <c r="X19" s="2"/>
      <c r="Y19" s="2"/>
      <c r="Z19" s="2"/>
    </row>
    <row r="20" ht="15.0" customHeight="1">
      <c r="A20" s="33" t="s">
        <v>158</v>
      </c>
      <c r="B20" s="33" t="s">
        <v>159</v>
      </c>
      <c r="C20" s="33" t="s">
        <v>160</v>
      </c>
      <c r="D20" s="33" t="str">
        <f>IFERROR(VLOOKUP(E20,Groups!$A:$I,3,FALSE()),"Unassigned")</f>
        <v>Harsh Vardhan</v>
      </c>
      <c r="E20" s="33" t="s">
        <v>98</v>
      </c>
      <c r="F20" s="33" t="str">
        <f>IFERROR(VLOOKUP(E20,Groups!$A:$I,2,FALSE()),"Unassigned")</f>
        <v>Admin &amp; Infra</v>
      </c>
      <c r="G20" s="33" t="str">
        <f>IFERROR(VLOOKUP(E20,Groups!$A:$I,4,FALSE()),"Direct Reports")</f>
        <v>Kavita Chatola</v>
      </c>
      <c r="H20" s="33" t="str">
        <f t="shared" si="1"/>
        <v>Member</v>
      </c>
      <c r="I20" s="33" t="s">
        <v>147</v>
      </c>
      <c r="J20" s="33" t="s">
        <v>141</v>
      </c>
      <c r="K20" s="33" t="s">
        <v>140</v>
      </c>
      <c r="L20" s="33"/>
      <c r="M20" s="33" t="s">
        <v>78</v>
      </c>
      <c r="N20" s="33" t="s">
        <v>79</v>
      </c>
      <c r="O20" s="33" t="s">
        <v>7</v>
      </c>
      <c r="P20" s="33" t="b">
        <f t="shared" si="2"/>
        <v>1</v>
      </c>
      <c r="Q20" s="33">
        <f>COUNTIF(Licenses!$A:$A,C20)</f>
        <v>0</v>
      </c>
      <c r="R20" s="33"/>
      <c r="S20" s="34">
        <v>40957.0</v>
      </c>
      <c r="T20" s="23"/>
      <c r="U20" s="23"/>
      <c r="V20" s="24" t="s">
        <v>100</v>
      </c>
      <c r="W20" s="24" t="s">
        <v>101</v>
      </c>
      <c r="X20" s="2"/>
      <c r="Y20" s="2"/>
      <c r="Z20" s="2"/>
    </row>
    <row r="21" ht="15.75" customHeight="1">
      <c r="A21" s="35" t="s">
        <v>161</v>
      </c>
      <c r="B21" s="35" t="s">
        <v>162</v>
      </c>
      <c r="C21" s="35" t="s">
        <v>163</v>
      </c>
      <c r="D21" s="35" t="str">
        <f>IFERROR(VLOOKUP(E21,Groups!$A:$I,3,FALSE()),"Unassigned")</f>
        <v>Harsh Vardhan</v>
      </c>
      <c r="E21" s="35" t="s">
        <v>164</v>
      </c>
      <c r="F21" s="35" t="str">
        <f>IFERROR(VLOOKUP(E21,Groups!$A:$I,2,FALSE()),"Unassigned")</f>
        <v>IT &amp; Tech</v>
      </c>
      <c r="G21" s="35" t="str">
        <f>IFERROR(VLOOKUP(E21,Groups!$A:$I,4,FALSE()),"Direct Reports")</f>
        <v>Devdutt Kumar</v>
      </c>
      <c r="H21" s="35" t="str">
        <f t="shared" si="1"/>
        <v>Team Lead</v>
      </c>
      <c r="I21" s="35" t="s">
        <v>165</v>
      </c>
      <c r="J21" s="35" t="s">
        <v>30</v>
      </c>
      <c r="K21" s="35" t="s">
        <v>74</v>
      </c>
      <c r="L21" s="35"/>
      <c r="M21" s="35" t="s">
        <v>78</v>
      </c>
      <c r="N21" s="35" t="s">
        <v>79</v>
      </c>
      <c r="O21" s="35" t="s">
        <v>7</v>
      </c>
      <c r="P21" s="35" t="b">
        <f t="shared" si="2"/>
        <v>1</v>
      </c>
      <c r="Q21" s="35">
        <f>COUNTIF(Licenses!$A:$A,C21)</f>
        <v>2</v>
      </c>
      <c r="R21" s="35"/>
      <c r="S21" s="36">
        <v>45964.0</v>
      </c>
      <c r="T21" s="23">
        <v>3.5</v>
      </c>
      <c r="U21" s="23"/>
      <c r="V21" s="24" t="s">
        <v>100</v>
      </c>
      <c r="W21" s="24" t="s">
        <v>101</v>
      </c>
      <c r="X21" s="2"/>
      <c r="Y21" s="2"/>
      <c r="Z21" s="2"/>
    </row>
    <row r="22" ht="15.75" customHeight="1">
      <c r="A22" s="37" t="s">
        <v>166</v>
      </c>
      <c r="B22" s="37" t="s">
        <v>167</v>
      </c>
      <c r="C22" s="37" t="s">
        <v>168</v>
      </c>
      <c r="D22" s="37" t="str">
        <f>IFERROR(VLOOKUP(E22,Groups!$A:$I,3,FALSE()),"Unassigned")</f>
        <v>Harsh Vardhan</v>
      </c>
      <c r="E22" s="37" t="s">
        <v>164</v>
      </c>
      <c r="F22" s="37" t="str">
        <f>IFERROR(VLOOKUP(E22,Groups!$A:$I,2,FALSE()),"Unassigned")</f>
        <v>IT &amp; Tech</v>
      </c>
      <c r="G22" s="37" t="str">
        <f>IFERROR(VLOOKUP(E22,Groups!$A:$I,4,FALSE()),"Direct Reports")</f>
        <v>Devdutt Kumar</v>
      </c>
      <c r="H22" s="37" t="str">
        <f t="shared" si="1"/>
        <v>Member</v>
      </c>
      <c r="I22" s="37" t="s">
        <v>169</v>
      </c>
      <c r="J22" s="37" t="s">
        <v>162</v>
      </c>
      <c r="K22" s="37" t="s">
        <v>161</v>
      </c>
      <c r="L22" s="37"/>
      <c r="M22" s="37" t="s">
        <v>78</v>
      </c>
      <c r="N22" s="37" t="s">
        <v>79</v>
      </c>
      <c r="O22" s="37" t="s">
        <v>7</v>
      </c>
      <c r="P22" s="37" t="b">
        <f t="shared" si="2"/>
        <v>1</v>
      </c>
      <c r="Q22" s="37">
        <f>COUNTIF(Licenses!$A:$A,C22)</f>
        <v>3</v>
      </c>
      <c r="R22" s="37"/>
      <c r="S22" s="38">
        <v>43822.0</v>
      </c>
      <c r="T22" s="23"/>
      <c r="U22" s="23"/>
      <c r="V22" s="24" t="s">
        <v>100</v>
      </c>
      <c r="W22" s="24" t="s">
        <v>101</v>
      </c>
      <c r="X22" s="2"/>
      <c r="Y22" s="2"/>
      <c r="Z22" s="2"/>
    </row>
    <row r="23" ht="15.75" customHeight="1">
      <c r="A23" s="37" t="s">
        <v>170</v>
      </c>
      <c r="B23" s="37" t="s">
        <v>171</v>
      </c>
      <c r="C23" s="37" t="s">
        <v>172</v>
      </c>
      <c r="D23" s="37" t="str">
        <f>IFERROR(VLOOKUP(E23,Groups!$A:$I,3,FALSE()),"Unassigned")</f>
        <v>Harsh Vardhan</v>
      </c>
      <c r="E23" s="37" t="s">
        <v>164</v>
      </c>
      <c r="F23" s="37" t="str">
        <f>IFERROR(VLOOKUP(E23,Groups!$A:$I,2,FALSE()),"Unassigned")</f>
        <v>IT &amp; Tech</v>
      </c>
      <c r="G23" s="37" t="str">
        <f>IFERROR(VLOOKUP(E23,Groups!$A:$I,4,FALSE()),"Direct Reports")</f>
        <v>Devdutt Kumar</v>
      </c>
      <c r="H23" s="37" t="str">
        <f t="shared" si="1"/>
        <v>Member</v>
      </c>
      <c r="I23" s="37" t="s">
        <v>173</v>
      </c>
      <c r="J23" s="37" t="s">
        <v>162</v>
      </c>
      <c r="K23" s="37" t="s">
        <v>161</v>
      </c>
      <c r="L23" s="37"/>
      <c r="M23" s="37" t="s">
        <v>78</v>
      </c>
      <c r="N23" s="37" t="s">
        <v>79</v>
      </c>
      <c r="O23" s="37" t="s">
        <v>7</v>
      </c>
      <c r="P23" s="37" t="b">
        <f t="shared" si="2"/>
        <v>1</v>
      </c>
      <c r="Q23" s="37">
        <f>COUNTIF(Licenses!$A:$A,C23)</f>
        <v>3</v>
      </c>
      <c r="R23" s="37"/>
      <c r="S23" s="38">
        <v>45726.0</v>
      </c>
      <c r="T23" s="23"/>
      <c r="U23" s="23"/>
      <c r="V23" s="24" t="s">
        <v>100</v>
      </c>
      <c r="W23" s="24" t="s">
        <v>101</v>
      </c>
      <c r="X23" s="2"/>
      <c r="Y23" s="2"/>
      <c r="Z23" s="2"/>
    </row>
    <row r="24" ht="15.75" customHeight="1">
      <c r="A24" s="39" t="s">
        <v>174</v>
      </c>
      <c r="B24" s="39" t="s">
        <v>175</v>
      </c>
      <c r="C24" s="39" t="s">
        <v>176</v>
      </c>
      <c r="D24" s="39" t="str">
        <f>IFERROR(VLOOKUP(E24,Groups!$A:$I,3,FALSE()),"Unassigned")</f>
        <v>Harsh Vardhan</v>
      </c>
      <c r="E24" s="39" t="s">
        <v>177</v>
      </c>
      <c r="F24" s="39" t="str">
        <f>IFERROR(VLOOKUP(E24,Groups!$A:$I,2,FALSE()),"Unassigned")</f>
        <v>People &amp; Culture</v>
      </c>
      <c r="G24" s="39" t="str">
        <f>IFERROR(VLOOKUP(E24,Groups!$A:$I,4,FALSE()),"Direct Reports")</f>
        <v>Isha Singh</v>
      </c>
      <c r="H24" s="39" t="str">
        <f t="shared" si="1"/>
        <v>Team Lead</v>
      </c>
      <c r="I24" s="39" t="s">
        <v>178</v>
      </c>
      <c r="J24" s="39" t="s">
        <v>30</v>
      </c>
      <c r="K24" s="39" t="s">
        <v>74</v>
      </c>
      <c r="L24" s="39"/>
      <c r="M24" s="39" t="s">
        <v>78</v>
      </c>
      <c r="N24" s="39" t="s">
        <v>79</v>
      </c>
      <c r="O24" s="39" t="s">
        <v>7</v>
      </c>
      <c r="P24" s="39" t="b">
        <f t="shared" si="2"/>
        <v>1</v>
      </c>
      <c r="Q24" s="39">
        <f>COUNTIF(Licenses!$A:$A,C24)</f>
        <v>1</v>
      </c>
      <c r="R24" s="39"/>
      <c r="S24" s="40">
        <v>46069.0</v>
      </c>
      <c r="T24" s="23"/>
      <c r="U24" s="23"/>
      <c r="V24" s="24" t="s">
        <v>100</v>
      </c>
      <c r="W24" s="24" t="s">
        <v>101</v>
      </c>
      <c r="X24" s="2"/>
      <c r="Y24" s="2"/>
      <c r="Z24" s="2"/>
    </row>
    <row r="25" ht="15.75" customHeight="1">
      <c r="A25" s="41" t="s">
        <v>179</v>
      </c>
      <c r="B25" s="41" t="s">
        <v>180</v>
      </c>
      <c r="C25" s="41" t="s">
        <v>181</v>
      </c>
      <c r="D25" s="41" t="str">
        <f>IFERROR(VLOOKUP(E25,Groups!$A:$I,3,FALSE()),"Unassigned")</f>
        <v>Harsh Vardhan</v>
      </c>
      <c r="E25" s="41" t="s">
        <v>177</v>
      </c>
      <c r="F25" s="41" t="str">
        <f>IFERROR(VLOOKUP(E25,Groups!$A:$I,2,FALSE()),"Unassigned")</f>
        <v>People &amp; Culture</v>
      </c>
      <c r="G25" s="41" t="str">
        <f>IFERROR(VLOOKUP(E25,Groups!$A:$I,4,FALSE()),"Direct Reports")</f>
        <v>Isha Singh</v>
      </c>
      <c r="H25" s="41" t="str">
        <f t="shared" si="1"/>
        <v>Member</v>
      </c>
      <c r="I25" s="41" t="s">
        <v>182</v>
      </c>
      <c r="J25" s="41" t="s">
        <v>175</v>
      </c>
      <c r="K25" s="41" t="s">
        <v>174</v>
      </c>
      <c r="L25" s="41"/>
      <c r="M25" s="41" t="s">
        <v>78</v>
      </c>
      <c r="N25" s="41" t="s">
        <v>79</v>
      </c>
      <c r="O25" s="41" t="s">
        <v>7</v>
      </c>
      <c r="P25" s="41" t="b">
        <f t="shared" si="2"/>
        <v>1</v>
      </c>
      <c r="Q25" s="41">
        <f>COUNTIF(Licenses!$A:$A,C25)</f>
        <v>2</v>
      </c>
      <c r="R25" s="41"/>
      <c r="S25" s="42">
        <v>44298.0</v>
      </c>
      <c r="T25" s="23"/>
      <c r="U25" s="23"/>
      <c r="V25" s="24" t="s">
        <v>100</v>
      </c>
      <c r="W25" s="24" t="s">
        <v>101</v>
      </c>
      <c r="X25" s="2"/>
      <c r="Y25" s="2"/>
      <c r="Z25" s="2"/>
    </row>
    <row r="26" ht="15.75" customHeight="1">
      <c r="A26" s="43" t="s">
        <v>77</v>
      </c>
      <c r="B26" s="43" t="s">
        <v>31</v>
      </c>
      <c r="C26" s="43" t="s">
        <v>183</v>
      </c>
      <c r="D26" s="43" t="str">
        <f>IFERROR(VLOOKUP(E26,Groups!$A:$I,3,FALSE()),"Unassigned")</f>
        <v>Ambrish Arora</v>
      </c>
      <c r="E26" s="43" t="s">
        <v>184</v>
      </c>
      <c r="F26" s="43" t="str">
        <f>IFERROR(VLOOKUP(E26,Groups!$A:$I,2,FALSE()),"Unassigned")</f>
        <v>Direct Reports</v>
      </c>
      <c r="G26" s="43" t="str">
        <f>IFERROR(VLOOKUP(E26,Groups!$A:$I,4,FALSE()),"Direct Reports")</f>
        <v>Ambrish Arora</v>
      </c>
      <c r="H26" s="43" t="str">
        <f t="shared" si="1"/>
        <v>Principal</v>
      </c>
      <c r="I26" s="43" t="s">
        <v>28</v>
      </c>
      <c r="J26" s="43" t="s">
        <v>31</v>
      </c>
      <c r="K26" s="43" t="s">
        <v>77</v>
      </c>
      <c r="L26" s="43"/>
      <c r="M26" s="43" t="s">
        <v>78</v>
      </c>
      <c r="N26" s="43" t="s">
        <v>185</v>
      </c>
      <c r="O26" s="43" t="s">
        <v>7</v>
      </c>
      <c r="P26" s="43" t="b">
        <f t="shared" si="2"/>
        <v>1</v>
      </c>
      <c r="Q26" s="43">
        <f>COUNTIF(Licenses!$A:$A,C26)</f>
        <v>0</v>
      </c>
      <c r="R26" s="43"/>
      <c r="S26" s="44">
        <v>37299.0</v>
      </c>
      <c r="T26" s="23"/>
      <c r="U26" s="23"/>
      <c r="V26" s="24" t="s">
        <v>28</v>
      </c>
      <c r="W26" s="24" t="s">
        <v>80</v>
      </c>
      <c r="X26" s="2"/>
      <c r="Y26" s="2"/>
      <c r="Z26" s="2"/>
    </row>
    <row r="27" ht="15.75" customHeight="1">
      <c r="A27" s="45" t="s">
        <v>186</v>
      </c>
      <c r="B27" s="45" t="s">
        <v>187</v>
      </c>
      <c r="C27" s="45" t="s">
        <v>188</v>
      </c>
      <c r="D27" s="45" t="str">
        <f>IFERROR(VLOOKUP(E27,Groups!$A:$I,3,FALSE()),"Unassigned")</f>
        <v>Ambrish Arora</v>
      </c>
      <c r="E27" s="45" t="s">
        <v>189</v>
      </c>
      <c r="F27" s="45" t="str">
        <f>IFERROR(VLOOKUP(E27,Groups!$A:$I,2,FALSE()),"Unassigned")</f>
        <v>Prajwal Yashwant Amin Team</v>
      </c>
      <c r="G27" s="45" t="str">
        <f>IFERROR(VLOOKUP(E27,Groups!$A:$I,4,FALSE()),"Direct Reports")</f>
        <v>Prajwal Yashwant Amin</v>
      </c>
      <c r="H27" s="45" t="str">
        <f t="shared" si="1"/>
        <v>Team Lead</v>
      </c>
      <c r="I27" s="45" t="s">
        <v>116</v>
      </c>
      <c r="J27" s="45" t="s">
        <v>31</v>
      </c>
      <c r="K27" s="45" t="s">
        <v>77</v>
      </c>
      <c r="L27" s="45"/>
      <c r="M27" s="45" t="s">
        <v>190</v>
      </c>
      <c r="N27" s="45" t="s">
        <v>185</v>
      </c>
      <c r="O27" s="45" t="s">
        <v>7</v>
      </c>
      <c r="P27" s="45" t="b">
        <f t="shared" si="2"/>
        <v>1</v>
      </c>
      <c r="Q27" s="45">
        <f>COUNTIF(Licenses!$A:$A,C27)</f>
        <v>4</v>
      </c>
      <c r="R27" s="45"/>
      <c r="S27" s="46">
        <v>44153.0</v>
      </c>
      <c r="T27" s="23"/>
      <c r="U27" s="23"/>
      <c r="V27" s="24" t="s">
        <v>117</v>
      </c>
      <c r="W27" s="24" t="s">
        <v>118</v>
      </c>
      <c r="X27" s="2"/>
      <c r="Y27" s="2"/>
      <c r="Z27" s="2"/>
    </row>
    <row r="28" ht="15.75" customHeight="1">
      <c r="A28" s="47" t="s">
        <v>191</v>
      </c>
      <c r="B28" s="47" t="s">
        <v>192</v>
      </c>
      <c r="C28" s="47" t="s">
        <v>193</v>
      </c>
      <c r="D28" s="47" t="str">
        <f>IFERROR(VLOOKUP(E28,Groups!$A:$I,3,FALSE()),"Unassigned")</f>
        <v>Ambrish Arora</v>
      </c>
      <c r="E28" s="47" t="s">
        <v>189</v>
      </c>
      <c r="F28" s="47" t="str">
        <f>IFERROR(VLOOKUP(E28,Groups!$A:$I,2,FALSE()),"Unassigned")</f>
        <v>Prajwal Yashwant Amin Team</v>
      </c>
      <c r="G28" s="47" t="str">
        <f>IFERROR(VLOOKUP(E28,Groups!$A:$I,4,FALSE()),"Direct Reports")</f>
        <v>Prajwal Yashwant Amin</v>
      </c>
      <c r="H28" s="47" t="str">
        <f t="shared" si="1"/>
        <v>Member</v>
      </c>
      <c r="I28" s="47" t="s">
        <v>92</v>
      </c>
      <c r="J28" s="47" t="s">
        <v>187</v>
      </c>
      <c r="K28" s="47" t="s">
        <v>186</v>
      </c>
      <c r="L28" s="47"/>
      <c r="M28" s="47" t="s">
        <v>190</v>
      </c>
      <c r="N28" s="47" t="s">
        <v>185</v>
      </c>
      <c r="O28" s="47" t="s">
        <v>7</v>
      </c>
      <c r="P28" s="47" t="b">
        <f t="shared" si="2"/>
        <v>1</v>
      </c>
      <c r="Q28" s="47">
        <f>COUNTIF(Licenses!$A:$A,C28)</f>
        <v>3</v>
      </c>
      <c r="R28" s="47"/>
      <c r="S28" s="48">
        <v>45175.0</v>
      </c>
      <c r="T28" s="23"/>
      <c r="U28" s="23"/>
      <c r="V28" s="24" t="s">
        <v>93</v>
      </c>
      <c r="W28" s="24" t="s">
        <v>94</v>
      </c>
      <c r="X28" s="2"/>
      <c r="Y28" s="2"/>
      <c r="Z28" s="2"/>
    </row>
    <row r="29" ht="15.75" customHeight="1">
      <c r="A29" s="47" t="s">
        <v>194</v>
      </c>
      <c r="B29" s="47" t="s">
        <v>195</v>
      </c>
      <c r="C29" s="47" t="s">
        <v>196</v>
      </c>
      <c r="D29" s="47" t="str">
        <f>IFERROR(VLOOKUP(E29,Groups!$A:$I,3,FALSE()),"Unassigned")</f>
        <v>Ambrish Arora</v>
      </c>
      <c r="E29" s="47" t="s">
        <v>189</v>
      </c>
      <c r="F29" s="47" t="str">
        <f>IFERROR(VLOOKUP(E29,Groups!$A:$I,2,FALSE()),"Unassigned")</f>
        <v>Prajwal Yashwant Amin Team</v>
      </c>
      <c r="G29" s="47" t="str">
        <f>IFERROR(VLOOKUP(E29,Groups!$A:$I,4,FALSE()),"Direct Reports")</f>
        <v>Prajwal Yashwant Amin</v>
      </c>
      <c r="H29" s="47" t="str">
        <f t="shared" si="1"/>
        <v>Member</v>
      </c>
      <c r="I29" s="47" t="s">
        <v>92</v>
      </c>
      <c r="J29" s="47" t="s">
        <v>187</v>
      </c>
      <c r="K29" s="47" t="s">
        <v>186</v>
      </c>
      <c r="L29" s="47"/>
      <c r="M29" s="47" t="s">
        <v>190</v>
      </c>
      <c r="N29" s="47" t="s">
        <v>185</v>
      </c>
      <c r="O29" s="47" t="s">
        <v>7</v>
      </c>
      <c r="P29" s="47" t="b">
        <f t="shared" si="2"/>
        <v>1</v>
      </c>
      <c r="Q29" s="47">
        <f>COUNTIF(Licenses!$A:$A,C29)</f>
        <v>3</v>
      </c>
      <c r="R29" s="47"/>
      <c r="S29" s="48">
        <v>46041.0</v>
      </c>
      <c r="T29" s="23"/>
      <c r="U29" s="23"/>
      <c r="V29" s="24" t="s">
        <v>93</v>
      </c>
      <c r="W29" s="24" t="s">
        <v>94</v>
      </c>
      <c r="X29" s="2"/>
      <c r="Y29" s="2"/>
      <c r="Z29" s="2"/>
    </row>
    <row r="30" ht="15.75" customHeight="1">
      <c r="A30" s="47" t="s">
        <v>197</v>
      </c>
      <c r="B30" s="47" t="s">
        <v>198</v>
      </c>
      <c r="C30" s="47" t="s">
        <v>199</v>
      </c>
      <c r="D30" s="47" t="str">
        <f>IFERROR(VLOOKUP(E30,Groups!$A:$I,3,FALSE()),"Unassigned")</f>
        <v>Ambrish Arora</v>
      </c>
      <c r="E30" s="47" t="s">
        <v>189</v>
      </c>
      <c r="F30" s="47" t="str">
        <f>IFERROR(VLOOKUP(E30,Groups!$A:$I,2,FALSE()),"Unassigned")</f>
        <v>Prajwal Yashwant Amin Team</v>
      </c>
      <c r="G30" s="47" t="str">
        <f>IFERROR(VLOOKUP(E30,Groups!$A:$I,4,FALSE()),"Direct Reports")</f>
        <v>Prajwal Yashwant Amin</v>
      </c>
      <c r="H30" s="47" t="str">
        <f t="shared" si="1"/>
        <v>Member</v>
      </c>
      <c r="I30" s="47" t="s">
        <v>92</v>
      </c>
      <c r="J30" s="47" t="s">
        <v>187</v>
      </c>
      <c r="K30" s="47" t="s">
        <v>186</v>
      </c>
      <c r="L30" s="47"/>
      <c r="M30" s="47" t="s">
        <v>190</v>
      </c>
      <c r="N30" s="47" t="s">
        <v>185</v>
      </c>
      <c r="O30" s="47" t="s">
        <v>7</v>
      </c>
      <c r="P30" s="47" t="b">
        <f t="shared" si="2"/>
        <v>1</v>
      </c>
      <c r="Q30" s="47">
        <f>COUNTIF(Licenses!$A:$A,C30)</f>
        <v>2</v>
      </c>
      <c r="R30" s="47"/>
      <c r="S30" s="48">
        <v>45558.0</v>
      </c>
      <c r="T30" s="23"/>
      <c r="U30" s="23"/>
      <c r="V30" s="24" t="s">
        <v>93</v>
      </c>
      <c r="W30" s="24" t="s">
        <v>94</v>
      </c>
      <c r="X30" s="2"/>
      <c r="Y30" s="2"/>
      <c r="Z30" s="2"/>
    </row>
    <row r="31" ht="15.75" customHeight="1">
      <c r="A31" s="47" t="s">
        <v>200</v>
      </c>
      <c r="B31" s="47" t="s">
        <v>201</v>
      </c>
      <c r="C31" s="47" t="s">
        <v>202</v>
      </c>
      <c r="D31" s="47" t="str">
        <f>IFERROR(VLOOKUP(E31,Groups!$A:$I,3,FALSE()),"Unassigned")</f>
        <v>Ambrish Arora</v>
      </c>
      <c r="E31" s="47" t="s">
        <v>189</v>
      </c>
      <c r="F31" s="47" t="str">
        <f>IFERROR(VLOOKUP(E31,Groups!$A:$I,2,FALSE()),"Unassigned")</f>
        <v>Prajwal Yashwant Amin Team</v>
      </c>
      <c r="G31" s="47" t="str">
        <f>IFERROR(VLOOKUP(E31,Groups!$A:$I,4,FALSE()),"Direct Reports")</f>
        <v>Prajwal Yashwant Amin</v>
      </c>
      <c r="H31" s="47" t="str">
        <f t="shared" si="1"/>
        <v>Member</v>
      </c>
      <c r="I31" s="47" t="s">
        <v>92</v>
      </c>
      <c r="J31" s="47" t="s">
        <v>187</v>
      </c>
      <c r="K31" s="47" t="s">
        <v>186</v>
      </c>
      <c r="L31" s="47"/>
      <c r="M31" s="47" t="s">
        <v>190</v>
      </c>
      <c r="N31" s="47" t="s">
        <v>185</v>
      </c>
      <c r="O31" s="47" t="s">
        <v>7</v>
      </c>
      <c r="P31" s="47" t="b">
        <f t="shared" si="2"/>
        <v>1</v>
      </c>
      <c r="Q31" s="47">
        <f>COUNTIF(Licenses!$A:$A,C31)</f>
        <v>3</v>
      </c>
      <c r="R31" s="47"/>
      <c r="S31" s="48">
        <v>45859.0</v>
      </c>
      <c r="T31" s="23"/>
      <c r="U31" s="23"/>
      <c r="V31" s="24" t="s">
        <v>93</v>
      </c>
      <c r="W31" s="24" t="s">
        <v>94</v>
      </c>
      <c r="X31" s="2"/>
      <c r="Y31" s="2"/>
      <c r="Z31" s="2"/>
    </row>
    <row r="32" ht="15.75" customHeight="1">
      <c r="A32" s="49" t="s">
        <v>203</v>
      </c>
      <c r="B32" s="49" t="s">
        <v>204</v>
      </c>
      <c r="C32" s="49" t="s">
        <v>205</v>
      </c>
      <c r="D32" s="49" t="str">
        <f>IFERROR(VLOOKUP(E32,Groups!$A:$I,3,FALSE()),"Unassigned")</f>
        <v>Harsh Vardhan</v>
      </c>
      <c r="E32" s="49" t="s">
        <v>206</v>
      </c>
      <c r="F32" s="49" t="str">
        <f>IFERROR(VLOOKUP(E32,Groups!$A:$I,2,FALSE()),"Unassigned")</f>
        <v>Finance &amp; Accounts</v>
      </c>
      <c r="G32" s="49" t="str">
        <f>IFERROR(VLOOKUP(E32,Groups!$A:$I,4,FALSE()),"Direct Reports")</f>
        <v>Rajendra Kumar Mohanty</v>
      </c>
      <c r="H32" s="49" t="str">
        <f t="shared" si="1"/>
        <v>Team Lead</v>
      </c>
      <c r="I32" s="49" t="s">
        <v>207</v>
      </c>
      <c r="J32" s="49" t="s">
        <v>31</v>
      </c>
      <c r="K32" s="49" t="s">
        <v>77</v>
      </c>
      <c r="L32" s="49"/>
      <c r="M32" s="49" t="s">
        <v>78</v>
      </c>
      <c r="N32" s="49" t="s">
        <v>79</v>
      </c>
      <c r="O32" s="49" t="s">
        <v>7</v>
      </c>
      <c r="P32" s="49" t="b">
        <f t="shared" si="2"/>
        <v>1</v>
      </c>
      <c r="Q32" s="49">
        <f>COUNTIF(Licenses!$A:$A,C32)</f>
        <v>4</v>
      </c>
      <c r="R32" s="49"/>
      <c r="S32" s="50">
        <v>40247.0</v>
      </c>
      <c r="T32" s="23"/>
      <c r="U32" s="23"/>
      <c r="V32" s="24" t="s">
        <v>100</v>
      </c>
      <c r="W32" s="24" t="s">
        <v>101</v>
      </c>
      <c r="X32" s="2"/>
      <c r="Y32" s="2"/>
      <c r="Z32" s="2"/>
    </row>
    <row r="33" ht="15.75" customHeight="1">
      <c r="A33" s="51" t="s">
        <v>208</v>
      </c>
      <c r="B33" s="51" t="s">
        <v>209</v>
      </c>
      <c r="C33" s="51" t="s">
        <v>210</v>
      </c>
      <c r="D33" s="51" t="s">
        <v>30</v>
      </c>
      <c r="E33" s="51" t="s">
        <v>206</v>
      </c>
      <c r="F33" s="51" t="s">
        <v>211</v>
      </c>
      <c r="G33" s="51" t="s">
        <v>204</v>
      </c>
      <c r="H33" s="51" t="str">
        <f t="shared" si="1"/>
        <v>Member</v>
      </c>
      <c r="I33" s="51" t="s">
        <v>212</v>
      </c>
      <c r="J33" s="51" t="s">
        <v>204</v>
      </c>
      <c r="K33" s="51" t="s">
        <v>203</v>
      </c>
      <c r="L33" s="51"/>
      <c r="M33" s="51" t="s">
        <v>78</v>
      </c>
      <c r="N33" s="51" t="s">
        <v>79</v>
      </c>
      <c r="O33" s="51" t="s">
        <v>7</v>
      </c>
      <c r="P33" s="51" t="b">
        <f t="shared" si="2"/>
        <v>1</v>
      </c>
      <c r="Q33" s="51">
        <f>COUNTIF(Licenses!$A:$A,C33)</f>
        <v>0</v>
      </c>
      <c r="R33" s="51"/>
      <c r="S33" s="52">
        <v>45566.0</v>
      </c>
      <c r="T33" s="23"/>
      <c r="U33" s="23"/>
      <c r="V33" s="24" t="s">
        <v>100</v>
      </c>
      <c r="W33" s="24" t="s">
        <v>101</v>
      </c>
      <c r="X33" s="2"/>
      <c r="Y33" s="2"/>
      <c r="Z33" s="2"/>
    </row>
    <row r="34" ht="15.75" customHeight="1">
      <c r="A34" s="41" t="s">
        <v>213</v>
      </c>
      <c r="B34" s="41" t="s">
        <v>214</v>
      </c>
      <c r="C34" s="41" t="s">
        <v>215</v>
      </c>
      <c r="D34" s="41" t="str">
        <f>IFERROR(VLOOKUP(E34,Groups!$A:$I,3,FALSE()),"Unassigned")</f>
        <v>Harsh Vardhan</v>
      </c>
      <c r="E34" s="41" t="s">
        <v>177</v>
      </c>
      <c r="F34" s="41" t="str">
        <f>IFERROR(VLOOKUP(E34,Groups!$A:$I,2,FALSE()),"Unassigned")</f>
        <v>People &amp; Culture</v>
      </c>
      <c r="G34" s="41" t="str">
        <f>IFERROR(VLOOKUP(E34,Groups!$A:$I,4,FALSE()),"Direct Reports")</f>
        <v>Isha Singh</v>
      </c>
      <c r="H34" s="41" t="str">
        <f t="shared" si="1"/>
        <v>Member</v>
      </c>
      <c r="I34" s="41" t="s">
        <v>216</v>
      </c>
      <c r="J34" s="41" t="s">
        <v>217</v>
      </c>
      <c r="K34" s="41" t="s">
        <v>218</v>
      </c>
      <c r="L34" s="41"/>
      <c r="M34" s="41" t="s">
        <v>78</v>
      </c>
      <c r="N34" s="41" t="s">
        <v>79</v>
      </c>
      <c r="O34" s="41" t="s">
        <v>7</v>
      </c>
      <c r="P34" s="41" t="b">
        <f t="shared" si="2"/>
        <v>1</v>
      </c>
      <c r="Q34" s="41">
        <f>COUNTIF(Licenses!$A:$A,C34)</f>
        <v>0</v>
      </c>
      <c r="R34" s="41"/>
      <c r="S34" s="42">
        <v>44866.0</v>
      </c>
      <c r="T34" s="23"/>
      <c r="U34" s="23"/>
      <c r="V34" s="24" t="s">
        <v>100</v>
      </c>
      <c r="W34" s="24" t="s">
        <v>101</v>
      </c>
      <c r="X34" s="2"/>
      <c r="Y34" s="2"/>
      <c r="Z34" s="2"/>
    </row>
    <row r="35" ht="15.75" customHeight="1">
      <c r="A35" s="51" t="s">
        <v>218</v>
      </c>
      <c r="B35" s="51" t="s">
        <v>217</v>
      </c>
      <c r="C35" s="51" t="s">
        <v>219</v>
      </c>
      <c r="D35" s="51" t="str">
        <f>IFERROR(VLOOKUP(E35,Groups!$A:$I,3,FALSE()),"Unassigned")</f>
        <v>Harsh Vardhan</v>
      </c>
      <c r="E35" s="51" t="s">
        <v>206</v>
      </c>
      <c r="F35" s="51" t="str">
        <f>IFERROR(VLOOKUP(E35,Groups!$A:$I,2,FALSE()),"Unassigned")</f>
        <v>Finance &amp; Accounts</v>
      </c>
      <c r="G35" s="51" t="str">
        <f>IFERROR(VLOOKUP(E35,Groups!$A:$I,4,FALSE()),"Direct Reports")</f>
        <v>Rajendra Kumar Mohanty</v>
      </c>
      <c r="H35" s="51" t="str">
        <f t="shared" si="1"/>
        <v>Member</v>
      </c>
      <c r="I35" s="51" t="s">
        <v>220</v>
      </c>
      <c r="J35" s="51" t="s">
        <v>204</v>
      </c>
      <c r="K35" s="51" t="s">
        <v>203</v>
      </c>
      <c r="L35" s="51"/>
      <c r="M35" s="51" t="s">
        <v>78</v>
      </c>
      <c r="N35" s="51" t="s">
        <v>79</v>
      </c>
      <c r="O35" s="51" t="s">
        <v>7</v>
      </c>
      <c r="P35" s="51" t="b">
        <f t="shared" si="2"/>
        <v>1</v>
      </c>
      <c r="Q35" s="51">
        <f>COUNTIF(Licenses!$A:$A,C35)</f>
        <v>4</v>
      </c>
      <c r="R35" s="51"/>
      <c r="S35" s="52">
        <v>42065.0</v>
      </c>
      <c r="T35" s="23"/>
      <c r="U35" s="23"/>
      <c r="V35" s="24" t="s">
        <v>100</v>
      </c>
      <c r="W35" s="24" t="s">
        <v>101</v>
      </c>
      <c r="X35" s="2"/>
      <c r="Y35" s="2"/>
      <c r="Z35" s="2"/>
    </row>
    <row r="36" ht="15.75" customHeight="1">
      <c r="A36" s="53" t="s">
        <v>221</v>
      </c>
      <c r="B36" s="53" t="s">
        <v>222</v>
      </c>
      <c r="C36" s="53" t="s">
        <v>223</v>
      </c>
      <c r="D36" s="53" t="str">
        <f>IFERROR(VLOOKUP(E36,Groups!$A:$I,3,FALSE()),"Unassigned")</f>
        <v>Ambrish Arora</v>
      </c>
      <c r="E36" s="53" t="s">
        <v>224</v>
      </c>
      <c r="F36" s="53" t="str">
        <f>IFERROR(VLOOKUP(E36,Groups!$A:$I,2,FALSE()),"Unassigned")</f>
        <v>Varun Srivastava Team</v>
      </c>
      <c r="G36" s="53" t="str">
        <f>IFERROR(VLOOKUP(E36,Groups!$A:$I,4,FALSE()),"Direct Reports")</f>
        <v>Varun Srivastava</v>
      </c>
      <c r="H36" s="53" t="str">
        <f t="shared" si="1"/>
        <v>Team Lead</v>
      </c>
      <c r="I36" s="53" t="s">
        <v>225</v>
      </c>
      <c r="J36" s="53" t="s">
        <v>31</v>
      </c>
      <c r="K36" s="53" t="s">
        <v>77</v>
      </c>
      <c r="L36" s="53"/>
      <c r="M36" s="53" t="s">
        <v>190</v>
      </c>
      <c r="N36" s="53" t="s">
        <v>185</v>
      </c>
      <c r="O36" s="53" t="s">
        <v>7</v>
      </c>
      <c r="P36" s="53" t="b">
        <f t="shared" si="2"/>
        <v>1</v>
      </c>
      <c r="Q36" s="53">
        <f>COUNTIF(Licenses!$A:$A,C36)</f>
        <v>3</v>
      </c>
      <c r="R36" s="53"/>
      <c r="S36" s="54">
        <v>45659.0</v>
      </c>
      <c r="T36" s="23"/>
      <c r="U36" s="23"/>
      <c r="V36" s="24" t="s">
        <v>225</v>
      </c>
      <c r="W36" s="24" t="s">
        <v>226</v>
      </c>
      <c r="X36" s="2"/>
      <c r="Y36" s="2"/>
      <c r="Z36" s="2"/>
    </row>
    <row r="37" ht="15.75" customHeight="1">
      <c r="A37" s="55" t="s">
        <v>227</v>
      </c>
      <c r="B37" s="55" t="s">
        <v>228</v>
      </c>
      <c r="C37" s="55" t="s">
        <v>229</v>
      </c>
      <c r="D37" s="55" t="str">
        <f>IFERROR(VLOOKUP(E37,Groups!$A:$I,3,FALSE()),"Unassigned")</f>
        <v>Ambrish Arora</v>
      </c>
      <c r="E37" s="55" t="s">
        <v>224</v>
      </c>
      <c r="F37" s="55" t="str">
        <f>IFERROR(VLOOKUP(E37,Groups!$A:$I,2,FALSE()),"Unassigned")</f>
        <v>Varun Srivastava Team</v>
      </c>
      <c r="G37" s="55" t="str">
        <f>IFERROR(VLOOKUP(E37,Groups!$A:$I,4,FALSE()),"Direct Reports")</f>
        <v>Varun Srivastava</v>
      </c>
      <c r="H37" s="55" t="str">
        <f t="shared" si="1"/>
        <v>Member</v>
      </c>
      <c r="I37" s="55" t="s">
        <v>84</v>
      </c>
      <c r="J37" s="55" t="s">
        <v>222</v>
      </c>
      <c r="K37" s="55" t="s">
        <v>221</v>
      </c>
      <c r="L37" s="55"/>
      <c r="M37" s="55" t="s">
        <v>190</v>
      </c>
      <c r="N37" s="55" t="s">
        <v>185</v>
      </c>
      <c r="O37" s="55" t="s">
        <v>7</v>
      </c>
      <c r="P37" s="55" t="b">
        <f t="shared" si="2"/>
        <v>1</v>
      </c>
      <c r="Q37" s="55">
        <f>COUNTIF(Licenses!$A:$A,C37)</f>
        <v>2</v>
      </c>
      <c r="R37" s="55"/>
      <c r="S37" s="56">
        <v>45873.0</v>
      </c>
      <c r="T37" s="23"/>
      <c r="U37" s="23"/>
      <c r="V37" s="24" t="s">
        <v>87</v>
      </c>
      <c r="W37" s="24" t="s">
        <v>88</v>
      </c>
      <c r="X37" s="2"/>
      <c r="Y37" s="2"/>
      <c r="Z37" s="2"/>
    </row>
    <row r="38" ht="15.75" customHeight="1">
      <c r="A38" s="55" t="s">
        <v>230</v>
      </c>
      <c r="B38" s="55" t="s">
        <v>231</v>
      </c>
      <c r="C38" s="55" t="s">
        <v>232</v>
      </c>
      <c r="D38" s="55" t="str">
        <f>IFERROR(VLOOKUP(E38,Groups!$A:$I,3,FALSE()),"Unassigned")</f>
        <v>Ambrish Arora</v>
      </c>
      <c r="E38" s="55" t="s">
        <v>224</v>
      </c>
      <c r="F38" s="55" t="str">
        <f>IFERROR(VLOOKUP(E38,Groups!$A:$I,2,FALSE()),"Unassigned")</f>
        <v>Varun Srivastava Team</v>
      </c>
      <c r="G38" s="55" t="str">
        <f>IFERROR(VLOOKUP(E38,Groups!$A:$I,4,FALSE()),"Direct Reports")</f>
        <v>Varun Srivastava</v>
      </c>
      <c r="H38" s="55" t="str">
        <f t="shared" si="1"/>
        <v>Member</v>
      </c>
      <c r="I38" s="55" t="s">
        <v>92</v>
      </c>
      <c r="J38" s="55" t="s">
        <v>222</v>
      </c>
      <c r="K38" s="55" t="s">
        <v>221</v>
      </c>
      <c r="L38" s="55"/>
      <c r="M38" s="55" t="s">
        <v>190</v>
      </c>
      <c r="N38" s="55" t="s">
        <v>185</v>
      </c>
      <c r="O38" s="55" t="s">
        <v>7</v>
      </c>
      <c r="P38" s="55" t="b">
        <f t="shared" si="2"/>
        <v>1</v>
      </c>
      <c r="Q38" s="55">
        <f>COUNTIF(Licenses!$A:$A,C38)</f>
        <v>2</v>
      </c>
      <c r="R38" s="55"/>
      <c r="S38" s="56">
        <v>45532.0</v>
      </c>
      <c r="T38" s="23"/>
      <c r="U38" s="23"/>
      <c r="V38" s="24" t="s">
        <v>93</v>
      </c>
      <c r="W38" s="24" t="s">
        <v>94</v>
      </c>
      <c r="X38" s="2"/>
      <c r="Y38" s="2"/>
      <c r="Z38" s="2"/>
    </row>
    <row r="39" ht="15.75" customHeight="1">
      <c r="A39" s="55" t="s">
        <v>233</v>
      </c>
      <c r="B39" s="55" t="s">
        <v>234</v>
      </c>
      <c r="C39" s="55" t="s">
        <v>235</v>
      </c>
      <c r="D39" s="55" t="str">
        <f>IFERROR(VLOOKUP(E39,Groups!$A:$I,3,FALSE()),"Unassigned")</f>
        <v>Ambrish Arora</v>
      </c>
      <c r="E39" s="55" t="s">
        <v>224</v>
      </c>
      <c r="F39" s="55" t="str">
        <f>IFERROR(VLOOKUP(E39,Groups!$A:$I,2,FALSE()),"Unassigned")</f>
        <v>Varun Srivastava Team</v>
      </c>
      <c r="G39" s="55" t="str">
        <f>IFERROR(VLOOKUP(E39,Groups!$A:$I,4,FALSE()),"Direct Reports")</f>
        <v>Varun Srivastava</v>
      </c>
      <c r="H39" s="55" t="str">
        <f t="shared" si="1"/>
        <v>Member</v>
      </c>
      <c r="I39" s="55" t="s">
        <v>116</v>
      </c>
      <c r="J39" s="55" t="s">
        <v>222</v>
      </c>
      <c r="K39" s="55" t="s">
        <v>221</v>
      </c>
      <c r="L39" s="55"/>
      <c r="M39" s="55" t="s">
        <v>190</v>
      </c>
      <c r="N39" s="55" t="s">
        <v>185</v>
      </c>
      <c r="O39" s="55" t="s">
        <v>7</v>
      </c>
      <c r="P39" s="55" t="b">
        <f t="shared" si="2"/>
        <v>1</v>
      </c>
      <c r="Q39" s="55">
        <f>COUNTIF(Licenses!$A:$A,C39)</f>
        <v>1</v>
      </c>
      <c r="R39" s="55"/>
      <c r="S39" s="56">
        <v>46086.0</v>
      </c>
      <c r="T39" s="23"/>
      <c r="U39" s="23"/>
      <c r="V39" s="24" t="s">
        <v>117</v>
      </c>
      <c r="W39" s="24" t="s">
        <v>118</v>
      </c>
      <c r="X39" s="2"/>
      <c r="Y39" s="2"/>
      <c r="Z39" s="2"/>
    </row>
    <row r="40" ht="15.75" customHeight="1">
      <c r="A40" s="55" t="s">
        <v>236</v>
      </c>
      <c r="B40" s="55" t="s">
        <v>237</v>
      </c>
      <c r="C40" s="55" t="s">
        <v>238</v>
      </c>
      <c r="D40" s="55" t="str">
        <f>IFERROR(VLOOKUP(E40,Groups!$A:$I,3,FALSE()),"Unassigned")</f>
        <v>Ambrish Arora</v>
      </c>
      <c r="E40" s="55" t="s">
        <v>224</v>
      </c>
      <c r="F40" s="55" t="str">
        <f>IFERROR(VLOOKUP(E40,Groups!$A:$I,2,FALSE()),"Unassigned")</f>
        <v>Varun Srivastava Team</v>
      </c>
      <c r="G40" s="55" t="str">
        <f>IFERROR(VLOOKUP(E40,Groups!$A:$I,4,FALSE()),"Direct Reports")</f>
        <v>Varun Srivastava</v>
      </c>
      <c r="H40" s="55" t="str">
        <f t="shared" si="1"/>
        <v>Member</v>
      </c>
      <c r="I40" s="55" t="s">
        <v>116</v>
      </c>
      <c r="J40" s="55" t="s">
        <v>222</v>
      </c>
      <c r="K40" s="55" t="s">
        <v>221</v>
      </c>
      <c r="L40" s="55"/>
      <c r="M40" s="55" t="s">
        <v>190</v>
      </c>
      <c r="N40" s="55" t="s">
        <v>185</v>
      </c>
      <c r="O40" s="55" t="s">
        <v>7</v>
      </c>
      <c r="P40" s="55" t="b">
        <f t="shared" si="2"/>
        <v>1</v>
      </c>
      <c r="Q40" s="55">
        <f>COUNTIF(Licenses!$A:$A,C40)</f>
        <v>2</v>
      </c>
      <c r="R40" s="55"/>
      <c r="S40" s="56">
        <v>45692.0</v>
      </c>
      <c r="T40" s="23"/>
      <c r="U40" s="23"/>
      <c r="V40" s="24" t="s">
        <v>117</v>
      </c>
      <c r="W40" s="24" t="s">
        <v>118</v>
      </c>
      <c r="X40" s="2"/>
      <c r="Y40" s="2"/>
      <c r="Z40" s="2"/>
    </row>
    <row r="41" ht="15.75" customHeight="1">
      <c r="A41" s="55" t="s">
        <v>239</v>
      </c>
      <c r="B41" s="55" t="s">
        <v>240</v>
      </c>
      <c r="C41" s="55" t="s">
        <v>241</v>
      </c>
      <c r="D41" s="55" t="str">
        <f>IFERROR(VLOOKUP(E41,Groups!$A:$I,3,FALSE()),"Unassigned")</f>
        <v>Ambrish Arora</v>
      </c>
      <c r="E41" s="55" t="s">
        <v>224</v>
      </c>
      <c r="F41" s="55" t="str">
        <f>IFERROR(VLOOKUP(E41,Groups!$A:$I,2,FALSE()),"Unassigned")</f>
        <v>Varun Srivastava Team</v>
      </c>
      <c r="G41" s="55" t="str">
        <f>IFERROR(VLOOKUP(E41,Groups!$A:$I,4,FALSE()),"Direct Reports")</f>
        <v>Varun Srivastava</v>
      </c>
      <c r="H41" s="55" t="str">
        <f t="shared" si="1"/>
        <v>Member</v>
      </c>
      <c r="I41" s="55" t="s">
        <v>92</v>
      </c>
      <c r="J41" s="55" t="s">
        <v>222</v>
      </c>
      <c r="K41" s="55" t="s">
        <v>221</v>
      </c>
      <c r="L41" s="55"/>
      <c r="M41" s="55" t="s">
        <v>190</v>
      </c>
      <c r="N41" s="55" t="s">
        <v>185</v>
      </c>
      <c r="O41" s="55" t="s">
        <v>7</v>
      </c>
      <c r="P41" s="55" t="b">
        <f t="shared" si="2"/>
        <v>1</v>
      </c>
      <c r="Q41" s="55">
        <f>COUNTIF(Licenses!$A:$A,C41)</f>
        <v>2</v>
      </c>
      <c r="R41" s="55"/>
      <c r="S41" s="56">
        <v>45286.0</v>
      </c>
      <c r="T41" s="23"/>
      <c r="U41" s="23"/>
      <c r="V41" s="24" t="s">
        <v>93</v>
      </c>
      <c r="W41" s="24" t="s">
        <v>94</v>
      </c>
      <c r="X41" s="2"/>
      <c r="Y41" s="2"/>
      <c r="Z41" s="2"/>
    </row>
    <row r="42" ht="15.75" customHeight="1">
      <c r="A42" s="55" t="s">
        <v>242</v>
      </c>
      <c r="B42" s="55" t="s">
        <v>243</v>
      </c>
      <c r="C42" s="55" t="s">
        <v>244</v>
      </c>
      <c r="D42" s="55" t="str">
        <f>IFERROR(VLOOKUP(E42,Groups!$A:$I,3,FALSE()),"Unassigned")</f>
        <v>Ambrish Arora</v>
      </c>
      <c r="E42" s="55" t="s">
        <v>224</v>
      </c>
      <c r="F42" s="55" t="str">
        <f>IFERROR(VLOOKUP(E42,Groups!$A:$I,2,FALSE()),"Unassigned")</f>
        <v>Varun Srivastava Team</v>
      </c>
      <c r="G42" s="55" t="str">
        <f>IFERROR(VLOOKUP(E42,Groups!$A:$I,4,FALSE()),"Direct Reports")</f>
        <v>Varun Srivastava</v>
      </c>
      <c r="H42" s="55" t="str">
        <f t="shared" si="1"/>
        <v>Member</v>
      </c>
      <c r="I42" s="55" t="s">
        <v>92</v>
      </c>
      <c r="J42" s="55" t="s">
        <v>222</v>
      </c>
      <c r="K42" s="55" t="s">
        <v>221</v>
      </c>
      <c r="L42" s="55"/>
      <c r="M42" s="55" t="s">
        <v>190</v>
      </c>
      <c r="N42" s="55" t="s">
        <v>185</v>
      </c>
      <c r="O42" s="55" t="s">
        <v>7</v>
      </c>
      <c r="P42" s="55" t="b">
        <f t="shared" si="2"/>
        <v>1</v>
      </c>
      <c r="Q42" s="55">
        <f>COUNTIF(Licenses!$A:$A,C42)</f>
        <v>3</v>
      </c>
      <c r="R42" s="55"/>
      <c r="S42" s="56">
        <v>45474.0</v>
      </c>
      <c r="T42" s="23"/>
      <c r="U42" s="23"/>
      <c r="V42" s="24" t="s">
        <v>93</v>
      </c>
      <c r="W42" s="24" t="s">
        <v>94</v>
      </c>
      <c r="X42" s="2"/>
      <c r="Y42" s="2"/>
      <c r="Z42" s="2"/>
    </row>
    <row r="43" ht="15.75" customHeight="1">
      <c r="A43" s="55" t="s">
        <v>245</v>
      </c>
      <c r="B43" s="55" t="s">
        <v>246</v>
      </c>
      <c r="C43" s="55" t="s">
        <v>247</v>
      </c>
      <c r="D43" s="55" t="str">
        <f>IFERROR(VLOOKUP(E43,Groups!$A:$I,3,FALSE()),"Unassigned")</f>
        <v>Ambrish Arora</v>
      </c>
      <c r="E43" s="55" t="s">
        <v>224</v>
      </c>
      <c r="F43" s="55" t="str">
        <f>IFERROR(VLOOKUP(E43,Groups!$A:$I,2,FALSE()),"Unassigned")</f>
        <v>Varun Srivastava Team</v>
      </c>
      <c r="G43" s="55" t="str">
        <f>IFERROR(VLOOKUP(E43,Groups!$A:$I,4,FALSE()),"Direct Reports")</f>
        <v>Varun Srivastava</v>
      </c>
      <c r="H43" s="55" t="str">
        <f t="shared" si="1"/>
        <v>Member</v>
      </c>
      <c r="I43" s="55" t="s">
        <v>84</v>
      </c>
      <c r="J43" s="55" t="s">
        <v>222</v>
      </c>
      <c r="K43" s="55" t="s">
        <v>221</v>
      </c>
      <c r="L43" s="55"/>
      <c r="M43" s="55" t="s">
        <v>190</v>
      </c>
      <c r="N43" s="55" t="s">
        <v>185</v>
      </c>
      <c r="O43" s="55" t="s">
        <v>7</v>
      </c>
      <c r="P43" s="55" t="b">
        <f t="shared" si="2"/>
        <v>1</v>
      </c>
      <c r="Q43" s="55">
        <f>COUNTIF(Licenses!$A:$A,C43)</f>
        <v>3</v>
      </c>
      <c r="R43" s="55"/>
      <c r="S43" s="56">
        <v>45082.0</v>
      </c>
      <c r="T43" s="23"/>
      <c r="U43" s="23"/>
      <c r="V43" s="24" t="s">
        <v>87</v>
      </c>
      <c r="W43" s="24" t="s">
        <v>88</v>
      </c>
      <c r="X43" s="2"/>
      <c r="Y43" s="2"/>
      <c r="Z43" s="2"/>
    </row>
    <row r="44" ht="15.75" customHeight="1">
      <c r="A44" s="55" t="s">
        <v>248</v>
      </c>
      <c r="B44" s="55" t="s">
        <v>249</v>
      </c>
      <c r="C44" s="55" t="s">
        <v>250</v>
      </c>
      <c r="D44" s="55" t="str">
        <f>IFERROR(VLOOKUP(E44,Groups!$A:$I,3,FALSE()),"Unassigned")</f>
        <v>Ambrish Arora</v>
      </c>
      <c r="E44" s="55" t="s">
        <v>224</v>
      </c>
      <c r="F44" s="55" t="str">
        <f>IFERROR(VLOOKUP(E44,Groups!$A:$I,2,FALSE()),"Unassigned")</f>
        <v>Varun Srivastava Team</v>
      </c>
      <c r="G44" s="55" t="str">
        <f>IFERROR(VLOOKUP(E44,Groups!$A:$I,4,FALSE()),"Direct Reports")</f>
        <v>Varun Srivastava</v>
      </c>
      <c r="H44" s="55" t="str">
        <f t="shared" si="1"/>
        <v>Member</v>
      </c>
      <c r="I44" s="55" t="s">
        <v>84</v>
      </c>
      <c r="J44" s="55" t="s">
        <v>222</v>
      </c>
      <c r="K44" s="55" t="s">
        <v>221</v>
      </c>
      <c r="L44" s="55"/>
      <c r="M44" s="55" t="s">
        <v>190</v>
      </c>
      <c r="N44" s="55" t="s">
        <v>185</v>
      </c>
      <c r="O44" s="55" t="s">
        <v>7</v>
      </c>
      <c r="P44" s="55" t="b">
        <f t="shared" si="2"/>
        <v>1</v>
      </c>
      <c r="Q44" s="55">
        <f>COUNTIF(Licenses!$A:$A,C44)</f>
        <v>3</v>
      </c>
      <c r="R44" s="55"/>
      <c r="S44" s="56">
        <v>44886.0</v>
      </c>
      <c r="T44" s="23"/>
      <c r="U44" s="23"/>
      <c r="V44" s="24" t="s">
        <v>87</v>
      </c>
      <c r="W44" s="24" t="s">
        <v>88</v>
      </c>
      <c r="X44" s="2"/>
      <c r="Y44" s="2"/>
      <c r="Z44" s="2"/>
    </row>
    <row r="45" ht="15.75" customHeight="1">
      <c r="A45" s="57" t="s">
        <v>251</v>
      </c>
      <c r="B45" s="57" t="s">
        <v>252</v>
      </c>
      <c r="C45" s="57" t="s">
        <v>253</v>
      </c>
      <c r="D45" s="57" t="str">
        <f>IFERROR(VLOOKUP(E45,Groups!$A:$I,3,FALSE()),"Unassigned")</f>
        <v>Ambrish Arora</v>
      </c>
      <c r="E45" s="57" t="s">
        <v>254</v>
      </c>
      <c r="F45" s="57" t="str">
        <f>IFERROR(VLOOKUP(E45,Groups!$A:$I,2,FALSE()),"Unassigned")</f>
        <v>Yatin Tokas Team</v>
      </c>
      <c r="G45" s="57" t="str">
        <f>IFERROR(VLOOKUP(E45,Groups!$A:$I,4,FALSE()),"Direct Reports")</f>
        <v>Yatin Tokas</v>
      </c>
      <c r="H45" s="57" t="str">
        <f t="shared" si="1"/>
        <v>Team Lead</v>
      </c>
      <c r="I45" s="57" t="s">
        <v>255</v>
      </c>
      <c r="J45" s="57" t="s">
        <v>31</v>
      </c>
      <c r="K45" s="57" t="s">
        <v>77</v>
      </c>
      <c r="L45" s="57"/>
      <c r="M45" s="57" t="s">
        <v>190</v>
      </c>
      <c r="N45" s="57" t="s">
        <v>185</v>
      </c>
      <c r="O45" s="57" t="s">
        <v>7</v>
      </c>
      <c r="P45" s="57" t="b">
        <f t="shared" si="2"/>
        <v>1</v>
      </c>
      <c r="Q45" s="57">
        <f>COUNTIF(Licenses!$A:$A,C45)</f>
        <v>3</v>
      </c>
      <c r="R45" s="57"/>
      <c r="S45" s="58">
        <v>44440.0</v>
      </c>
      <c r="T45" s="23"/>
      <c r="U45" s="23"/>
      <c r="V45" s="24" t="s">
        <v>225</v>
      </c>
      <c r="W45" s="24" t="s">
        <v>226</v>
      </c>
      <c r="X45" s="2"/>
      <c r="Y45" s="2"/>
      <c r="Z45" s="2"/>
    </row>
    <row r="46" ht="15.75" customHeight="1">
      <c r="A46" s="59" t="s">
        <v>256</v>
      </c>
      <c r="B46" s="59" t="s">
        <v>257</v>
      </c>
      <c r="C46" s="59" t="s">
        <v>258</v>
      </c>
      <c r="D46" s="59" t="str">
        <f>IFERROR(VLOOKUP(E46,Groups!$A:$I,3,FALSE()),"Unassigned")</f>
        <v>Ambrish Arora</v>
      </c>
      <c r="E46" s="59" t="s">
        <v>254</v>
      </c>
      <c r="F46" s="59" t="str">
        <f>IFERROR(VLOOKUP(E46,Groups!$A:$I,2,FALSE()),"Unassigned")</f>
        <v>Yatin Tokas Team</v>
      </c>
      <c r="G46" s="59" t="str">
        <f>IFERROR(VLOOKUP(E46,Groups!$A:$I,4,FALSE()),"Direct Reports")</f>
        <v>Yatin Tokas</v>
      </c>
      <c r="H46" s="59" t="str">
        <f t="shared" si="1"/>
        <v>Member</v>
      </c>
      <c r="I46" s="59" t="s">
        <v>92</v>
      </c>
      <c r="J46" s="59" t="s">
        <v>252</v>
      </c>
      <c r="K46" s="59" t="s">
        <v>251</v>
      </c>
      <c r="L46" s="59"/>
      <c r="M46" s="59" t="s">
        <v>190</v>
      </c>
      <c r="N46" s="59" t="s">
        <v>185</v>
      </c>
      <c r="O46" s="59" t="s">
        <v>7</v>
      </c>
      <c r="P46" s="59" t="b">
        <f t="shared" si="2"/>
        <v>1</v>
      </c>
      <c r="Q46" s="59">
        <f>COUNTIF(Licenses!$A:$A,C46)</f>
        <v>1</v>
      </c>
      <c r="R46" s="59"/>
      <c r="S46" s="60">
        <v>46090.0</v>
      </c>
      <c r="T46" s="23"/>
      <c r="U46" s="23"/>
      <c r="V46" s="24" t="s">
        <v>93</v>
      </c>
      <c r="W46" s="24" t="s">
        <v>94</v>
      </c>
      <c r="X46" s="2"/>
      <c r="Y46" s="2"/>
      <c r="Z46" s="2"/>
    </row>
    <row r="47" ht="15.75" customHeight="1">
      <c r="A47" s="59" t="s">
        <v>259</v>
      </c>
      <c r="B47" s="59" t="s">
        <v>260</v>
      </c>
      <c r="C47" s="59" t="s">
        <v>261</v>
      </c>
      <c r="D47" s="59" t="str">
        <f>IFERROR(VLOOKUP(E47,Groups!$A:$I,3,FALSE()),"Unassigned")</f>
        <v>Ambrish Arora</v>
      </c>
      <c r="E47" s="59" t="s">
        <v>254</v>
      </c>
      <c r="F47" s="59" t="str">
        <f>IFERROR(VLOOKUP(E47,Groups!$A:$I,2,FALSE()),"Unassigned")</f>
        <v>Yatin Tokas Team</v>
      </c>
      <c r="G47" s="59" t="str">
        <f>IFERROR(VLOOKUP(E47,Groups!$A:$I,4,FALSE()),"Direct Reports")</f>
        <v>Yatin Tokas</v>
      </c>
      <c r="H47" s="59" t="str">
        <f t="shared" si="1"/>
        <v>Member</v>
      </c>
      <c r="I47" s="59" t="s">
        <v>92</v>
      </c>
      <c r="J47" s="59" t="s">
        <v>252</v>
      </c>
      <c r="K47" s="59" t="s">
        <v>251</v>
      </c>
      <c r="L47" s="59"/>
      <c r="M47" s="59" t="s">
        <v>190</v>
      </c>
      <c r="N47" s="59" t="s">
        <v>185</v>
      </c>
      <c r="O47" s="59" t="s">
        <v>7</v>
      </c>
      <c r="P47" s="59" t="b">
        <f t="shared" si="2"/>
        <v>1</v>
      </c>
      <c r="Q47" s="59">
        <f>COUNTIF(Licenses!$A:$A,C47)</f>
        <v>3</v>
      </c>
      <c r="R47" s="59"/>
      <c r="S47" s="60">
        <v>45943.0</v>
      </c>
      <c r="T47" s="23"/>
      <c r="U47" s="23"/>
      <c r="V47" s="24" t="s">
        <v>93</v>
      </c>
      <c r="W47" s="24" t="s">
        <v>94</v>
      </c>
      <c r="X47" s="2"/>
      <c r="Y47" s="2"/>
      <c r="Z47" s="2"/>
    </row>
    <row r="48" ht="15.75" customHeight="1">
      <c r="A48" s="59" t="s">
        <v>262</v>
      </c>
      <c r="B48" s="59" t="s">
        <v>263</v>
      </c>
      <c r="C48" s="59" t="s">
        <v>264</v>
      </c>
      <c r="D48" s="59" t="str">
        <f>IFERROR(VLOOKUP(E48,Groups!$A:$I,3,FALSE()),"Unassigned")</f>
        <v>Ambrish Arora</v>
      </c>
      <c r="E48" s="59" t="s">
        <v>254</v>
      </c>
      <c r="F48" s="59" t="str">
        <f>IFERROR(VLOOKUP(E48,Groups!$A:$I,2,FALSE()),"Unassigned")</f>
        <v>Yatin Tokas Team</v>
      </c>
      <c r="G48" s="59" t="str">
        <f>IFERROR(VLOOKUP(E48,Groups!$A:$I,4,FALSE()),"Direct Reports")</f>
        <v>Yatin Tokas</v>
      </c>
      <c r="H48" s="59" t="str">
        <f t="shared" si="1"/>
        <v>Member</v>
      </c>
      <c r="I48" s="59" t="s">
        <v>92</v>
      </c>
      <c r="J48" s="59" t="s">
        <v>252</v>
      </c>
      <c r="K48" s="59" t="s">
        <v>251</v>
      </c>
      <c r="L48" s="59"/>
      <c r="M48" s="59" t="s">
        <v>190</v>
      </c>
      <c r="N48" s="59" t="s">
        <v>185</v>
      </c>
      <c r="O48" s="59" t="s">
        <v>7</v>
      </c>
      <c r="P48" s="59" t="b">
        <f t="shared" si="2"/>
        <v>1</v>
      </c>
      <c r="Q48" s="59">
        <f>COUNTIF(Licenses!$A:$A,C48)</f>
        <v>1</v>
      </c>
      <c r="R48" s="59"/>
      <c r="S48" s="60">
        <v>45544.0</v>
      </c>
      <c r="T48" s="23"/>
      <c r="U48" s="23"/>
      <c r="V48" s="24" t="s">
        <v>93</v>
      </c>
      <c r="W48" s="24" t="s">
        <v>94</v>
      </c>
      <c r="X48" s="2"/>
      <c r="Y48" s="2"/>
      <c r="Z48" s="2"/>
    </row>
    <row r="49" ht="15.75" customHeight="1">
      <c r="A49" s="59" t="s">
        <v>265</v>
      </c>
      <c r="B49" s="59" t="s">
        <v>266</v>
      </c>
      <c r="C49" s="59" t="s">
        <v>267</v>
      </c>
      <c r="D49" s="59" t="str">
        <f>IFERROR(VLOOKUP(E49,Groups!$A:$I,3,FALSE()),"Unassigned")</f>
        <v>Ambrish Arora</v>
      </c>
      <c r="E49" s="59" t="s">
        <v>254</v>
      </c>
      <c r="F49" s="59" t="str">
        <f>IFERROR(VLOOKUP(E49,Groups!$A:$I,2,FALSE()),"Unassigned")</f>
        <v>Yatin Tokas Team</v>
      </c>
      <c r="G49" s="59" t="str">
        <f>IFERROR(VLOOKUP(E49,Groups!$A:$I,4,FALSE()),"Direct Reports")</f>
        <v>Yatin Tokas</v>
      </c>
      <c r="H49" s="59" t="str">
        <f t="shared" si="1"/>
        <v>Member</v>
      </c>
      <c r="I49" s="59" t="s">
        <v>84</v>
      </c>
      <c r="J49" s="59" t="s">
        <v>31</v>
      </c>
      <c r="K49" s="59" t="s">
        <v>77</v>
      </c>
      <c r="L49" s="59" t="s">
        <v>251</v>
      </c>
      <c r="M49" s="59" t="s">
        <v>190</v>
      </c>
      <c r="N49" s="59" t="s">
        <v>185</v>
      </c>
      <c r="O49" s="59" t="s">
        <v>7</v>
      </c>
      <c r="P49" s="59" t="b">
        <f t="shared" si="2"/>
        <v>1</v>
      </c>
      <c r="Q49" s="59">
        <f>COUNTIF(Licenses!$A:$A,C49)</f>
        <v>2</v>
      </c>
      <c r="R49" s="59" t="s">
        <v>268</v>
      </c>
      <c r="S49" s="60">
        <v>46132.0</v>
      </c>
      <c r="T49" s="23"/>
      <c r="U49" s="23"/>
      <c r="V49" s="24" t="s">
        <v>87</v>
      </c>
      <c r="W49" s="24" t="s">
        <v>88</v>
      </c>
      <c r="X49" s="2"/>
      <c r="Y49" s="2"/>
      <c r="Z49" s="2"/>
    </row>
    <row r="50" ht="15.75" customHeight="1">
      <c r="A50" s="59" t="s">
        <v>269</v>
      </c>
      <c r="B50" s="59" t="s">
        <v>270</v>
      </c>
      <c r="C50" s="59" t="s">
        <v>271</v>
      </c>
      <c r="D50" s="59" t="str">
        <f>IFERROR(VLOOKUP(E50,Groups!$A:$I,3,FALSE()),"Unassigned")</f>
        <v>Ambrish Arora</v>
      </c>
      <c r="E50" s="59" t="s">
        <v>254</v>
      </c>
      <c r="F50" s="59" t="str">
        <f>IFERROR(VLOOKUP(E50,Groups!$A:$I,2,FALSE()),"Unassigned")</f>
        <v>Yatin Tokas Team</v>
      </c>
      <c r="G50" s="59" t="str">
        <f>IFERROR(VLOOKUP(E50,Groups!$A:$I,4,FALSE()),"Direct Reports")</f>
        <v>Yatin Tokas</v>
      </c>
      <c r="H50" s="59" t="str">
        <f t="shared" si="1"/>
        <v>Member</v>
      </c>
      <c r="I50" s="59" t="s">
        <v>92</v>
      </c>
      <c r="J50" s="59" t="s">
        <v>252</v>
      </c>
      <c r="K50" s="59" t="s">
        <v>251</v>
      </c>
      <c r="L50" s="59"/>
      <c r="M50" s="59" t="s">
        <v>190</v>
      </c>
      <c r="N50" s="59" t="s">
        <v>185</v>
      </c>
      <c r="O50" s="59" t="s">
        <v>7</v>
      </c>
      <c r="P50" s="59" t="b">
        <f t="shared" si="2"/>
        <v>1</v>
      </c>
      <c r="Q50" s="59">
        <f>COUNTIF(Licenses!$A:$A,C50)</f>
        <v>1</v>
      </c>
      <c r="R50" s="59"/>
      <c r="S50" s="60">
        <v>45474.0</v>
      </c>
      <c r="T50" s="23"/>
      <c r="U50" s="23"/>
      <c r="V50" s="24" t="s">
        <v>93</v>
      </c>
      <c r="W50" s="24" t="s">
        <v>94</v>
      </c>
      <c r="X50" s="2"/>
      <c r="Y50" s="2"/>
      <c r="Z50" s="2"/>
    </row>
    <row r="51" ht="15.75" customHeight="1">
      <c r="A51" s="59" t="s">
        <v>272</v>
      </c>
      <c r="B51" s="59" t="s">
        <v>273</v>
      </c>
      <c r="C51" s="59" t="s">
        <v>274</v>
      </c>
      <c r="D51" s="59" t="str">
        <f>IFERROR(VLOOKUP(E51,Groups!$A:$I,3,FALSE()),"Unassigned")</f>
        <v>Ambrish Arora</v>
      </c>
      <c r="E51" s="59" t="s">
        <v>254</v>
      </c>
      <c r="F51" s="59" t="str">
        <f>IFERROR(VLOOKUP(E51,Groups!$A:$I,2,FALSE()),"Unassigned")</f>
        <v>Yatin Tokas Team</v>
      </c>
      <c r="G51" s="59" t="str">
        <f>IFERROR(VLOOKUP(E51,Groups!$A:$I,4,FALSE()),"Direct Reports")</f>
        <v>Yatin Tokas</v>
      </c>
      <c r="H51" s="59" t="str">
        <f t="shared" si="1"/>
        <v>Member</v>
      </c>
      <c r="I51" s="59" t="s">
        <v>92</v>
      </c>
      <c r="J51" s="59" t="s">
        <v>252</v>
      </c>
      <c r="K51" s="59" t="s">
        <v>251</v>
      </c>
      <c r="L51" s="59"/>
      <c r="M51" s="59" t="s">
        <v>190</v>
      </c>
      <c r="N51" s="59" t="s">
        <v>185</v>
      </c>
      <c r="O51" s="59" t="s">
        <v>7</v>
      </c>
      <c r="P51" s="59" t="b">
        <f t="shared" si="2"/>
        <v>1</v>
      </c>
      <c r="Q51" s="59">
        <f>COUNTIF(Licenses!$A:$A,C51)</f>
        <v>2</v>
      </c>
      <c r="R51" s="59"/>
      <c r="S51" s="60">
        <v>45839.0</v>
      </c>
      <c r="T51" s="23"/>
      <c r="U51" s="23"/>
      <c r="V51" s="24" t="s">
        <v>93</v>
      </c>
      <c r="W51" s="24" t="s">
        <v>94</v>
      </c>
      <c r="X51" s="2"/>
      <c r="Y51" s="2"/>
      <c r="Z51" s="2"/>
    </row>
    <row r="52" ht="15.75" customHeight="1">
      <c r="A52" s="59" t="s">
        <v>275</v>
      </c>
      <c r="B52" s="59" t="s">
        <v>276</v>
      </c>
      <c r="C52" s="59" t="s">
        <v>277</v>
      </c>
      <c r="D52" s="59" t="str">
        <f>IFERROR(VLOOKUP(E52,Groups!$A:$I,3,FALSE()),"Unassigned")</f>
        <v>Ambrish Arora</v>
      </c>
      <c r="E52" s="59" t="s">
        <v>254</v>
      </c>
      <c r="F52" s="59" t="str">
        <f>IFERROR(VLOOKUP(E52,Groups!$A:$I,2,FALSE()),"Unassigned")</f>
        <v>Yatin Tokas Team</v>
      </c>
      <c r="G52" s="59" t="str">
        <f>IFERROR(VLOOKUP(E52,Groups!$A:$I,4,FALSE()),"Direct Reports")</f>
        <v>Yatin Tokas</v>
      </c>
      <c r="H52" s="59" t="str">
        <f t="shared" si="1"/>
        <v>Member</v>
      </c>
      <c r="I52" s="59" t="s">
        <v>84</v>
      </c>
      <c r="J52" s="59" t="s">
        <v>252</v>
      </c>
      <c r="K52" s="59" t="s">
        <v>251</v>
      </c>
      <c r="L52" s="59"/>
      <c r="M52" s="59" t="s">
        <v>190</v>
      </c>
      <c r="N52" s="59" t="s">
        <v>185</v>
      </c>
      <c r="O52" s="59" t="s">
        <v>7</v>
      </c>
      <c r="P52" s="59" t="b">
        <f t="shared" si="2"/>
        <v>1</v>
      </c>
      <c r="Q52" s="59">
        <f>COUNTIF(Licenses!$A:$A,C52)</f>
        <v>3</v>
      </c>
      <c r="R52" s="59"/>
      <c r="S52" s="60">
        <v>45180.0</v>
      </c>
      <c r="T52" s="23"/>
      <c r="U52" s="23"/>
      <c r="V52" s="24" t="s">
        <v>87</v>
      </c>
      <c r="W52" s="24" t="s">
        <v>88</v>
      </c>
      <c r="X52" s="2"/>
      <c r="Y52" s="2"/>
      <c r="Z52" s="2"/>
    </row>
    <row r="53" ht="15.75" customHeight="1">
      <c r="A53" s="59" t="s">
        <v>278</v>
      </c>
      <c r="B53" s="59" t="s">
        <v>279</v>
      </c>
      <c r="C53" s="59" t="s">
        <v>280</v>
      </c>
      <c r="D53" s="59" t="str">
        <f>IFERROR(VLOOKUP(E53,Groups!$A:$I,3,FALSE()),"Unassigned")</f>
        <v>Ambrish Arora</v>
      </c>
      <c r="E53" s="59" t="s">
        <v>254</v>
      </c>
      <c r="F53" s="59" t="str">
        <f>IFERROR(VLOOKUP(E53,Groups!$A:$I,2,FALSE()),"Unassigned")</f>
        <v>Yatin Tokas Team</v>
      </c>
      <c r="G53" s="59" t="str">
        <f>IFERROR(VLOOKUP(E53,Groups!$A:$I,4,FALSE()),"Direct Reports")</f>
        <v>Yatin Tokas</v>
      </c>
      <c r="H53" s="59" t="str">
        <f t="shared" si="1"/>
        <v>Member</v>
      </c>
      <c r="I53" s="59" t="s">
        <v>122</v>
      </c>
      <c r="J53" s="59" t="s">
        <v>252</v>
      </c>
      <c r="K53" s="59" t="s">
        <v>251</v>
      </c>
      <c r="L53" s="59"/>
      <c r="M53" s="59" t="s">
        <v>190</v>
      </c>
      <c r="N53" s="59" t="s">
        <v>185</v>
      </c>
      <c r="O53" s="59" t="s">
        <v>7</v>
      </c>
      <c r="P53" s="59" t="b">
        <f t="shared" si="2"/>
        <v>1</v>
      </c>
      <c r="Q53" s="59">
        <f>COUNTIF(Licenses!$A:$A,C53)</f>
        <v>0</v>
      </c>
      <c r="R53" s="59"/>
      <c r="S53" s="60">
        <v>46027.0</v>
      </c>
      <c r="T53" s="23"/>
      <c r="U53" s="23"/>
      <c r="V53" s="24" t="s">
        <v>122</v>
      </c>
      <c r="W53" s="24" t="s">
        <v>123</v>
      </c>
      <c r="X53" s="2"/>
      <c r="Y53" s="2"/>
      <c r="Z53" s="2"/>
    </row>
    <row r="54" ht="15.75" customHeight="1">
      <c r="A54" s="59" t="s">
        <v>281</v>
      </c>
      <c r="B54" s="59" t="s">
        <v>282</v>
      </c>
      <c r="C54" s="59" t="s">
        <v>283</v>
      </c>
      <c r="D54" s="59" t="str">
        <f>IFERROR(VLOOKUP(E54,Groups!$A:$I,3,FALSE()),"Unassigned")</f>
        <v>Ambrish Arora</v>
      </c>
      <c r="E54" s="59" t="s">
        <v>254</v>
      </c>
      <c r="F54" s="59" t="str">
        <f>IFERROR(VLOOKUP(E54,Groups!$A:$I,2,FALSE()),"Unassigned")</f>
        <v>Yatin Tokas Team</v>
      </c>
      <c r="G54" s="59" t="str">
        <f>IFERROR(VLOOKUP(E54,Groups!$A:$I,4,FALSE()),"Direct Reports")</f>
        <v>Yatin Tokas</v>
      </c>
      <c r="H54" s="59" t="str">
        <f t="shared" si="1"/>
        <v>Member</v>
      </c>
      <c r="I54" s="59" t="s">
        <v>116</v>
      </c>
      <c r="J54" s="59" t="s">
        <v>252</v>
      </c>
      <c r="K54" s="59" t="s">
        <v>251</v>
      </c>
      <c r="L54" s="59"/>
      <c r="M54" s="59" t="s">
        <v>190</v>
      </c>
      <c r="N54" s="59" t="s">
        <v>185</v>
      </c>
      <c r="O54" s="59" t="s">
        <v>7</v>
      </c>
      <c r="P54" s="59" t="b">
        <f t="shared" si="2"/>
        <v>1</v>
      </c>
      <c r="Q54" s="59">
        <f>COUNTIF(Licenses!$A:$A,C54)</f>
        <v>1</v>
      </c>
      <c r="R54" s="59"/>
      <c r="S54" s="60">
        <v>46041.0</v>
      </c>
      <c r="T54" s="23"/>
      <c r="U54" s="23"/>
      <c r="V54" s="24" t="s">
        <v>117</v>
      </c>
      <c r="W54" s="24" t="s">
        <v>118</v>
      </c>
      <c r="X54" s="2"/>
      <c r="Y54" s="2"/>
      <c r="Z54" s="2"/>
    </row>
    <row r="55" ht="15.75" customHeight="1">
      <c r="A55" s="61" t="s">
        <v>284</v>
      </c>
      <c r="B55" s="61" t="s">
        <v>32</v>
      </c>
      <c r="C55" s="61" t="s">
        <v>285</v>
      </c>
      <c r="D55" s="61" t="str">
        <f>IFERROR(VLOOKUP(E55,Groups!$A:$I,3,FALSE()),"Unassigned")</f>
        <v>Ankur Choksi</v>
      </c>
      <c r="E55" s="61" t="s">
        <v>286</v>
      </c>
      <c r="F55" s="61" t="str">
        <f>IFERROR(VLOOKUP(E55,Groups!$A:$I,2,FALSE()),"Unassigned")</f>
        <v>Direct Reports</v>
      </c>
      <c r="G55" s="61" t="str">
        <f>IFERROR(VLOOKUP(E55,Groups!$A:$I,4,FALSE()),"Direct Reports")</f>
        <v>Ankur Choksi</v>
      </c>
      <c r="H55" s="61" t="str">
        <f t="shared" si="1"/>
        <v>Principal</v>
      </c>
      <c r="I55" s="61" t="s">
        <v>28</v>
      </c>
      <c r="J55" s="61" t="s">
        <v>31</v>
      </c>
      <c r="K55" s="61" t="s">
        <v>77</v>
      </c>
      <c r="L55" s="61"/>
      <c r="M55" s="61" t="s">
        <v>85</v>
      </c>
      <c r="N55" s="61" t="s">
        <v>86</v>
      </c>
      <c r="O55" s="61" t="s">
        <v>7</v>
      </c>
      <c r="P55" s="61" t="b">
        <f t="shared" si="2"/>
        <v>1</v>
      </c>
      <c r="Q55" s="61">
        <f>COUNTIF(Licenses!$A:$A,C55)</f>
        <v>0</v>
      </c>
      <c r="R55" s="61"/>
      <c r="S55" s="62">
        <v>37419.0</v>
      </c>
      <c r="T55" s="23"/>
      <c r="U55" s="23"/>
      <c r="V55" s="24" t="s">
        <v>28</v>
      </c>
      <c r="W55" s="24" t="s">
        <v>80</v>
      </c>
      <c r="X55" s="2"/>
      <c r="Y55" s="2"/>
      <c r="Z55" s="2"/>
    </row>
    <row r="56" ht="15.75" customHeight="1">
      <c r="A56" s="63" t="s">
        <v>287</v>
      </c>
      <c r="B56" s="63" t="s">
        <v>288</v>
      </c>
      <c r="C56" s="63" t="s">
        <v>289</v>
      </c>
      <c r="D56" s="63" t="str">
        <f>IFERROR(VLOOKUP(E56,Groups!$A:$I,3,FALSE()),"Unassigned")</f>
        <v>Ankur Choksi</v>
      </c>
      <c r="E56" s="63" t="s">
        <v>290</v>
      </c>
      <c r="F56" s="63" t="str">
        <f>IFERROR(VLOOKUP(E56,Groups!$A:$I,2,FALSE()),"Unassigned")</f>
        <v>Prashant Bharadwaj Team</v>
      </c>
      <c r="G56" s="63" t="str">
        <f>IFERROR(VLOOKUP(E56,Groups!$A:$I,4,FALSE()),"Direct Reports")</f>
        <v>Prashant Bharadwaj</v>
      </c>
      <c r="H56" s="63" t="str">
        <f t="shared" si="1"/>
        <v>Team Lead</v>
      </c>
      <c r="I56" s="63" t="s">
        <v>127</v>
      </c>
      <c r="J56" s="63" t="s">
        <v>291</v>
      </c>
      <c r="K56" s="63" t="s">
        <v>284</v>
      </c>
      <c r="L56" s="63"/>
      <c r="M56" s="63" t="s">
        <v>85</v>
      </c>
      <c r="N56" s="63" t="s">
        <v>86</v>
      </c>
      <c r="O56" s="63" t="s">
        <v>7</v>
      </c>
      <c r="P56" s="63" t="b">
        <f t="shared" si="2"/>
        <v>1</v>
      </c>
      <c r="Q56" s="63">
        <f>COUNTIF(Licenses!$A:$A,C56)</f>
        <v>3</v>
      </c>
      <c r="R56" s="63"/>
      <c r="S56" s="64">
        <v>45413.0</v>
      </c>
      <c r="T56" s="23"/>
      <c r="U56" s="23"/>
      <c r="V56" s="24" t="s">
        <v>127</v>
      </c>
      <c r="W56" s="24" t="s">
        <v>128</v>
      </c>
      <c r="X56" s="2"/>
      <c r="Y56" s="2"/>
      <c r="Z56" s="2"/>
    </row>
    <row r="57" ht="15.75" customHeight="1">
      <c r="A57" s="65" t="s">
        <v>292</v>
      </c>
      <c r="B57" s="65" t="s">
        <v>293</v>
      </c>
      <c r="C57" s="65" t="s">
        <v>294</v>
      </c>
      <c r="D57" s="65" t="str">
        <f>IFERROR(VLOOKUP(E57,Groups!$A:$I,3,FALSE()),"Unassigned")</f>
        <v>Ankur Choksi</v>
      </c>
      <c r="E57" s="65" t="s">
        <v>290</v>
      </c>
      <c r="F57" s="65" t="str">
        <f>IFERROR(VLOOKUP(E57,Groups!$A:$I,2,FALSE()),"Unassigned")</f>
        <v>Prashant Bharadwaj Team</v>
      </c>
      <c r="G57" s="65" t="str">
        <f>IFERROR(VLOOKUP(E57,Groups!$A:$I,4,FALSE()),"Direct Reports")</f>
        <v>Prashant Bharadwaj</v>
      </c>
      <c r="H57" s="65" t="str">
        <f t="shared" si="1"/>
        <v>Member</v>
      </c>
      <c r="I57" s="65" t="s">
        <v>122</v>
      </c>
      <c r="J57" s="65" t="s">
        <v>288</v>
      </c>
      <c r="K57" s="65" t="s">
        <v>287</v>
      </c>
      <c r="L57" s="65"/>
      <c r="M57" s="65" t="s">
        <v>85</v>
      </c>
      <c r="N57" s="65" t="s">
        <v>86</v>
      </c>
      <c r="O57" s="65" t="s">
        <v>122</v>
      </c>
      <c r="P57" s="65" t="b">
        <f t="shared" si="2"/>
        <v>1</v>
      </c>
      <c r="Q57" s="65">
        <f>COUNTIF(Licenses!$A:$A,C57)</f>
        <v>0</v>
      </c>
      <c r="R57" s="65"/>
      <c r="S57" s="66">
        <v>46035.0</v>
      </c>
      <c r="T57" s="23"/>
      <c r="U57" s="23"/>
      <c r="V57" s="24" t="s">
        <v>122</v>
      </c>
      <c r="W57" s="24" t="s">
        <v>123</v>
      </c>
      <c r="X57" s="2"/>
      <c r="Y57" s="2"/>
      <c r="Z57" s="2"/>
    </row>
    <row r="58" ht="15.75" customHeight="1">
      <c r="A58" s="65" t="s">
        <v>295</v>
      </c>
      <c r="B58" s="65" t="s">
        <v>296</v>
      </c>
      <c r="C58" s="65" t="s">
        <v>297</v>
      </c>
      <c r="D58" s="65" t="str">
        <f>IFERROR(VLOOKUP(E58,Groups!$A:$I,3,FALSE()),"Unassigned")</f>
        <v>Ankur Choksi</v>
      </c>
      <c r="E58" s="65" t="s">
        <v>290</v>
      </c>
      <c r="F58" s="65" t="str">
        <f>IFERROR(VLOOKUP(E58,Groups!$A:$I,2,FALSE()),"Unassigned")</f>
        <v>Prashant Bharadwaj Team</v>
      </c>
      <c r="G58" s="65" t="str">
        <f>IFERROR(VLOOKUP(E58,Groups!$A:$I,4,FALSE()),"Direct Reports")</f>
        <v>Prashant Bharadwaj</v>
      </c>
      <c r="H58" s="65" t="str">
        <f t="shared" si="1"/>
        <v>Member</v>
      </c>
      <c r="I58" s="65" t="s">
        <v>298</v>
      </c>
      <c r="J58" s="65" t="s">
        <v>288</v>
      </c>
      <c r="K58" s="65" t="s">
        <v>287</v>
      </c>
      <c r="L58" s="65"/>
      <c r="M58" s="65" t="s">
        <v>85</v>
      </c>
      <c r="N58" s="65" t="s">
        <v>86</v>
      </c>
      <c r="O58" s="65" t="s">
        <v>7</v>
      </c>
      <c r="P58" s="65" t="b">
        <f t="shared" si="2"/>
        <v>1</v>
      </c>
      <c r="Q58" s="65">
        <f>COUNTIF(Licenses!$A:$A,C58)</f>
        <v>3</v>
      </c>
      <c r="R58" s="65"/>
      <c r="S58" s="66">
        <v>45845.0</v>
      </c>
      <c r="T58" s="23"/>
      <c r="U58" s="23"/>
      <c r="V58" s="24" t="s">
        <v>93</v>
      </c>
      <c r="W58" s="24" t="s">
        <v>94</v>
      </c>
      <c r="X58" s="2"/>
      <c r="Y58" s="2"/>
      <c r="Z58" s="2"/>
    </row>
    <row r="59" ht="15.75" customHeight="1">
      <c r="A59" s="65" t="s">
        <v>299</v>
      </c>
      <c r="B59" s="65" t="s">
        <v>300</v>
      </c>
      <c r="C59" s="65" t="s">
        <v>301</v>
      </c>
      <c r="D59" s="65" t="str">
        <f>IFERROR(VLOOKUP(E59,Groups!$A:$I,3,FALSE()),"Unassigned")</f>
        <v>Ankur Choksi</v>
      </c>
      <c r="E59" s="65" t="s">
        <v>290</v>
      </c>
      <c r="F59" s="65" t="str">
        <f>IFERROR(VLOOKUP(E59,Groups!$A:$I,2,FALSE()),"Unassigned")</f>
        <v>Prashant Bharadwaj Team</v>
      </c>
      <c r="G59" s="65" t="str">
        <f>IFERROR(VLOOKUP(E59,Groups!$A:$I,4,FALSE()),"Direct Reports")</f>
        <v>Prashant Bharadwaj</v>
      </c>
      <c r="H59" s="65" t="str">
        <f t="shared" si="1"/>
        <v>Member</v>
      </c>
      <c r="I59" s="65" t="s">
        <v>84</v>
      </c>
      <c r="J59" s="65" t="s">
        <v>288</v>
      </c>
      <c r="K59" s="65" t="s">
        <v>287</v>
      </c>
      <c r="L59" s="65"/>
      <c r="M59" s="65" t="s">
        <v>85</v>
      </c>
      <c r="N59" s="65" t="s">
        <v>86</v>
      </c>
      <c r="O59" s="65" t="s">
        <v>7</v>
      </c>
      <c r="P59" s="65" t="b">
        <f t="shared" si="2"/>
        <v>1</v>
      </c>
      <c r="Q59" s="65">
        <f>COUNTIF(Licenses!$A:$A,C59)</f>
        <v>2</v>
      </c>
      <c r="R59" s="65"/>
      <c r="S59" s="66">
        <v>45677.0</v>
      </c>
      <c r="T59" s="23"/>
      <c r="U59" s="23"/>
      <c r="V59" s="24" t="s">
        <v>87</v>
      </c>
      <c r="W59" s="24" t="s">
        <v>88</v>
      </c>
      <c r="X59" s="2"/>
      <c r="Y59" s="2"/>
      <c r="Z59" s="2"/>
    </row>
    <row r="60" ht="15.75" customHeight="1">
      <c r="A60" s="65" t="s">
        <v>302</v>
      </c>
      <c r="B60" s="65" t="s">
        <v>303</v>
      </c>
      <c r="C60" s="65" t="s">
        <v>304</v>
      </c>
      <c r="D60" s="65" t="str">
        <f>IFERROR(VLOOKUP(E60,Groups!$A:$I,3,FALSE()),"Unassigned")</f>
        <v>Ankur Choksi</v>
      </c>
      <c r="E60" s="65" t="s">
        <v>290</v>
      </c>
      <c r="F60" s="65" t="str">
        <f>IFERROR(VLOOKUP(E60,Groups!$A:$I,2,FALSE()),"Unassigned")</f>
        <v>Prashant Bharadwaj Team</v>
      </c>
      <c r="G60" s="65" t="str">
        <f>IFERROR(VLOOKUP(E60,Groups!$A:$I,4,FALSE()),"Direct Reports")</f>
        <v>Prashant Bharadwaj</v>
      </c>
      <c r="H60" s="65" t="str">
        <f t="shared" si="1"/>
        <v>Member</v>
      </c>
      <c r="I60" s="65" t="s">
        <v>84</v>
      </c>
      <c r="J60" s="65" t="s">
        <v>288</v>
      </c>
      <c r="K60" s="65" t="s">
        <v>287</v>
      </c>
      <c r="L60" s="65"/>
      <c r="M60" s="65" t="s">
        <v>85</v>
      </c>
      <c r="N60" s="65" t="s">
        <v>86</v>
      </c>
      <c r="O60" s="65" t="s">
        <v>7</v>
      </c>
      <c r="P60" s="65" t="b">
        <f t="shared" si="2"/>
        <v>1</v>
      </c>
      <c r="Q60" s="65">
        <f>COUNTIF(Licenses!$A:$A,C60)</f>
        <v>2</v>
      </c>
      <c r="R60" s="65"/>
      <c r="S60" s="66">
        <v>45103.0</v>
      </c>
      <c r="T60" s="23"/>
      <c r="U60" s="23"/>
      <c r="V60" s="24" t="s">
        <v>87</v>
      </c>
      <c r="W60" s="24" t="s">
        <v>88</v>
      </c>
      <c r="X60" s="2"/>
      <c r="Y60" s="2"/>
      <c r="Z60" s="2"/>
    </row>
    <row r="61" ht="15.75" customHeight="1">
      <c r="A61" s="65" t="s">
        <v>305</v>
      </c>
      <c r="B61" s="65" t="s">
        <v>306</v>
      </c>
      <c r="C61" s="65" t="s">
        <v>307</v>
      </c>
      <c r="D61" s="65" t="str">
        <f>IFERROR(VLOOKUP(E61,Groups!$A:$I,3,FALSE()),"Unassigned")</f>
        <v>Ankur Choksi</v>
      </c>
      <c r="E61" s="65" t="s">
        <v>290</v>
      </c>
      <c r="F61" s="65" t="str">
        <f>IFERROR(VLOOKUP(E61,Groups!$A:$I,2,FALSE()),"Unassigned")</f>
        <v>Prashant Bharadwaj Team</v>
      </c>
      <c r="G61" s="65" t="str">
        <f>IFERROR(VLOOKUP(E61,Groups!$A:$I,4,FALSE()),"Direct Reports")</f>
        <v>Prashant Bharadwaj</v>
      </c>
      <c r="H61" s="65" t="str">
        <f t="shared" si="1"/>
        <v>Member</v>
      </c>
      <c r="I61" s="65" t="s">
        <v>92</v>
      </c>
      <c r="J61" s="65" t="s">
        <v>288</v>
      </c>
      <c r="K61" s="65" t="s">
        <v>287</v>
      </c>
      <c r="L61" s="65"/>
      <c r="M61" s="65" t="s">
        <v>85</v>
      </c>
      <c r="N61" s="65" t="s">
        <v>86</v>
      </c>
      <c r="O61" s="65" t="s">
        <v>7</v>
      </c>
      <c r="P61" s="65" t="b">
        <f t="shared" si="2"/>
        <v>1</v>
      </c>
      <c r="Q61" s="65">
        <f>COUNTIF(Licenses!$A:$A,C61)</f>
        <v>1</v>
      </c>
      <c r="R61" s="65"/>
      <c r="S61" s="66">
        <v>46147.0</v>
      </c>
      <c r="T61" s="23"/>
      <c r="U61" s="23"/>
      <c r="V61" s="24" t="s">
        <v>93</v>
      </c>
      <c r="W61" s="24" t="s">
        <v>94</v>
      </c>
      <c r="X61" s="2"/>
      <c r="Y61" s="2"/>
      <c r="Z61" s="2"/>
    </row>
    <row r="62" ht="15.75" customHeight="1">
      <c r="A62" s="65" t="s">
        <v>308</v>
      </c>
      <c r="B62" s="65" t="s">
        <v>309</v>
      </c>
      <c r="C62" s="65" t="s">
        <v>310</v>
      </c>
      <c r="D62" s="65" t="str">
        <f>IFERROR(VLOOKUP(E62,Groups!$A:$I,3,FALSE()),"Unassigned")</f>
        <v>Ankur Choksi</v>
      </c>
      <c r="E62" s="65" t="s">
        <v>290</v>
      </c>
      <c r="F62" s="65" t="str">
        <f>IFERROR(VLOOKUP(E62,Groups!$A:$I,2,FALSE()),"Unassigned")</f>
        <v>Prashant Bharadwaj Team</v>
      </c>
      <c r="G62" s="65" t="str">
        <f>IFERROR(VLOOKUP(E62,Groups!$A:$I,4,FALSE()),"Direct Reports")</f>
        <v>Prashant Bharadwaj</v>
      </c>
      <c r="H62" s="65" t="str">
        <f t="shared" si="1"/>
        <v>Member</v>
      </c>
      <c r="I62" s="65" t="s">
        <v>92</v>
      </c>
      <c r="J62" s="65" t="s">
        <v>288</v>
      </c>
      <c r="K62" s="65" t="s">
        <v>287</v>
      </c>
      <c r="L62" s="65"/>
      <c r="M62" s="65" t="s">
        <v>85</v>
      </c>
      <c r="N62" s="65" t="s">
        <v>86</v>
      </c>
      <c r="O62" s="65" t="s">
        <v>7</v>
      </c>
      <c r="P62" s="65" t="b">
        <f t="shared" si="2"/>
        <v>1</v>
      </c>
      <c r="Q62" s="65">
        <f>COUNTIF(Licenses!$A:$A,C62)</f>
        <v>2</v>
      </c>
      <c r="R62" s="65"/>
      <c r="S62" s="66">
        <v>45922.0</v>
      </c>
      <c r="T62" s="23"/>
      <c r="U62" s="23"/>
      <c r="V62" s="24" t="s">
        <v>93</v>
      </c>
      <c r="W62" s="24" t="s">
        <v>94</v>
      </c>
      <c r="X62" s="2"/>
      <c r="Y62" s="2"/>
      <c r="Z62" s="2"/>
    </row>
    <row r="63" ht="15.75" customHeight="1">
      <c r="A63" s="65" t="s">
        <v>311</v>
      </c>
      <c r="B63" s="65" t="s">
        <v>312</v>
      </c>
      <c r="C63" s="65" t="s">
        <v>313</v>
      </c>
      <c r="D63" s="65" t="str">
        <f>IFERROR(VLOOKUP(E63,Groups!$A:$I,3,FALSE()),"Unassigned")</f>
        <v>Ankur Choksi</v>
      </c>
      <c r="E63" s="65" t="s">
        <v>290</v>
      </c>
      <c r="F63" s="65" t="str">
        <f>IFERROR(VLOOKUP(E63,Groups!$A:$I,2,FALSE()),"Unassigned")</f>
        <v>Prashant Bharadwaj Team</v>
      </c>
      <c r="G63" s="65" t="str">
        <f>IFERROR(VLOOKUP(E63,Groups!$A:$I,4,FALSE()),"Direct Reports")</f>
        <v>Prashant Bharadwaj</v>
      </c>
      <c r="H63" s="65" t="str">
        <f t="shared" si="1"/>
        <v>Member</v>
      </c>
      <c r="I63" s="65" t="s">
        <v>92</v>
      </c>
      <c r="J63" s="65" t="s">
        <v>288</v>
      </c>
      <c r="K63" s="65" t="s">
        <v>287</v>
      </c>
      <c r="L63" s="65"/>
      <c r="M63" s="65" t="s">
        <v>85</v>
      </c>
      <c r="N63" s="65" t="s">
        <v>86</v>
      </c>
      <c r="O63" s="65" t="s">
        <v>7</v>
      </c>
      <c r="P63" s="65" t="b">
        <f t="shared" si="2"/>
        <v>1</v>
      </c>
      <c r="Q63" s="65">
        <f>COUNTIF(Licenses!$A:$A,C63)</f>
        <v>4</v>
      </c>
      <c r="R63" s="65"/>
      <c r="S63" s="66">
        <v>45848.0</v>
      </c>
      <c r="T63" s="23"/>
      <c r="U63" s="23"/>
      <c r="V63" s="24" t="s">
        <v>93</v>
      </c>
      <c r="W63" s="24" t="s">
        <v>94</v>
      </c>
      <c r="X63" s="2"/>
      <c r="Y63" s="2"/>
      <c r="Z63" s="2"/>
    </row>
    <row r="64" ht="15.75" customHeight="1">
      <c r="A64" s="65" t="s">
        <v>314</v>
      </c>
      <c r="B64" s="65" t="s">
        <v>315</v>
      </c>
      <c r="C64" s="65" t="s">
        <v>316</v>
      </c>
      <c r="D64" s="65" t="str">
        <f>IFERROR(VLOOKUP(E64,Groups!$A:$I,3,FALSE()),"Unassigned")</f>
        <v>Ankur Choksi</v>
      </c>
      <c r="E64" s="65" t="s">
        <v>290</v>
      </c>
      <c r="F64" s="65" t="str">
        <f>IFERROR(VLOOKUP(E64,Groups!$A:$I,2,FALSE()),"Unassigned")</f>
        <v>Prashant Bharadwaj Team</v>
      </c>
      <c r="G64" s="65" t="str">
        <f>IFERROR(VLOOKUP(E64,Groups!$A:$I,4,FALSE()),"Direct Reports")</f>
        <v>Prashant Bharadwaj</v>
      </c>
      <c r="H64" s="65" t="str">
        <f t="shared" si="1"/>
        <v>Member</v>
      </c>
      <c r="I64" s="65" t="s">
        <v>317</v>
      </c>
      <c r="J64" s="65" t="s">
        <v>288</v>
      </c>
      <c r="K64" s="65" t="s">
        <v>287</v>
      </c>
      <c r="L64" s="65"/>
      <c r="M64" s="65" t="s">
        <v>85</v>
      </c>
      <c r="N64" s="65" t="s">
        <v>86</v>
      </c>
      <c r="O64" s="65" t="s">
        <v>7</v>
      </c>
      <c r="P64" s="65" t="b">
        <f t="shared" si="2"/>
        <v>1</v>
      </c>
      <c r="Q64" s="65">
        <f>COUNTIF(Licenses!$A:$A,C64)</f>
        <v>1</v>
      </c>
      <c r="R64" s="65"/>
      <c r="S64" s="66">
        <v>45574.0</v>
      </c>
      <c r="T64" s="23"/>
      <c r="U64" s="23"/>
      <c r="V64" s="24" t="s">
        <v>117</v>
      </c>
      <c r="W64" s="24" t="s">
        <v>118</v>
      </c>
      <c r="X64" s="2"/>
      <c r="Y64" s="2"/>
      <c r="Z64" s="2"/>
    </row>
    <row r="65" ht="15.75" customHeight="1">
      <c r="A65" s="67" t="s">
        <v>318</v>
      </c>
      <c r="B65" s="67" t="s">
        <v>319</v>
      </c>
      <c r="C65" s="67" t="s">
        <v>320</v>
      </c>
      <c r="D65" s="67" t="str">
        <f>IFERROR(VLOOKUP(E65,Groups!$A:$I,3,FALSE()),"Unassigned")</f>
        <v>Ankur Choksi</v>
      </c>
      <c r="E65" s="67" t="s">
        <v>321</v>
      </c>
      <c r="F65" s="67" t="str">
        <f>IFERROR(VLOOKUP(E65,Groups!$A:$I,2,FALSE()),"Unassigned")</f>
        <v>Swati Seshadri Team</v>
      </c>
      <c r="G65" s="67" t="str">
        <f>IFERROR(VLOOKUP(E65,Groups!$A:$I,4,FALSE()),"Direct Reports")</f>
        <v>Swati Seshadri</v>
      </c>
      <c r="H65" s="67" t="str">
        <f t="shared" si="1"/>
        <v>Team Lead</v>
      </c>
      <c r="I65" s="67" t="s">
        <v>225</v>
      </c>
      <c r="J65" s="67" t="s">
        <v>291</v>
      </c>
      <c r="K65" s="67" t="s">
        <v>284</v>
      </c>
      <c r="L65" s="67"/>
      <c r="M65" s="67" t="s">
        <v>85</v>
      </c>
      <c r="N65" s="67" t="s">
        <v>86</v>
      </c>
      <c r="O65" s="67" t="s">
        <v>7</v>
      </c>
      <c r="P65" s="67" t="b">
        <f t="shared" si="2"/>
        <v>1</v>
      </c>
      <c r="Q65" s="67">
        <f>COUNTIF(Licenses!$A:$A,C65)</f>
        <v>1</v>
      </c>
      <c r="R65" s="67"/>
      <c r="S65" s="68">
        <v>45054.0</v>
      </c>
      <c r="T65" s="23"/>
      <c r="U65" s="23"/>
      <c r="V65" s="24" t="s">
        <v>225</v>
      </c>
      <c r="W65" s="24" t="s">
        <v>226</v>
      </c>
      <c r="X65" s="2"/>
      <c r="Y65" s="2"/>
      <c r="Z65" s="2"/>
    </row>
    <row r="66" ht="15.75" customHeight="1">
      <c r="A66" s="69" t="s">
        <v>322</v>
      </c>
      <c r="B66" s="69" t="s">
        <v>323</v>
      </c>
      <c r="C66" s="69" t="s">
        <v>324</v>
      </c>
      <c r="D66" s="69" t="str">
        <f>IFERROR(VLOOKUP(E66,Groups!$A:$I,3,FALSE()),"Unassigned")</f>
        <v>Ankur Choksi</v>
      </c>
      <c r="E66" s="69" t="s">
        <v>321</v>
      </c>
      <c r="F66" s="69" t="str">
        <f>IFERROR(VLOOKUP(E66,Groups!$A:$I,2,FALSE()),"Unassigned")</f>
        <v>Swati Seshadri Team</v>
      </c>
      <c r="G66" s="69" t="str">
        <f>IFERROR(VLOOKUP(E66,Groups!$A:$I,4,FALSE()),"Direct Reports")</f>
        <v>Swati Seshadri</v>
      </c>
      <c r="H66" s="69" t="str">
        <f t="shared" si="1"/>
        <v>Member</v>
      </c>
      <c r="I66" s="69" t="s">
        <v>92</v>
      </c>
      <c r="J66" s="69" t="s">
        <v>319</v>
      </c>
      <c r="K66" s="69" t="s">
        <v>318</v>
      </c>
      <c r="L66" s="69"/>
      <c r="M66" s="69" t="s">
        <v>85</v>
      </c>
      <c r="N66" s="69" t="s">
        <v>86</v>
      </c>
      <c r="O66" s="69" t="s">
        <v>7</v>
      </c>
      <c r="P66" s="69" t="b">
        <f t="shared" si="2"/>
        <v>1</v>
      </c>
      <c r="Q66" s="69">
        <f>COUNTIF(Licenses!$A:$A,C66)</f>
        <v>1</v>
      </c>
      <c r="R66" s="69"/>
      <c r="S66" s="70">
        <v>45993.0</v>
      </c>
      <c r="T66" s="23"/>
      <c r="U66" s="23"/>
      <c r="V66" s="24" t="s">
        <v>93</v>
      </c>
      <c r="W66" s="24" t="s">
        <v>94</v>
      </c>
      <c r="X66" s="2"/>
      <c r="Y66" s="2"/>
      <c r="Z66" s="2"/>
    </row>
    <row r="67" ht="15.75" customHeight="1">
      <c r="A67" s="69" t="s">
        <v>325</v>
      </c>
      <c r="B67" s="69" t="s">
        <v>326</v>
      </c>
      <c r="C67" s="69" t="s">
        <v>327</v>
      </c>
      <c r="D67" s="69" t="str">
        <f>IFERROR(VLOOKUP(E67,Groups!$A:$I,3,FALSE()),"Unassigned")</f>
        <v>Ankur Choksi</v>
      </c>
      <c r="E67" s="69" t="s">
        <v>321</v>
      </c>
      <c r="F67" s="69" t="str">
        <f>IFERROR(VLOOKUP(E67,Groups!$A:$I,2,FALSE()),"Unassigned")</f>
        <v>Swati Seshadri Team</v>
      </c>
      <c r="G67" s="69" t="str">
        <f>IFERROR(VLOOKUP(E67,Groups!$A:$I,4,FALSE()),"Direct Reports")</f>
        <v>Swati Seshadri</v>
      </c>
      <c r="H67" s="69" t="str">
        <f t="shared" si="1"/>
        <v>Member</v>
      </c>
      <c r="I67" s="69" t="s">
        <v>92</v>
      </c>
      <c r="J67" s="69" t="s">
        <v>319</v>
      </c>
      <c r="K67" s="69" t="s">
        <v>318</v>
      </c>
      <c r="L67" s="69"/>
      <c r="M67" s="69" t="s">
        <v>85</v>
      </c>
      <c r="N67" s="69" t="s">
        <v>86</v>
      </c>
      <c r="O67" s="69" t="s">
        <v>7</v>
      </c>
      <c r="P67" s="69" t="b">
        <f t="shared" si="2"/>
        <v>1</v>
      </c>
      <c r="Q67" s="69">
        <f>COUNTIF(Licenses!$A:$A,C67)</f>
        <v>3</v>
      </c>
      <c r="R67" s="69"/>
      <c r="S67" s="70">
        <v>45964.0</v>
      </c>
      <c r="T67" s="23"/>
      <c r="U67" s="23"/>
      <c r="V67" s="24" t="s">
        <v>93</v>
      </c>
      <c r="W67" s="24" t="s">
        <v>94</v>
      </c>
      <c r="X67" s="2"/>
      <c r="Y67" s="2"/>
      <c r="Z67" s="2"/>
    </row>
    <row r="68" ht="15.75" customHeight="1">
      <c r="A68" s="69" t="s">
        <v>328</v>
      </c>
      <c r="B68" s="69" t="s">
        <v>329</v>
      </c>
      <c r="C68" s="69" t="s">
        <v>330</v>
      </c>
      <c r="D68" s="69" t="str">
        <f>IFERROR(VLOOKUP(E68,Groups!$A:$I,3,FALSE()),"Unassigned")</f>
        <v>Ankur Choksi</v>
      </c>
      <c r="E68" s="69" t="s">
        <v>321</v>
      </c>
      <c r="F68" s="69" t="str">
        <f>IFERROR(VLOOKUP(E68,Groups!$A:$I,2,FALSE()),"Unassigned")</f>
        <v>Swati Seshadri Team</v>
      </c>
      <c r="G68" s="69" t="str">
        <f>IFERROR(VLOOKUP(E68,Groups!$A:$I,4,FALSE()),"Direct Reports")</f>
        <v>Swati Seshadri</v>
      </c>
      <c r="H68" s="69" t="str">
        <f t="shared" si="1"/>
        <v>Member</v>
      </c>
      <c r="I68" s="69" t="s">
        <v>84</v>
      </c>
      <c r="J68" s="69" t="s">
        <v>319</v>
      </c>
      <c r="K68" s="69" t="s">
        <v>318</v>
      </c>
      <c r="L68" s="69"/>
      <c r="M68" s="69" t="s">
        <v>190</v>
      </c>
      <c r="N68" s="69" t="s">
        <v>185</v>
      </c>
      <c r="O68" s="69" t="s">
        <v>7</v>
      </c>
      <c r="P68" s="69" t="b">
        <f t="shared" si="2"/>
        <v>1</v>
      </c>
      <c r="Q68" s="69">
        <f>COUNTIF(Licenses!$A:$A,C68)</f>
        <v>3</v>
      </c>
      <c r="R68" s="69"/>
      <c r="S68" s="70">
        <v>44652.0</v>
      </c>
      <c r="T68" s="23"/>
      <c r="U68" s="23"/>
      <c r="V68" s="24" t="s">
        <v>87</v>
      </c>
      <c r="W68" s="24" t="s">
        <v>88</v>
      </c>
      <c r="X68" s="2"/>
      <c r="Y68" s="2"/>
      <c r="Z68" s="2"/>
    </row>
    <row r="69" ht="15.75" customHeight="1">
      <c r="A69" s="69" t="s">
        <v>331</v>
      </c>
      <c r="B69" s="69" t="s">
        <v>332</v>
      </c>
      <c r="C69" s="69" t="s">
        <v>333</v>
      </c>
      <c r="D69" s="69" t="str">
        <f>IFERROR(VLOOKUP(E69,Groups!$A:$I,3,FALSE()),"Unassigned")</f>
        <v>Ankur Choksi</v>
      </c>
      <c r="E69" s="69" t="s">
        <v>321</v>
      </c>
      <c r="F69" s="69" t="str">
        <f>IFERROR(VLOOKUP(E69,Groups!$A:$I,2,FALSE()),"Unassigned")</f>
        <v>Swati Seshadri Team</v>
      </c>
      <c r="G69" s="69" t="str">
        <f>IFERROR(VLOOKUP(E69,Groups!$A:$I,4,FALSE()),"Direct Reports")</f>
        <v>Swati Seshadri</v>
      </c>
      <c r="H69" s="69" t="str">
        <f t="shared" si="1"/>
        <v>Member</v>
      </c>
      <c r="I69" s="69" t="s">
        <v>116</v>
      </c>
      <c r="J69" s="69" t="s">
        <v>319</v>
      </c>
      <c r="K69" s="69" t="s">
        <v>318</v>
      </c>
      <c r="L69" s="69"/>
      <c r="M69" s="69" t="s">
        <v>85</v>
      </c>
      <c r="N69" s="69" t="s">
        <v>86</v>
      </c>
      <c r="O69" s="69" t="s">
        <v>7</v>
      </c>
      <c r="P69" s="69" t="b">
        <f t="shared" si="2"/>
        <v>1</v>
      </c>
      <c r="Q69" s="69">
        <f>COUNTIF(Licenses!$A:$A,C69)</f>
        <v>2</v>
      </c>
      <c r="R69" s="69"/>
      <c r="S69" s="70">
        <v>46035.0</v>
      </c>
      <c r="T69" s="23"/>
      <c r="U69" s="23"/>
      <c r="V69" s="24" t="s">
        <v>117</v>
      </c>
      <c r="W69" s="24" t="s">
        <v>118</v>
      </c>
      <c r="X69" s="2"/>
      <c r="Y69" s="2"/>
      <c r="Z69" s="2"/>
    </row>
    <row r="70" ht="15.75" customHeight="1">
      <c r="A70" s="69" t="s">
        <v>334</v>
      </c>
      <c r="B70" s="69" t="s">
        <v>335</v>
      </c>
      <c r="C70" s="69" t="s">
        <v>336</v>
      </c>
      <c r="D70" s="69" t="str">
        <f>IFERROR(VLOOKUP(E70,Groups!$A:$I,3,FALSE()),"Unassigned")</f>
        <v>Ankur Choksi</v>
      </c>
      <c r="E70" s="69" t="s">
        <v>321</v>
      </c>
      <c r="F70" s="69" t="str">
        <f>IFERROR(VLOOKUP(E70,Groups!$A:$I,2,FALSE()),"Unassigned")</f>
        <v>Swati Seshadri Team</v>
      </c>
      <c r="G70" s="69" t="str">
        <f>IFERROR(VLOOKUP(E70,Groups!$A:$I,4,FALSE()),"Direct Reports")</f>
        <v>Swati Seshadri</v>
      </c>
      <c r="H70" s="69" t="str">
        <f t="shared" si="1"/>
        <v>Member</v>
      </c>
      <c r="I70" s="69" t="s">
        <v>116</v>
      </c>
      <c r="J70" s="69" t="s">
        <v>319</v>
      </c>
      <c r="K70" s="69" t="s">
        <v>318</v>
      </c>
      <c r="L70" s="69"/>
      <c r="M70" s="69" t="s">
        <v>85</v>
      </c>
      <c r="N70" s="69" t="s">
        <v>86</v>
      </c>
      <c r="O70" s="69" t="s">
        <v>7</v>
      </c>
      <c r="P70" s="69" t="b">
        <f t="shared" si="2"/>
        <v>1</v>
      </c>
      <c r="Q70" s="69">
        <f>COUNTIF(Licenses!$A:$A,C70)</f>
        <v>2</v>
      </c>
      <c r="R70" s="69"/>
      <c r="S70" s="70">
        <v>45551.0</v>
      </c>
      <c r="T70" s="23"/>
      <c r="U70" s="23"/>
      <c r="V70" s="24" t="s">
        <v>117</v>
      </c>
      <c r="W70" s="24" t="s">
        <v>118</v>
      </c>
      <c r="X70" s="2"/>
      <c r="Y70" s="2"/>
      <c r="Z70" s="2"/>
    </row>
    <row r="71" ht="15.75" customHeight="1">
      <c r="A71" s="69" t="s">
        <v>337</v>
      </c>
      <c r="B71" s="69" t="s">
        <v>338</v>
      </c>
      <c r="C71" s="69" t="s">
        <v>339</v>
      </c>
      <c r="D71" s="69" t="str">
        <f>IFERROR(VLOOKUP(E71,Groups!$A:$I,3,FALSE()),"Unassigned")</f>
        <v>Ankur Choksi</v>
      </c>
      <c r="E71" s="69" t="s">
        <v>321</v>
      </c>
      <c r="F71" s="69" t="str">
        <f>IFERROR(VLOOKUP(E71,Groups!$A:$I,2,FALSE()),"Unassigned")</f>
        <v>Swati Seshadri Team</v>
      </c>
      <c r="G71" s="69" t="str">
        <f>IFERROR(VLOOKUP(E71,Groups!$A:$I,4,FALSE()),"Direct Reports")</f>
        <v>Swati Seshadri</v>
      </c>
      <c r="H71" s="69" t="str">
        <f t="shared" si="1"/>
        <v>Member</v>
      </c>
      <c r="I71" s="69" t="s">
        <v>122</v>
      </c>
      <c r="J71" s="69" t="s">
        <v>319</v>
      </c>
      <c r="K71" s="69" t="s">
        <v>318</v>
      </c>
      <c r="L71" s="69"/>
      <c r="M71" s="69" t="s">
        <v>85</v>
      </c>
      <c r="N71" s="69" t="s">
        <v>86</v>
      </c>
      <c r="O71" s="69" t="s">
        <v>122</v>
      </c>
      <c r="P71" s="69" t="b">
        <f t="shared" si="2"/>
        <v>1</v>
      </c>
      <c r="Q71" s="69">
        <f>COUNTIF(Licenses!$A:$A,C71)</f>
        <v>0</v>
      </c>
      <c r="R71" s="69"/>
      <c r="S71" s="70">
        <v>45973.0</v>
      </c>
      <c r="T71" s="23"/>
      <c r="U71" s="23"/>
      <c r="V71" s="24" t="s">
        <v>122</v>
      </c>
      <c r="W71" s="24" t="s">
        <v>123</v>
      </c>
      <c r="X71" s="2"/>
      <c r="Y71" s="2"/>
      <c r="Z71" s="2"/>
    </row>
    <row r="72" ht="15.75" customHeight="1">
      <c r="A72" s="69" t="s">
        <v>340</v>
      </c>
      <c r="B72" s="69" t="s">
        <v>341</v>
      </c>
      <c r="C72" s="69" t="s">
        <v>342</v>
      </c>
      <c r="D72" s="69" t="str">
        <f>IFERROR(VLOOKUP(E72,Groups!$A:$I,3,FALSE()),"Unassigned")</f>
        <v>Ankur Choksi</v>
      </c>
      <c r="E72" s="69" t="s">
        <v>321</v>
      </c>
      <c r="F72" s="69" t="str">
        <f>IFERROR(VLOOKUP(E72,Groups!$A:$I,2,FALSE()),"Unassigned")</f>
        <v>Swati Seshadri Team</v>
      </c>
      <c r="G72" s="69" t="str">
        <f>IFERROR(VLOOKUP(E72,Groups!$A:$I,4,FALSE()),"Direct Reports")</f>
        <v>Swati Seshadri</v>
      </c>
      <c r="H72" s="69" t="str">
        <f t="shared" si="1"/>
        <v>Member</v>
      </c>
      <c r="I72" s="69" t="s">
        <v>84</v>
      </c>
      <c r="J72" s="69" t="s">
        <v>319</v>
      </c>
      <c r="K72" s="69" t="s">
        <v>318</v>
      </c>
      <c r="L72" s="69"/>
      <c r="M72" s="69" t="s">
        <v>85</v>
      </c>
      <c r="N72" s="69" t="s">
        <v>86</v>
      </c>
      <c r="O72" s="69" t="s">
        <v>7</v>
      </c>
      <c r="P72" s="69" t="b">
        <f t="shared" si="2"/>
        <v>1</v>
      </c>
      <c r="Q72" s="69">
        <f>COUNTIF(Licenses!$A:$A,C72)</f>
        <v>2</v>
      </c>
      <c r="R72" s="69"/>
      <c r="S72" s="70">
        <v>46090.0</v>
      </c>
      <c r="T72" s="23"/>
      <c r="U72" s="23"/>
      <c r="V72" s="24" t="s">
        <v>87</v>
      </c>
      <c r="W72" s="24" t="s">
        <v>88</v>
      </c>
      <c r="X72" s="2"/>
      <c r="Y72" s="2"/>
      <c r="Z72" s="2"/>
    </row>
    <row r="73" ht="15.75" customHeight="1">
      <c r="A73" s="69" t="s">
        <v>343</v>
      </c>
      <c r="B73" s="69" t="s">
        <v>344</v>
      </c>
      <c r="C73" s="69" t="s">
        <v>345</v>
      </c>
      <c r="D73" s="69" t="str">
        <f>IFERROR(VLOOKUP(E73,Groups!$A:$I,3,FALSE()),"Unassigned")</f>
        <v>Ankur Choksi</v>
      </c>
      <c r="E73" s="69" t="s">
        <v>321</v>
      </c>
      <c r="F73" s="69" t="str">
        <f>IFERROR(VLOOKUP(E73,Groups!$A:$I,2,FALSE()),"Unassigned")</f>
        <v>Swati Seshadri Team</v>
      </c>
      <c r="G73" s="69" t="str">
        <f>IFERROR(VLOOKUP(E73,Groups!$A:$I,4,FALSE()),"Direct Reports")</f>
        <v>Swati Seshadri</v>
      </c>
      <c r="H73" s="69" t="str">
        <f t="shared" si="1"/>
        <v>Member</v>
      </c>
      <c r="I73" s="69" t="s">
        <v>84</v>
      </c>
      <c r="J73" s="69" t="s">
        <v>319</v>
      </c>
      <c r="K73" s="69" t="s">
        <v>318</v>
      </c>
      <c r="L73" s="69"/>
      <c r="M73" s="69" t="s">
        <v>85</v>
      </c>
      <c r="N73" s="69" t="s">
        <v>86</v>
      </c>
      <c r="O73" s="69" t="s">
        <v>7</v>
      </c>
      <c r="P73" s="69" t="b">
        <f t="shared" si="2"/>
        <v>1</v>
      </c>
      <c r="Q73" s="69">
        <f>COUNTIF(Licenses!$A:$A,C73)</f>
        <v>2</v>
      </c>
      <c r="R73" s="69"/>
      <c r="S73" s="70">
        <v>45446.0</v>
      </c>
      <c r="T73" s="23"/>
      <c r="U73" s="23"/>
      <c r="V73" s="24" t="s">
        <v>87</v>
      </c>
      <c r="W73" s="24" t="s">
        <v>88</v>
      </c>
      <c r="X73" s="2"/>
      <c r="Y73" s="2"/>
      <c r="Z73" s="2"/>
    </row>
    <row r="74" ht="15.75" customHeight="1">
      <c r="A74" s="69" t="s">
        <v>346</v>
      </c>
      <c r="B74" s="69" t="s">
        <v>347</v>
      </c>
      <c r="C74" s="69" t="s">
        <v>348</v>
      </c>
      <c r="D74" s="69" t="str">
        <f>IFERROR(VLOOKUP(E74,Groups!$A:$I,3,FALSE()),"Unassigned")</f>
        <v>Ankur Choksi</v>
      </c>
      <c r="E74" s="69" t="s">
        <v>321</v>
      </c>
      <c r="F74" s="69" t="str">
        <f>IFERROR(VLOOKUP(E74,Groups!$A:$I,2,FALSE()),"Unassigned")</f>
        <v>Swati Seshadri Team</v>
      </c>
      <c r="G74" s="69" t="str">
        <f>IFERROR(VLOOKUP(E74,Groups!$A:$I,4,FALSE()),"Direct Reports")</f>
        <v>Swati Seshadri</v>
      </c>
      <c r="H74" s="69" t="str">
        <f t="shared" si="1"/>
        <v>Member</v>
      </c>
      <c r="I74" s="69" t="s">
        <v>92</v>
      </c>
      <c r="J74" s="69" t="s">
        <v>319</v>
      </c>
      <c r="K74" s="69" t="s">
        <v>318</v>
      </c>
      <c r="L74" s="69"/>
      <c r="M74" s="69" t="s">
        <v>85</v>
      </c>
      <c r="N74" s="69" t="s">
        <v>86</v>
      </c>
      <c r="O74" s="69" t="s">
        <v>7</v>
      </c>
      <c r="P74" s="69" t="b">
        <f t="shared" si="2"/>
        <v>1</v>
      </c>
      <c r="Q74" s="69">
        <f>COUNTIF(Licenses!$A:$A,C74)</f>
        <v>3</v>
      </c>
      <c r="R74" s="69"/>
      <c r="S74" s="70">
        <v>45502.0</v>
      </c>
      <c r="T74" s="23"/>
      <c r="U74" s="23"/>
      <c r="V74" s="24" t="s">
        <v>93</v>
      </c>
      <c r="W74" s="24" t="s">
        <v>94</v>
      </c>
      <c r="X74" s="2"/>
      <c r="Y74" s="2"/>
      <c r="Z74" s="2"/>
    </row>
    <row r="75" ht="15.75" customHeight="1">
      <c r="A75" s="69" t="s">
        <v>349</v>
      </c>
      <c r="B75" s="69" t="s">
        <v>350</v>
      </c>
      <c r="C75" s="69" t="s">
        <v>351</v>
      </c>
      <c r="D75" s="69" t="str">
        <f>IFERROR(VLOOKUP(E75,Groups!$A:$I,3,FALSE()),"Unassigned")</f>
        <v>Ankur Choksi</v>
      </c>
      <c r="E75" s="69" t="s">
        <v>321</v>
      </c>
      <c r="F75" s="69" t="str">
        <f>IFERROR(VLOOKUP(E75,Groups!$A:$I,2,FALSE()),"Unassigned")</f>
        <v>Swati Seshadri Team</v>
      </c>
      <c r="G75" s="69" t="str">
        <f>IFERROR(VLOOKUP(E75,Groups!$A:$I,4,FALSE()),"Direct Reports")</f>
        <v>Swati Seshadri</v>
      </c>
      <c r="H75" s="69" t="str">
        <f t="shared" si="1"/>
        <v>Member</v>
      </c>
      <c r="I75" s="69" t="s">
        <v>92</v>
      </c>
      <c r="J75" s="69" t="s">
        <v>319</v>
      </c>
      <c r="K75" s="69" t="s">
        <v>318</v>
      </c>
      <c r="L75" s="69"/>
      <c r="M75" s="69" t="s">
        <v>85</v>
      </c>
      <c r="N75" s="69" t="s">
        <v>86</v>
      </c>
      <c r="O75" s="69" t="s">
        <v>7</v>
      </c>
      <c r="P75" s="69" t="b">
        <f t="shared" si="2"/>
        <v>1</v>
      </c>
      <c r="Q75" s="69">
        <f>COUNTIF(Licenses!$A:$A,C75)</f>
        <v>2</v>
      </c>
      <c r="R75" s="69"/>
      <c r="S75" s="70">
        <v>45719.0</v>
      </c>
      <c r="T75" s="23"/>
      <c r="U75" s="23"/>
      <c r="V75" s="24" t="s">
        <v>93</v>
      </c>
      <c r="W75" s="24" t="s">
        <v>94</v>
      </c>
      <c r="X75" s="2"/>
      <c r="Y75" s="2"/>
      <c r="Z75" s="2"/>
    </row>
    <row r="76" ht="15.75" customHeight="1">
      <c r="A76" s="71" t="s">
        <v>352</v>
      </c>
      <c r="B76" s="71" t="s">
        <v>33</v>
      </c>
      <c r="C76" s="71" t="s">
        <v>353</v>
      </c>
      <c r="D76" s="71" t="str">
        <f>IFERROR(VLOOKUP(E76,Groups!$A:$I,3,FALSE()),"Unassigned")</f>
        <v>Asha Sairam</v>
      </c>
      <c r="E76" s="71" t="s">
        <v>354</v>
      </c>
      <c r="F76" s="71" t="str">
        <f>IFERROR(VLOOKUP(E76,Groups!$A:$I,2,FALSE()),"Unassigned")</f>
        <v>Direct Reports</v>
      </c>
      <c r="G76" s="71" t="str">
        <f>IFERROR(VLOOKUP(E76,Groups!$A:$I,4,FALSE()),"Direct Reports")</f>
        <v>Asha Sairam</v>
      </c>
      <c r="H76" s="71" t="str">
        <f t="shared" si="1"/>
        <v>Principal</v>
      </c>
      <c r="I76" s="71" t="s">
        <v>28</v>
      </c>
      <c r="J76" s="71" t="s">
        <v>31</v>
      </c>
      <c r="K76" s="71" t="s">
        <v>77</v>
      </c>
      <c r="L76" s="71"/>
      <c r="M76" s="71" t="s">
        <v>355</v>
      </c>
      <c r="N76" s="71" t="s">
        <v>356</v>
      </c>
      <c r="O76" s="71" t="s">
        <v>7</v>
      </c>
      <c r="P76" s="71" t="b">
        <f t="shared" si="2"/>
        <v>1</v>
      </c>
      <c r="Q76" s="71">
        <f>COUNTIF(Licenses!$A:$A,C76)</f>
        <v>1</v>
      </c>
      <c r="R76" s="71"/>
      <c r="S76" s="72">
        <v>40350.0</v>
      </c>
      <c r="T76" s="23"/>
      <c r="U76" s="23"/>
      <c r="V76" s="24" t="s">
        <v>28</v>
      </c>
      <c r="W76" s="24" t="s">
        <v>80</v>
      </c>
      <c r="X76" s="2"/>
      <c r="Y76" s="2"/>
      <c r="Z76" s="2"/>
    </row>
    <row r="77" ht="15.75" customHeight="1">
      <c r="A77" s="73" t="s">
        <v>357</v>
      </c>
      <c r="B77" s="73" t="s">
        <v>358</v>
      </c>
      <c r="C77" s="73" t="s">
        <v>359</v>
      </c>
      <c r="D77" s="73" t="str">
        <f>IFERROR(VLOOKUP(E77,Groups!$A:$I,3,FALSE()),"Unassigned")</f>
        <v>Asha Sairam</v>
      </c>
      <c r="E77" s="73" t="s">
        <v>360</v>
      </c>
      <c r="F77" s="73" t="str">
        <f>IFERROR(VLOOKUP(E77,Groups!$A:$I,2,FALSE()),"Unassigned")</f>
        <v>Insiya Pithawala Team</v>
      </c>
      <c r="G77" s="73" t="str">
        <f>IFERROR(VLOOKUP(E77,Groups!$A:$I,4,FALSE()),"Direct Reports")</f>
        <v>Insiya Pithawala</v>
      </c>
      <c r="H77" s="73" t="str">
        <f t="shared" si="1"/>
        <v>Team Lead</v>
      </c>
      <c r="I77" s="73" t="s">
        <v>225</v>
      </c>
      <c r="J77" s="73" t="s">
        <v>33</v>
      </c>
      <c r="K77" s="73" t="s">
        <v>352</v>
      </c>
      <c r="L77" s="73"/>
      <c r="M77" s="73" t="s">
        <v>355</v>
      </c>
      <c r="N77" s="73" t="s">
        <v>356</v>
      </c>
      <c r="O77" s="73" t="s">
        <v>7</v>
      </c>
      <c r="P77" s="73" t="b">
        <f t="shared" si="2"/>
        <v>1</v>
      </c>
      <c r="Q77" s="73">
        <f>COUNTIF(Licenses!$A:$A,C77)</f>
        <v>2</v>
      </c>
      <c r="R77" s="73"/>
      <c r="S77" s="74">
        <v>43654.0</v>
      </c>
      <c r="T77" s="23"/>
      <c r="U77" s="23"/>
      <c r="V77" s="24" t="s">
        <v>225</v>
      </c>
      <c r="W77" s="24" t="s">
        <v>226</v>
      </c>
      <c r="X77" s="2"/>
      <c r="Y77" s="2"/>
      <c r="Z77" s="2"/>
    </row>
    <row r="78" ht="15.75" customHeight="1">
      <c r="A78" s="75" t="s">
        <v>361</v>
      </c>
      <c r="B78" s="75" t="s">
        <v>362</v>
      </c>
      <c r="C78" s="75" t="s">
        <v>363</v>
      </c>
      <c r="D78" s="75" t="str">
        <f>IFERROR(VLOOKUP(E78,Groups!$A:$I,3,FALSE()),"Unassigned")</f>
        <v>Asha Sairam</v>
      </c>
      <c r="E78" s="75" t="s">
        <v>360</v>
      </c>
      <c r="F78" s="75" t="str">
        <f>IFERROR(VLOOKUP(E78,Groups!$A:$I,2,FALSE()),"Unassigned")</f>
        <v>Insiya Pithawala Team</v>
      </c>
      <c r="G78" s="75" t="str">
        <f>IFERROR(VLOOKUP(E78,Groups!$A:$I,4,FALSE()),"Direct Reports")</f>
        <v>Insiya Pithawala</v>
      </c>
      <c r="H78" s="75" t="str">
        <f t="shared" si="1"/>
        <v>Member</v>
      </c>
      <c r="I78" s="75" t="s">
        <v>298</v>
      </c>
      <c r="J78" s="75" t="s">
        <v>358</v>
      </c>
      <c r="K78" s="75" t="s">
        <v>357</v>
      </c>
      <c r="L78" s="75"/>
      <c r="M78" s="75" t="s">
        <v>364</v>
      </c>
      <c r="N78" s="75" t="s">
        <v>365</v>
      </c>
      <c r="O78" s="75" t="s">
        <v>7</v>
      </c>
      <c r="P78" s="75" t="b">
        <f t="shared" si="2"/>
        <v>1</v>
      </c>
      <c r="Q78" s="75">
        <f>COUNTIF(Licenses!$A:$A,C78)</f>
        <v>2</v>
      </c>
      <c r="R78" s="75"/>
      <c r="S78" s="76">
        <v>45873.0</v>
      </c>
      <c r="T78" s="23"/>
      <c r="U78" s="23"/>
      <c r="V78" s="24" t="s">
        <v>93</v>
      </c>
      <c r="W78" s="24" t="s">
        <v>94</v>
      </c>
      <c r="X78" s="2"/>
      <c r="Y78" s="2"/>
      <c r="Z78" s="2"/>
    </row>
    <row r="79" ht="15.75" customHeight="1">
      <c r="A79" s="75" t="s">
        <v>366</v>
      </c>
      <c r="B79" s="75" t="s">
        <v>367</v>
      </c>
      <c r="C79" s="75" t="s">
        <v>368</v>
      </c>
      <c r="D79" s="75" t="str">
        <f>IFERROR(VLOOKUP(E79,Groups!$A:$I,3,FALSE()),"Unassigned")</f>
        <v>Asha Sairam</v>
      </c>
      <c r="E79" s="75" t="s">
        <v>360</v>
      </c>
      <c r="F79" s="75" t="str">
        <f>IFERROR(VLOOKUP(E79,Groups!$A:$I,2,FALSE()),"Unassigned")</f>
        <v>Insiya Pithawala Team</v>
      </c>
      <c r="G79" s="75" t="str">
        <f>IFERROR(VLOOKUP(E79,Groups!$A:$I,4,FALSE()),"Direct Reports")</f>
        <v>Insiya Pithawala</v>
      </c>
      <c r="H79" s="75" t="str">
        <f t="shared" si="1"/>
        <v>Member</v>
      </c>
      <c r="I79" s="75" t="s">
        <v>122</v>
      </c>
      <c r="J79" s="75" t="s">
        <v>358</v>
      </c>
      <c r="K79" s="75" t="s">
        <v>357</v>
      </c>
      <c r="L79" s="75"/>
      <c r="M79" s="75" t="s">
        <v>364</v>
      </c>
      <c r="N79" s="75" t="s">
        <v>365</v>
      </c>
      <c r="O79" s="75" t="s">
        <v>7</v>
      </c>
      <c r="P79" s="75" t="b">
        <f t="shared" si="2"/>
        <v>1</v>
      </c>
      <c r="Q79" s="75">
        <f>COUNTIF(Licenses!$A:$A,C79)</f>
        <v>0</v>
      </c>
      <c r="R79" s="75"/>
      <c r="S79" s="76">
        <v>46049.0</v>
      </c>
      <c r="T79" s="23"/>
      <c r="U79" s="23"/>
      <c r="V79" s="24" t="s">
        <v>122</v>
      </c>
      <c r="W79" s="24" t="s">
        <v>123</v>
      </c>
      <c r="X79" s="2"/>
      <c r="Y79" s="2"/>
      <c r="Z79" s="2"/>
    </row>
    <row r="80" ht="15.75" customHeight="1">
      <c r="A80" s="75" t="s">
        <v>369</v>
      </c>
      <c r="B80" s="75" t="s">
        <v>370</v>
      </c>
      <c r="C80" s="75" t="s">
        <v>371</v>
      </c>
      <c r="D80" s="75" t="str">
        <f>IFERROR(VLOOKUP(E80,Groups!$A:$I,3,FALSE()),"Unassigned")</f>
        <v>Asha Sairam</v>
      </c>
      <c r="E80" s="75" t="s">
        <v>360</v>
      </c>
      <c r="F80" s="75" t="str">
        <f>IFERROR(VLOOKUP(E80,Groups!$A:$I,2,FALSE()),"Unassigned")</f>
        <v>Insiya Pithawala Team</v>
      </c>
      <c r="G80" s="75" t="str">
        <f>IFERROR(VLOOKUP(E80,Groups!$A:$I,4,FALSE()),"Direct Reports")</f>
        <v>Insiya Pithawala</v>
      </c>
      <c r="H80" s="75" t="str">
        <f t="shared" si="1"/>
        <v>Member</v>
      </c>
      <c r="I80" s="75" t="s">
        <v>372</v>
      </c>
      <c r="J80" s="75" t="s">
        <v>358</v>
      </c>
      <c r="K80" s="75" t="s">
        <v>357</v>
      </c>
      <c r="L80" s="75"/>
      <c r="M80" s="75" t="s">
        <v>355</v>
      </c>
      <c r="N80" s="75" t="s">
        <v>356</v>
      </c>
      <c r="O80" s="75" t="s">
        <v>7</v>
      </c>
      <c r="P80" s="75" t="b">
        <f t="shared" si="2"/>
        <v>1</v>
      </c>
      <c r="Q80" s="75">
        <f>COUNTIF(Licenses!$A:$A,C80)</f>
        <v>4</v>
      </c>
      <c r="R80" s="75"/>
      <c r="S80" s="76">
        <v>45691.0</v>
      </c>
      <c r="T80" s="23"/>
      <c r="U80" s="23"/>
      <c r="V80" s="24" t="s">
        <v>87</v>
      </c>
      <c r="W80" s="24" t="s">
        <v>88</v>
      </c>
      <c r="X80" s="2"/>
      <c r="Y80" s="2"/>
      <c r="Z80" s="2"/>
    </row>
    <row r="81" ht="15.75" customHeight="1">
      <c r="A81" s="75" t="s">
        <v>373</v>
      </c>
      <c r="B81" s="75" t="s">
        <v>374</v>
      </c>
      <c r="C81" s="75" t="s">
        <v>375</v>
      </c>
      <c r="D81" s="75" t="str">
        <f>IFERROR(VLOOKUP(E81,Groups!$A:$I,3,FALSE()),"Unassigned")</f>
        <v>Asha Sairam</v>
      </c>
      <c r="E81" s="75" t="s">
        <v>360</v>
      </c>
      <c r="F81" s="75" t="str">
        <f>IFERROR(VLOOKUP(E81,Groups!$A:$I,2,FALSE()),"Unassigned")</f>
        <v>Insiya Pithawala Team</v>
      </c>
      <c r="G81" s="75" t="str">
        <f>IFERROR(VLOOKUP(E81,Groups!$A:$I,4,FALSE()),"Direct Reports")</f>
        <v>Insiya Pithawala</v>
      </c>
      <c r="H81" s="75" t="str">
        <f t="shared" si="1"/>
        <v>Member</v>
      </c>
      <c r="I81" s="75" t="s">
        <v>298</v>
      </c>
      <c r="J81" s="75" t="s">
        <v>358</v>
      </c>
      <c r="K81" s="75" t="s">
        <v>357</v>
      </c>
      <c r="L81" s="75"/>
      <c r="M81" s="75" t="s">
        <v>355</v>
      </c>
      <c r="N81" s="75" t="s">
        <v>356</v>
      </c>
      <c r="O81" s="75" t="s">
        <v>7</v>
      </c>
      <c r="P81" s="75" t="b">
        <f t="shared" si="2"/>
        <v>1</v>
      </c>
      <c r="Q81" s="75">
        <f>COUNTIF(Licenses!$A:$A,C81)</f>
        <v>3</v>
      </c>
      <c r="R81" s="75"/>
      <c r="S81" s="76">
        <v>45461.0</v>
      </c>
      <c r="T81" s="23"/>
      <c r="U81" s="23"/>
      <c r="V81" s="24" t="s">
        <v>93</v>
      </c>
      <c r="W81" s="24" t="s">
        <v>94</v>
      </c>
      <c r="X81" s="2"/>
      <c r="Y81" s="2"/>
      <c r="Z81" s="2"/>
    </row>
    <row r="82" ht="15.75" customHeight="1">
      <c r="A82" s="75" t="s">
        <v>376</v>
      </c>
      <c r="B82" s="75" t="s">
        <v>377</v>
      </c>
      <c r="C82" s="75" t="s">
        <v>378</v>
      </c>
      <c r="D82" s="75" t="str">
        <f>IFERROR(VLOOKUP(E82,Groups!$A:$I,3,FALSE()),"Unassigned")</f>
        <v>Asha Sairam</v>
      </c>
      <c r="E82" s="75" t="s">
        <v>360</v>
      </c>
      <c r="F82" s="75" t="str">
        <f>IFERROR(VLOOKUP(E82,Groups!$A:$I,2,FALSE()),"Unassigned")</f>
        <v>Insiya Pithawala Team</v>
      </c>
      <c r="G82" s="75" t="str">
        <f>IFERROR(VLOOKUP(E82,Groups!$A:$I,4,FALSE()),"Direct Reports")</f>
        <v>Insiya Pithawala</v>
      </c>
      <c r="H82" s="75" t="str">
        <f t="shared" si="1"/>
        <v>Member</v>
      </c>
      <c r="I82" s="75" t="s">
        <v>298</v>
      </c>
      <c r="J82" s="75" t="s">
        <v>358</v>
      </c>
      <c r="K82" s="75" t="s">
        <v>357</v>
      </c>
      <c r="L82" s="75"/>
      <c r="M82" s="75" t="s">
        <v>364</v>
      </c>
      <c r="N82" s="75" t="s">
        <v>365</v>
      </c>
      <c r="O82" s="75" t="s">
        <v>7</v>
      </c>
      <c r="P82" s="75" t="b">
        <f t="shared" si="2"/>
        <v>1</v>
      </c>
      <c r="Q82" s="75">
        <f>COUNTIF(Licenses!$A:$A,C82)</f>
        <v>4</v>
      </c>
      <c r="R82" s="75"/>
      <c r="S82" s="76">
        <v>45810.0</v>
      </c>
      <c r="T82" s="23"/>
      <c r="U82" s="23"/>
      <c r="V82" s="24" t="s">
        <v>93</v>
      </c>
      <c r="W82" s="24" t="s">
        <v>94</v>
      </c>
      <c r="X82" s="2"/>
      <c r="Y82" s="2"/>
      <c r="Z82" s="2"/>
    </row>
    <row r="83" ht="15.75" customHeight="1">
      <c r="A83" s="75" t="s">
        <v>379</v>
      </c>
      <c r="B83" s="75" t="s">
        <v>380</v>
      </c>
      <c r="C83" s="75" t="s">
        <v>381</v>
      </c>
      <c r="D83" s="75" t="str">
        <f>IFERROR(VLOOKUP(E83,Groups!$A:$I,3,FALSE()),"Unassigned")</f>
        <v>Asha Sairam</v>
      </c>
      <c r="E83" s="75" t="s">
        <v>360</v>
      </c>
      <c r="F83" s="75" t="str">
        <f>IFERROR(VLOOKUP(E83,Groups!$A:$I,2,FALSE()),"Unassigned")</f>
        <v>Insiya Pithawala Team</v>
      </c>
      <c r="G83" s="75" t="str">
        <f>IFERROR(VLOOKUP(E83,Groups!$A:$I,4,FALSE()),"Direct Reports")</f>
        <v>Insiya Pithawala</v>
      </c>
      <c r="H83" s="75" t="str">
        <f t="shared" si="1"/>
        <v>Member</v>
      </c>
      <c r="I83" s="75" t="s">
        <v>298</v>
      </c>
      <c r="J83" s="75" t="s">
        <v>358</v>
      </c>
      <c r="K83" s="75" t="s">
        <v>357</v>
      </c>
      <c r="L83" s="75"/>
      <c r="M83" s="75" t="s">
        <v>364</v>
      </c>
      <c r="N83" s="75" t="s">
        <v>365</v>
      </c>
      <c r="O83" s="75" t="s">
        <v>7</v>
      </c>
      <c r="P83" s="75" t="b">
        <f t="shared" si="2"/>
        <v>1</v>
      </c>
      <c r="Q83" s="75">
        <f>COUNTIF(Licenses!$A:$A,C83)</f>
        <v>1</v>
      </c>
      <c r="R83" s="75"/>
      <c r="S83" s="76">
        <v>46055.0</v>
      </c>
      <c r="T83" s="23"/>
      <c r="U83" s="23"/>
      <c r="V83" s="24" t="s">
        <v>93</v>
      </c>
      <c r="W83" s="24" t="s">
        <v>94</v>
      </c>
      <c r="X83" s="2"/>
      <c r="Y83" s="2"/>
      <c r="Z83" s="2"/>
    </row>
    <row r="84" ht="15.75" customHeight="1">
      <c r="A84" s="75" t="s">
        <v>382</v>
      </c>
      <c r="B84" s="75" t="s">
        <v>383</v>
      </c>
      <c r="C84" s="75" t="s">
        <v>384</v>
      </c>
      <c r="D84" s="75" t="str">
        <f>IFERROR(VLOOKUP(E84,Groups!$A:$I,3,FALSE()),"Unassigned")</f>
        <v>Asha Sairam</v>
      </c>
      <c r="E84" s="75" t="s">
        <v>360</v>
      </c>
      <c r="F84" s="75" t="str">
        <f>IFERROR(VLOOKUP(E84,Groups!$A:$I,2,FALSE()),"Unassigned")</f>
        <v>Insiya Pithawala Team</v>
      </c>
      <c r="G84" s="75" t="str">
        <f>IFERROR(VLOOKUP(E84,Groups!$A:$I,4,FALSE()),"Direct Reports")</f>
        <v>Insiya Pithawala</v>
      </c>
      <c r="H84" s="75" t="str">
        <f t="shared" si="1"/>
        <v>Member</v>
      </c>
      <c r="I84" s="75" t="s">
        <v>298</v>
      </c>
      <c r="J84" s="75" t="s">
        <v>358</v>
      </c>
      <c r="K84" s="75" t="s">
        <v>357</v>
      </c>
      <c r="L84" s="75"/>
      <c r="M84" s="75" t="s">
        <v>355</v>
      </c>
      <c r="N84" s="75" t="s">
        <v>356</v>
      </c>
      <c r="O84" s="75" t="s">
        <v>7</v>
      </c>
      <c r="P84" s="75" t="b">
        <f t="shared" si="2"/>
        <v>1</v>
      </c>
      <c r="Q84" s="75">
        <f>COUNTIF(Licenses!$A:$A,C84)</f>
        <v>1</v>
      </c>
      <c r="R84" s="75"/>
      <c r="S84" s="76">
        <v>46113.0</v>
      </c>
      <c r="T84" s="23"/>
      <c r="U84" s="23"/>
      <c r="V84" s="24" t="s">
        <v>93</v>
      </c>
      <c r="W84" s="24" t="s">
        <v>94</v>
      </c>
      <c r="X84" s="2"/>
      <c r="Y84" s="2"/>
      <c r="Z84" s="2"/>
    </row>
    <row r="85" ht="15.75" customHeight="1">
      <c r="A85" s="75" t="s">
        <v>385</v>
      </c>
      <c r="B85" s="75" t="s">
        <v>386</v>
      </c>
      <c r="C85" s="75" t="s">
        <v>387</v>
      </c>
      <c r="D85" s="75" t="str">
        <f>IFERROR(VLOOKUP(E85,Groups!$A:$I,3,FALSE()),"Unassigned")</f>
        <v>Asha Sairam</v>
      </c>
      <c r="E85" s="75" t="s">
        <v>360</v>
      </c>
      <c r="F85" s="75" t="str">
        <f>IFERROR(VLOOKUP(E85,Groups!$A:$I,2,FALSE()),"Unassigned")</f>
        <v>Insiya Pithawala Team</v>
      </c>
      <c r="G85" s="75" t="str">
        <f>IFERROR(VLOOKUP(E85,Groups!$A:$I,4,FALSE()),"Direct Reports")</f>
        <v>Insiya Pithawala</v>
      </c>
      <c r="H85" s="75" t="str">
        <f t="shared" si="1"/>
        <v>Member</v>
      </c>
      <c r="I85" s="75" t="s">
        <v>372</v>
      </c>
      <c r="J85" s="75" t="s">
        <v>358</v>
      </c>
      <c r="K85" s="75" t="s">
        <v>357</v>
      </c>
      <c r="L85" s="75"/>
      <c r="M85" s="75" t="s">
        <v>355</v>
      </c>
      <c r="N85" s="75" t="s">
        <v>86</v>
      </c>
      <c r="O85" s="75" t="s">
        <v>7</v>
      </c>
      <c r="P85" s="75" t="b">
        <f t="shared" si="2"/>
        <v>1</v>
      </c>
      <c r="Q85" s="75">
        <f>COUNTIF(Licenses!$A:$A,C85)</f>
        <v>3</v>
      </c>
      <c r="R85" s="75"/>
      <c r="S85" s="76">
        <v>45047.0</v>
      </c>
      <c r="T85" s="23"/>
      <c r="U85" s="23"/>
      <c r="V85" s="24" t="s">
        <v>87</v>
      </c>
      <c r="W85" s="24" t="s">
        <v>88</v>
      </c>
      <c r="X85" s="2"/>
      <c r="Y85" s="2"/>
      <c r="Z85" s="2"/>
    </row>
    <row r="86" ht="15.75" customHeight="1">
      <c r="A86" s="75" t="s">
        <v>388</v>
      </c>
      <c r="B86" s="75" t="s">
        <v>389</v>
      </c>
      <c r="C86" s="75" t="s">
        <v>390</v>
      </c>
      <c r="D86" s="75" t="str">
        <f>IFERROR(VLOOKUP(E86,Groups!$A:$I,3,FALSE()),"Unassigned")</f>
        <v>Asha Sairam</v>
      </c>
      <c r="E86" s="75" t="s">
        <v>360</v>
      </c>
      <c r="F86" s="75" t="str">
        <f>IFERROR(VLOOKUP(E86,Groups!$A:$I,2,FALSE()),"Unassigned")</f>
        <v>Insiya Pithawala Team</v>
      </c>
      <c r="G86" s="75" t="str">
        <f>IFERROR(VLOOKUP(E86,Groups!$A:$I,4,FALSE()),"Direct Reports")</f>
        <v>Insiya Pithawala</v>
      </c>
      <c r="H86" s="75" t="str">
        <f t="shared" si="1"/>
        <v>Member</v>
      </c>
      <c r="I86" s="75" t="s">
        <v>122</v>
      </c>
      <c r="J86" s="75" t="s">
        <v>358</v>
      </c>
      <c r="K86" s="75" t="s">
        <v>357</v>
      </c>
      <c r="L86" s="75"/>
      <c r="M86" s="75" t="s">
        <v>364</v>
      </c>
      <c r="N86" s="75" t="s">
        <v>365</v>
      </c>
      <c r="O86" s="75" t="s">
        <v>122</v>
      </c>
      <c r="P86" s="75" t="b">
        <f t="shared" si="2"/>
        <v>1</v>
      </c>
      <c r="Q86" s="75">
        <f>COUNTIF(Licenses!$A:$A,C86)</f>
        <v>0</v>
      </c>
      <c r="R86" s="75"/>
      <c r="S86" s="76">
        <v>46041.0</v>
      </c>
      <c r="T86" s="23"/>
      <c r="U86" s="23"/>
      <c r="V86" s="24" t="s">
        <v>122</v>
      </c>
      <c r="W86" s="24" t="s">
        <v>123</v>
      </c>
      <c r="X86" s="2"/>
      <c r="Y86" s="2"/>
      <c r="Z86" s="2"/>
    </row>
    <row r="87" ht="15.75" customHeight="1">
      <c r="A87" s="75" t="s">
        <v>391</v>
      </c>
      <c r="B87" s="75" t="s">
        <v>392</v>
      </c>
      <c r="C87" s="75" t="s">
        <v>393</v>
      </c>
      <c r="D87" s="75" t="str">
        <f>IFERROR(VLOOKUP(E87,Groups!$A:$I,3,FALSE()),"Unassigned")</f>
        <v>Asha Sairam</v>
      </c>
      <c r="E87" s="75" t="s">
        <v>360</v>
      </c>
      <c r="F87" s="75" t="str">
        <f>IFERROR(VLOOKUP(E87,Groups!$A:$I,2,FALSE()),"Unassigned")</f>
        <v>Insiya Pithawala Team</v>
      </c>
      <c r="G87" s="75" t="str">
        <f>IFERROR(VLOOKUP(E87,Groups!$A:$I,4,FALSE()),"Direct Reports")</f>
        <v>Insiya Pithawala</v>
      </c>
      <c r="H87" s="75" t="str">
        <f t="shared" si="1"/>
        <v>Member</v>
      </c>
      <c r="I87" s="75" t="s">
        <v>372</v>
      </c>
      <c r="J87" s="75" t="s">
        <v>358</v>
      </c>
      <c r="K87" s="75" t="s">
        <v>357</v>
      </c>
      <c r="L87" s="75"/>
      <c r="M87" s="75" t="s">
        <v>355</v>
      </c>
      <c r="N87" s="75" t="s">
        <v>356</v>
      </c>
      <c r="O87" s="75" t="s">
        <v>7</v>
      </c>
      <c r="P87" s="75" t="b">
        <f t="shared" si="2"/>
        <v>1</v>
      </c>
      <c r="Q87" s="75">
        <f>COUNTIF(Licenses!$A:$A,C87)</f>
        <v>4</v>
      </c>
      <c r="R87" s="75"/>
      <c r="S87" s="76">
        <v>44480.0</v>
      </c>
      <c r="T87" s="23"/>
      <c r="U87" s="23"/>
      <c r="V87" s="24" t="s">
        <v>87</v>
      </c>
      <c r="W87" s="24" t="s">
        <v>88</v>
      </c>
      <c r="X87" s="2"/>
      <c r="Y87" s="2"/>
      <c r="Z87" s="2"/>
    </row>
    <row r="88" ht="15.75" customHeight="1">
      <c r="A88" s="77" t="s">
        <v>394</v>
      </c>
      <c r="B88" s="77" t="s">
        <v>395</v>
      </c>
      <c r="C88" s="77" t="s">
        <v>396</v>
      </c>
      <c r="D88" s="77" t="str">
        <f>IFERROR(VLOOKUP(E88,Groups!$A:$I,3,FALSE()),"Unassigned")</f>
        <v>Asha Sairam</v>
      </c>
      <c r="E88" s="77" t="s">
        <v>397</v>
      </c>
      <c r="F88" s="77" t="str">
        <f>IFERROR(VLOOKUP(E88,Groups!$A:$I,2,FALSE()),"Unassigned")</f>
        <v>Neelam Das Team</v>
      </c>
      <c r="G88" s="77" t="str">
        <f>IFERROR(VLOOKUP(E88,Groups!$A:$I,4,FALSE()),"Direct Reports")</f>
        <v>Neelam Das</v>
      </c>
      <c r="H88" s="77" t="str">
        <f t="shared" si="1"/>
        <v>Team Lead</v>
      </c>
      <c r="I88" s="77" t="s">
        <v>127</v>
      </c>
      <c r="J88" s="77" t="s">
        <v>33</v>
      </c>
      <c r="K88" s="77" t="s">
        <v>352</v>
      </c>
      <c r="L88" s="77"/>
      <c r="M88" s="77" t="s">
        <v>355</v>
      </c>
      <c r="N88" s="77" t="s">
        <v>356</v>
      </c>
      <c r="O88" s="77" t="s">
        <v>7</v>
      </c>
      <c r="P88" s="77" t="b">
        <f t="shared" si="2"/>
        <v>1</v>
      </c>
      <c r="Q88" s="77">
        <f>COUNTIF(Licenses!$A:$A,C88)</f>
        <v>5</v>
      </c>
      <c r="R88" s="77" t="s">
        <v>398</v>
      </c>
      <c r="S88" s="78">
        <v>42506.0</v>
      </c>
      <c r="T88" s="23"/>
      <c r="U88" s="23"/>
      <c r="V88" s="24" t="s">
        <v>127</v>
      </c>
      <c r="W88" s="24" t="s">
        <v>128</v>
      </c>
      <c r="X88" s="2"/>
      <c r="Y88" s="2"/>
      <c r="Z88" s="2"/>
    </row>
    <row r="89" ht="15.75" customHeight="1">
      <c r="A89" s="79" t="s">
        <v>399</v>
      </c>
      <c r="B89" s="79" t="s">
        <v>400</v>
      </c>
      <c r="C89" s="79" t="s">
        <v>401</v>
      </c>
      <c r="D89" s="79" t="str">
        <f>IFERROR(VLOOKUP(E89,Groups!$A:$I,3,FALSE()),"Unassigned")</f>
        <v>Asha Sairam</v>
      </c>
      <c r="E89" s="79" t="s">
        <v>397</v>
      </c>
      <c r="F89" s="79" t="str">
        <f>IFERROR(VLOOKUP(E89,Groups!$A:$I,2,FALSE()),"Unassigned")</f>
        <v>Neelam Das Team</v>
      </c>
      <c r="G89" s="79" t="str">
        <f>IFERROR(VLOOKUP(E89,Groups!$A:$I,4,FALSE()),"Direct Reports")</f>
        <v>Neelam Das</v>
      </c>
      <c r="H89" s="79" t="str">
        <f t="shared" si="1"/>
        <v>Member</v>
      </c>
      <c r="I89" s="79" t="s">
        <v>317</v>
      </c>
      <c r="J89" s="79" t="s">
        <v>395</v>
      </c>
      <c r="K89" s="79" t="s">
        <v>394</v>
      </c>
      <c r="L89" s="79"/>
      <c r="M89" s="79" t="s">
        <v>355</v>
      </c>
      <c r="N89" s="79" t="s">
        <v>356</v>
      </c>
      <c r="O89" s="79" t="s">
        <v>7</v>
      </c>
      <c r="P89" s="79" t="b">
        <f t="shared" si="2"/>
        <v>1</v>
      </c>
      <c r="Q89" s="79">
        <f>COUNTIF(Licenses!$A:$A,C89)</f>
        <v>3</v>
      </c>
      <c r="R89" s="79"/>
      <c r="S89" s="80">
        <v>45355.0</v>
      </c>
      <c r="T89" s="23"/>
      <c r="U89" s="23"/>
      <c r="V89" s="24" t="s">
        <v>117</v>
      </c>
      <c r="W89" s="24" t="s">
        <v>118</v>
      </c>
      <c r="X89" s="2"/>
      <c r="Y89" s="2"/>
      <c r="Z89" s="2"/>
    </row>
    <row r="90" ht="15.75" customHeight="1">
      <c r="A90" s="79" t="s">
        <v>402</v>
      </c>
      <c r="B90" s="79" t="s">
        <v>403</v>
      </c>
      <c r="C90" s="79" t="s">
        <v>404</v>
      </c>
      <c r="D90" s="79" t="str">
        <f>IFERROR(VLOOKUP(E90,Groups!$A:$I,3,FALSE()),"Unassigned")</f>
        <v>Asha Sairam</v>
      </c>
      <c r="E90" s="79" t="s">
        <v>397</v>
      </c>
      <c r="F90" s="79" t="str">
        <f>IFERROR(VLOOKUP(E90,Groups!$A:$I,2,FALSE()),"Unassigned")</f>
        <v>Neelam Das Team</v>
      </c>
      <c r="G90" s="79" t="str">
        <f>IFERROR(VLOOKUP(E90,Groups!$A:$I,4,FALSE()),"Direct Reports")</f>
        <v>Neelam Das</v>
      </c>
      <c r="H90" s="79" t="str">
        <f t="shared" si="1"/>
        <v>Member</v>
      </c>
      <c r="I90" s="79" t="s">
        <v>372</v>
      </c>
      <c r="J90" s="79" t="s">
        <v>395</v>
      </c>
      <c r="K90" s="79" t="s">
        <v>394</v>
      </c>
      <c r="L90" s="79"/>
      <c r="M90" s="79" t="s">
        <v>355</v>
      </c>
      <c r="N90" s="79" t="s">
        <v>356</v>
      </c>
      <c r="O90" s="79" t="s">
        <v>7</v>
      </c>
      <c r="P90" s="79" t="b">
        <f t="shared" si="2"/>
        <v>1</v>
      </c>
      <c r="Q90" s="79">
        <f>COUNTIF(Licenses!$A:$A,C90)</f>
        <v>2</v>
      </c>
      <c r="R90" s="79"/>
      <c r="S90" s="80">
        <v>46097.0</v>
      </c>
      <c r="T90" s="23"/>
      <c r="U90" s="23"/>
      <c r="V90" s="24" t="s">
        <v>87</v>
      </c>
      <c r="W90" s="24" t="s">
        <v>88</v>
      </c>
      <c r="X90" s="2"/>
      <c r="Y90" s="2"/>
      <c r="Z90" s="2"/>
    </row>
    <row r="91" ht="15.75" customHeight="1">
      <c r="A91" s="79" t="s">
        <v>405</v>
      </c>
      <c r="B91" s="79" t="s">
        <v>406</v>
      </c>
      <c r="C91" s="79" t="s">
        <v>407</v>
      </c>
      <c r="D91" s="79" t="str">
        <f>IFERROR(VLOOKUP(E91,Groups!$A:$I,3,FALSE()),"Unassigned")</f>
        <v>Asha Sairam</v>
      </c>
      <c r="E91" s="79" t="s">
        <v>397</v>
      </c>
      <c r="F91" s="79" t="str">
        <f>IFERROR(VLOOKUP(E91,Groups!$A:$I,2,FALSE()),"Unassigned")</f>
        <v>Neelam Das Team</v>
      </c>
      <c r="G91" s="79" t="str">
        <f>IFERROR(VLOOKUP(E91,Groups!$A:$I,4,FALSE()),"Direct Reports")</f>
        <v>Neelam Das</v>
      </c>
      <c r="H91" s="79" t="str">
        <f t="shared" si="1"/>
        <v>Member</v>
      </c>
      <c r="I91" s="79" t="s">
        <v>298</v>
      </c>
      <c r="J91" s="79" t="s">
        <v>395</v>
      </c>
      <c r="K91" s="79" t="s">
        <v>394</v>
      </c>
      <c r="L91" s="79"/>
      <c r="M91" s="79" t="s">
        <v>355</v>
      </c>
      <c r="N91" s="79" t="s">
        <v>356</v>
      </c>
      <c r="O91" s="79" t="s">
        <v>7</v>
      </c>
      <c r="P91" s="79" t="b">
        <f t="shared" si="2"/>
        <v>1</v>
      </c>
      <c r="Q91" s="79">
        <f>COUNTIF(Licenses!$A:$A,C91)</f>
        <v>1</v>
      </c>
      <c r="R91" s="79"/>
      <c r="S91" s="80">
        <v>46001.0</v>
      </c>
      <c r="T91" s="23"/>
      <c r="U91" s="23"/>
      <c r="V91" s="24" t="s">
        <v>93</v>
      </c>
      <c r="W91" s="24" t="s">
        <v>94</v>
      </c>
      <c r="X91" s="2"/>
      <c r="Y91" s="2"/>
      <c r="Z91" s="2"/>
    </row>
    <row r="92" ht="15.75" customHeight="1">
      <c r="A92" s="79" t="s">
        <v>408</v>
      </c>
      <c r="B92" s="79" t="s">
        <v>409</v>
      </c>
      <c r="C92" s="79" t="s">
        <v>410</v>
      </c>
      <c r="D92" s="79" t="str">
        <f>IFERROR(VLOOKUP(E92,Groups!$A:$I,3,FALSE()),"Unassigned")</f>
        <v>Asha Sairam</v>
      </c>
      <c r="E92" s="79" t="s">
        <v>397</v>
      </c>
      <c r="F92" s="79" t="str">
        <f>IFERROR(VLOOKUP(E92,Groups!$A:$I,2,FALSE()),"Unassigned")</f>
        <v>Neelam Das Team</v>
      </c>
      <c r="G92" s="79" t="str">
        <f>IFERROR(VLOOKUP(E92,Groups!$A:$I,4,FALSE()),"Direct Reports")</f>
        <v>Neelam Das</v>
      </c>
      <c r="H92" s="79" t="str">
        <f t="shared" si="1"/>
        <v>Member</v>
      </c>
      <c r="I92" s="79" t="s">
        <v>92</v>
      </c>
      <c r="J92" s="79" t="s">
        <v>395</v>
      </c>
      <c r="K92" s="79" t="s">
        <v>394</v>
      </c>
      <c r="L92" s="79"/>
      <c r="M92" s="79" t="s">
        <v>355</v>
      </c>
      <c r="N92" s="79" t="s">
        <v>356</v>
      </c>
      <c r="O92" s="79" t="s">
        <v>7</v>
      </c>
      <c r="P92" s="79" t="b">
        <f t="shared" si="2"/>
        <v>1</v>
      </c>
      <c r="Q92" s="79">
        <f>COUNTIF(Licenses!$A:$A,C92)</f>
        <v>4</v>
      </c>
      <c r="R92" s="79"/>
      <c r="S92" s="80">
        <v>45509.0</v>
      </c>
      <c r="T92" s="23"/>
      <c r="U92" s="23"/>
      <c r="V92" s="24" t="s">
        <v>93</v>
      </c>
      <c r="W92" s="24" t="s">
        <v>94</v>
      </c>
      <c r="X92" s="2"/>
      <c r="Y92" s="2"/>
      <c r="Z92" s="2"/>
    </row>
    <row r="93" ht="15.75" customHeight="1">
      <c r="A93" s="79" t="s">
        <v>411</v>
      </c>
      <c r="B93" s="79" t="s">
        <v>412</v>
      </c>
      <c r="C93" s="79" t="s">
        <v>413</v>
      </c>
      <c r="D93" s="79" t="str">
        <f>IFERROR(VLOOKUP(E93,Groups!$A:$I,3,FALSE()),"Unassigned")</f>
        <v>Asha Sairam</v>
      </c>
      <c r="E93" s="79" t="s">
        <v>397</v>
      </c>
      <c r="F93" s="79" t="str">
        <f>IFERROR(VLOOKUP(E93,Groups!$A:$I,2,FALSE()),"Unassigned")</f>
        <v>Neelam Das Team</v>
      </c>
      <c r="G93" s="79" t="str">
        <f>IFERROR(VLOOKUP(E93,Groups!$A:$I,4,FALSE()),"Direct Reports")</f>
        <v>Neelam Das</v>
      </c>
      <c r="H93" s="79" t="str">
        <f t="shared" si="1"/>
        <v>Member</v>
      </c>
      <c r="I93" s="79" t="s">
        <v>298</v>
      </c>
      <c r="J93" s="79" t="s">
        <v>395</v>
      </c>
      <c r="K93" s="79" t="s">
        <v>394</v>
      </c>
      <c r="L93" s="79"/>
      <c r="M93" s="79" t="s">
        <v>355</v>
      </c>
      <c r="N93" s="79" t="s">
        <v>356</v>
      </c>
      <c r="O93" s="79" t="s">
        <v>7</v>
      </c>
      <c r="P93" s="79" t="b">
        <f t="shared" si="2"/>
        <v>1</v>
      </c>
      <c r="Q93" s="79">
        <f>COUNTIF(Licenses!$A:$A,C93)</f>
        <v>1</v>
      </c>
      <c r="R93" s="79"/>
      <c r="S93" s="80">
        <v>46097.0</v>
      </c>
      <c r="T93" s="23"/>
      <c r="U93" s="23"/>
      <c r="V93" s="24" t="s">
        <v>93</v>
      </c>
      <c r="W93" s="24" t="s">
        <v>94</v>
      </c>
      <c r="X93" s="2"/>
      <c r="Y93" s="2"/>
      <c r="Z93" s="2"/>
    </row>
    <row r="94" ht="15.75" customHeight="1">
      <c r="A94" s="79" t="s">
        <v>414</v>
      </c>
      <c r="B94" s="79" t="s">
        <v>415</v>
      </c>
      <c r="C94" s="79" t="s">
        <v>416</v>
      </c>
      <c r="D94" s="79" t="str">
        <f>IFERROR(VLOOKUP(E94,Groups!$A:$I,3,FALSE()),"Unassigned")</f>
        <v>Asha Sairam</v>
      </c>
      <c r="E94" s="79" t="s">
        <v>397</v>
      </c>
      <c r="F94" s="79" t="str">
        <f>IFERROR(VLOOKUP(E94,Groups!$A:$I,2,FALSE()),"Unassigned")</f>
        <v>Neelam Das Team</v>
      </c>
      <c r="G94" s="79" t="str">
        <f>IFERROR(VLOOKUP(E94,Groups!$A:$I,4,FALSE()),"Direct Reports")</f>
        <v>Neelam Das</v>
      </c>
      <c r="H94" s="79" t="str">
        <f t="shared" si="1"/>
        <v>Member</v>
      </c>
      <c r="I94" s="79" t="s">
        <v>122</v>
      </c>
      <c r="J94" s="79" t="s">
        <v>395</v>
      </c>
      <c r="K94" s="79" t="s">
        <v>394</v>
      </c>
      <c r="L94" s="79"/>
      <c r="M94" s="79" t="s">
        <v>355</v>
      </c>
      <c r="N94" s="79" t="s">
        <v>356</v>
      </c>
      <c r="O94" s="79" t="s">
        <v>122</v>
      </c>
      <c r="P94" s="79" t="b">
        <f t="shared" si="2"/>
        <v>1</v>
      </c>
      <c r="Q94" s="79">
        <f>COUNTIF(Licenses!$A:$A,C94)</f>
        <v>0</v>
      </c>
      <c r="R94" s="79"/>
      <c r="S94" s="80">
        <v>46035.0</v>
      </c>
      <c r="T94" s="23"/>
      <c r="U94" s="23"/>
      <c r="V94" s="24" t="s">
        <v>122</v>
      </c>
      <c r="W94" s="24" t="s">
        <v>123</v>
      </c>
      <c r="X94" s="2"/>
      <c r="Y94" s="2"/>
      <c r="Z94" s="2"/>
    </row>
    <row r="95" ht="15.75" customHeight="1">
      <c r="A95" s="79" t="s">
        <v>417</v>
      </c>
      <c r="B95" s="79" t="s">
        <v>418</v>
      </c>
      <c r="C95" s="79" t="s">
        <v>419</v>
      </c>
      <c r="D95" s="79" t="str">
        <f>IFERROR(VLOOKUP(E95,Groups!$A:$I,3,FALSE()),"Unassigned")</f>
        <v>Asha Sairam</v>
      </c>
      <c r="E95" s="79" t="s">
        <v>397</v>
      </c>
      <c r="F95" s="79" t="str">
        <f>IFERROR(VLOOKUP(E95,Groups!$A:$I,2,FALSE()),"Unassigned")</f>
        <v>Neelam Das Team</v>
      </c>
      <c r="G95" s="79" t="str">
        <f>IFERROR(VLOOKUP(E95,Groups!$A:$I,4,FALSE()),"Direct Reports")</f>
        <v>Neelam Das</v>
      </c>
      <c r="H95" s="79" t="str">
        <f t="shared" si="1"/>
        <v>Member</v>
      </c>
      <c r="I95" s="79" t="s">
        <v>317</v>
      </c>
      <c r="J95" s="79" t="s">
        <v>395</v>
      </c>
      <c r="K95" s="79" t="s">
        <v>394</v>
      </c>
      <c r="L95" s="79"/>
      <c r="M95" s="79" t="s">
        <v>355</v>
      </c>
      <c r="N95" s="79" t="s">
        <v>356</v>
      </c>
      <c r="O95" s="79" t="s">
        <v>7</v>
      </c>
      <c r="P95" s="79" t="b">
        <f t="shared" si="2"/>
        <v>1</v>
      </c>
      <c r="Q95" s="79">
        <f>COUNTIF(Licenses!$A:$A,C95)</f>
        <v>1</v>
      </c>
      <c r="R95" s="79"/>
      <c r="S95" s="80">
        <v>44809.0</v>
      </c>
      <c r="T95" s="23"/>
      <c r="U95" s="23"/>
      <c r="V95" s="24" t="s">
        <v>117</v>
      </c>
      <c r="W95" s="24" t="s">
        <v>118</v>
      </c>
      <c r="X95" s="2"/>
      <c r="Y95" s="2"/>
      <c r="Z95" s="2"/>
    </row>
    <row r="96" ht="15.75" customHeight="1">
      <c r="A96" s="79" t="s">
        <v>420</v>
      </c>
      <c r="B96" s="79" t="s">
        <v>421</v>
      </c>
      <c r="C96" s="79" t="s">
        <v>422</v>
      </c>
      <c r="D96" s="79" t="str">
        <f>IFERROR(VLOOKUP(E96,Groups!$A:$I,3,FALSE()),"Unassigned")</f>
        <v>Asha Sairam</v>
      </c>
      <c r="E96" s="79" t="s">
        <v>397</v>
      </c>
      <c r="F96" s="79" t="str">
        <f>IFERROR(VLOOKUP(E96,Groups!$A:$I,2,FALSE()),"Unassigned")</f>
        <v>Neelam Das Team</v>
      </c>
      <c r="G96" s="79" t="str">
        <f>IFERROR(VLOOKUP(E96,Groups!$A:$I,4,FALSE()),"Direct Reports")</f>
        <v>Neelam Das</v>
      </c>
      <c r="H96" s="79" t="str">
        <f t="shared" si="1"/>
        <v>Member</v>
      </c>
      <c r="I96" s="79" t="s">
        <v>317</v>
      </c>
      <c r="J96" s="79" t="s">
        <v>395</v>
      </c>
      <c r="K96" s="79" t="s">
        <v>394</v>
      </c>
      <c r="L96" s="79"/>
      <c r="M96" s="79" t="s">
        <v>355</v>
      </c>
      <c r="N96" s="79" t="s">
        <v>356</v>
      </c>
      <c r="O96" s="79" t="s">
        <v>7</v>
      </c>
      <c r="P96" s="79" t="b">
        <f t="shared" si="2"/>
        <v>1</v>
      </c>
      <c r="Q96" s="79">
        <f>COUNTIF(Licenses!$A:$A,C96)</f>
        <v>1</v>
      </c>
      <c r="R96" s="79"/>
      <c r="S96" s="80">
        <v>46055.0</v>
      </c>
      <c r="T96" s="23"/>
      <c r="U96" s="23"/>
      <c r="V96" s="24" t="s">
        <v>117</v>
      </c>
      <c r="W96" s="24" t="s">
        <v>118</v>
      </c>
      <c r="X96" s="2"/>
      <c r="Y96" s="2"/>
      <c r="Z96" s="2"/>
    </row>
    <row r="97" ht="15.75" customHeight="1">
      <c r="A97" s="79" t="s">
        <v>423</v>
      </c>
      <c r="B97" s="79" t="s">
        <v>424</v>
      </c>
      <c r="C97" s="81" t="s">
        <v>425</v>
      </c>
      <c r="D97" s="79" t="str">
        <f>IFERROR(VLOOKUP(E97,Groups!$A:$I,3,FALSE()),"Unassigned")</f>
        <v>Asha Sairam</v>
      </c>
      <c r="E97" s="79" t="s">
        <v>397</v>
      </c>
      <c r="F97" s="79" t="str">
        <f>IFERROR(VLOOKUP(E97,Groups!$A:$I,2,FALSE()),"Unassigned")</f>
        <v>Neelam Das Team</v>
      </c>
      <c r="G97" s="79" t="str">
        <f>IFERROR(VLOOKUP(E97,Groups!$A:$I,4,FALSE()),"Direct Reports")</f>
        <v>Neelam Das</v>
      </c>
      <c r="H97" s="79" t="str">
        <f t="shared" si="1"/>
        <v>Member</v>
      </c>
      <c r="I97" s="79" t="s">
        <v>122</v>
      </c>
      <c r="J97" s="79" t="s">
        <v>395</v>
      </c>
      <c r="K97" s="79" t="s">
        <v>394</v>
      </c>
      <c r="L97" s="79"/>
      <c r="M97" s="79" t="s">
        <v>355</v>
      </c>
      <c r="N97" s="79" t="s">
        <v>356</v>
      </c>
      <c r="O97" s="79" t="s">
        <v>122</v>
      </c>
      <c r="P97" s="79" t="b">
        <f t="shared" si="2"/>
        <v>1</v>
      </c>
      <c r="Q97" s="79">
        <f>COUNTIF(Licenses!$A:$A,C97)</f>
        <v>1</v>
      </c>
      <c r="R97" s="79"/>
      <c r="S97" s="80">
        <v>46013.0</v>
      </c>
      <c r="T97" s="23"/>
      <c r="U97" s="23"/>
      <c r="V97" s="24" t="s">
        <v>122</v>
      </c>
      <c r="W97" s="24" t="s">
        <v>123</v>
      </c>
      <c r="X97" s="2"/>
      <c r="Y97" s="2"/>
      <c r="Z97" s="2"/>
    </row>
    <row r="98" ht="15.75" customHeight="1">
      <c r="A98" s="79" t="s">
        <v>426</v>
      </c>
      <c r="B98" s="79" t="s">
        <v>427</v>
      </c>
      <c r="C98" s="79" t="s">
        <v>428</v>
      </c>
      <c r="D98" s="79" t="str">
        <f>IFERROR(VLOOKUP(E98,Groups!$A:$I,3,FALSE()),"Unassigned")</f>
        <v>Asha Sairam</v>
      </c>
      <c r="E98" s="79" t="s">
        <v>397</v>
      </c>
      <c r="F98" s="79" t="str">
        <f>IFERROR(VLOOKUP(E98,Groups!$A:$I,2,FALSE()),"Unassigned")</f>
        <v>Neelam Das Team</v>
      </c>
      <c r="G98" s="79" t="str">
        <f>IFERROR(VLOOKUP(E98,Groups!$A:$I,4,FALSE()),"Direct Reports")</f>
        <v>Neelam Das</v>
      </c>
      <c r="H98" s="79" t="str">
        <f t="shared" si="1"/>
        <v>Member</v>
      </c>
      <c r="I98" s="79" t="s">
        <v>298</v>
      </c>
      <c r="J98" s="79" t="s">
        <v>395</v>
      </c>
      <c r="K98" s="79" t="s">
        <v>394</v>
      </c>
      <c r="L98" s="79"/>
      <c r="M98" s="79" t="s">
        <v>355</v>
      </c>
      <c r="N98" s="79" t="s">
        <v>356</v>
      </c>
      <c r="O98" s="79" t="s">
        <v>7</v>
      </c>
      <c r="P98" s="79" t="b">
        <f t="shared" si="2"/>
        <v>1</v>
      </c>
      <c r="Q98" s="79">
        <f>COUNTIF(Licenses!$A:$A,C98)</f>
        <v>4</v>
      </c>
      <c r="R98" s="79"/>
      <c r="S98" s="80">
        <v>45887.0</v>
      </c>
      <c r="T98" s="23"/>
      <c r="U98" s="23"/>
      <c r="V98" s="24" t="s">
        <v>93</v>
      </c>
      <c r="W98" s="24" t="s">
        <v>94</v>
      </c>
      <c r="X98" s="2"/>
      <c r="Y98" s="2"/>
      <c r="Z98" s="2"/>
    </row>
    <row r="99" ht="15.75" customHeight="1">
      <c r="A99" s="79" t="s">
        <v>429</v>
      </c>
      <c r="B99" s="79" t="s">
        <v>430</v>
      </c>
      <c r="C99" s="79" t="s">
        <v>431</v>
      </c>
      <c r="D99" s="79" t="str">
        <f>IFERROR(VLOOKUP(E99,Groups!$A:$I,3,FALSE()),"Unassigned")</f>
        <v>Asha Sairam</v>
      </c>
      <c r="E99" s="79" t="s">
        <v>397</v>
      </c>
      <c r="F99" s="79" t="str">
        <f>IFERROR(VLOOKUP(E99,Groups!$A:$I,2,FALSE()),"Unassigned")</f>
        <v>Neelam Das Team</v>
      </c>
      <c r="G99" s="79" t="str">
        <f>IFERROR(VLOOKUP(E99,Groups!$A:$I,4,FALSE()),"Direct Reports")</f>
        <v>Neelam Das</v>
      </c>
      <c r="H99" s="79" t="str">
        <f t="shared" si="1"/>
        <v>Member</v>
      </c>
      <c r="I99" s="79" t="s">
        <v>298</v>
      </c>
      <c r="J99" s="79" t="s">
        <v>395</v>
      </c>
      <c r="K99" s="79" t="s">
        <v>394</v>
      </c>
      <c r="L99" s="79"/>
      <c r="M99" s="79" t="s">
        <v>355</v>
      </c>
      <c r="N99" s="79" t="s">
        <v>356</v>
      </c>
      <c r="O99" s="79" t="s">
        <v>7</v>
      </c>
      <c r="P99" s="79" t="b">
        <f t="shared" si="2"/>
        <v>1</v>
      </c>
      <c r="Q99" s="79">
        <f>COUNTIF(Licenses!$A:$A,C99)</f>
        <v>2</v>
      </c>
      <c r="R99" s="79"/>
      <c r="S99" s="80">
        <v>45876.0</v>
      </c>
      <c r="T99" s="23"/>
      <c r="U99" s="23"/>
      <c r="V99" s="24" t="s">
        <v>93</v>
      </c>
      <c r="W99" s="24" t="s">
        <v>94</v>
      </c>
      <c r="X99" s="2"/>
      <c r="Y99" s="2"/>
      <c r="Z99" s="2"/>
    </row>
    <row r="100" ht="15.75" customHeight="1">
      <c r="A100" s="79" t="s">
        <v>432</v>
      </c>
      <c r="B100" s="79" t="s">
        <v>433</v>
      </c>
      <c r="C100" s="79" t="s">
        <v>434</v>
      </c>
      <c r="D100" s="79" t="str">
        <f>IFERROR(VLOOKUP(E100,Groups!$A:$I,3,FALSE()),"Unassigned")</f>
        <v>Asha Sairam</v>
      </c>
      <c r="E100" s="79" t="s">
        <v>397</v>
      </c>
      <c r="F100" s="79" t="str">
        <f>IFERROR(VLOOKUP(E100,Groups!$A:$I,2,FALSE()),"Unassigned")</f>
        <v>Neelam Das Team</v>
      </c>
      <c r="G100" s="79" t="str">
        <f>IFERROR(VLOOKUP(E100,Groups!$A:$I,4,FALSE()),"Direct Reports")</f>
        <v>Neelam Das</v>
      </c>
      <c r="H100" s="79" t="str">
        <f t="shared" si="1"/>
        <v>Member</v>
      </c>
      <c r="I100" s="79" t="s">
        <v>298</v>
      </c>
      <c r="J100" s="79" t="s">
        <v>395</v>
      </c>
      <c r="K100" s="79" t="s">
        <v>394</v>
      </c>
      <c r="L100" s="79"/>
      <c r="M100" s="79" t="s">
        <v>355</v>
      </c>
      <c r="N100" s="79" t="s">
        <v>356</v>
      </c>
      <c r="O100" s="79" t="s">
        <v>7</v>
      </c>
      <c r="P100" s="79" t="b">
        <f t="shared" si="2"/>
        <v>1</v>
      </c>
      <c r="Q100" s="79">
        <f>COUNTIF(Licenses!$A:$A,C100)</f>
        <v>2</v>
      </c>
      <c r="R100" s="79"/>
      <c r="S100" s="80">
        <v>45726.0</v>
      </c>
      <c r="T100" s="23"/>
      <c r="U100" s="23"/>
      <c r="V100" s="24" t="s">
        <v>93</v>
      </c>
      <c r="W100" s="24" t="s">
        <v>94</v>
      </c>
      <c r="X100" s="2"/>
      <c r="Y100" s="2"/>
      <c r="Z100" s="2"/>
    </row>
    <row r="101" ht="15.75" customHeight="1">
      <c r="A101" s="79" t="s">
        <v>435</v>
      </c>
      <c r="B101" s="79" t="s">
        <v>436</v>
      </c>
      <c r="C101" s="79" t="s">
        <v>437</v>
      </c>
      <c r="D101" s="79" t="str">
        <f>IFERROR(VLOOKUP(E101,Groups!$A:$I,3,FALSE()),"Unassigned")</f>
        <v>Asha Sairam</v>
      </c>
      <c r="E101" s="79" t="s">
        <v>397</v>
      </c>
      <c r="F101" s="79" t="str">
        <f>IFERROR(VLOOKUP(E101,Groups!$A:$I,2,FALSE()),"Unassigned")</f>
        <v>Neelam Das Team</v>
      </c>
      <c r="G101" s="79" t="str">
        <f>IFERROR(VLOOKUP(E101,Groups!$A:$I,4,FALSE()),"Direct Reports")</f>
        <v>Neelam Das</v>
      </c>
      <c r="H101" s="79" t="str">
        <f t="shared" si="1"/>
        <v>Member</v>
      </c>
      <c r="I101" s="79" t="s">
        <v>298</v>
      </c>
      <c r="J101" s="79" t="s">
        <v>395</v>
      </c>
      <c r="K101" s="79" t="s">
        <v>394</v>
      </c>
      <c r="L101" s="79"/>
      <c r="M101" s="79" t="s">
        <v>355</v>
      </c>
      <c r="N101" s="79" t="s">
        <v>356</v>
      </c>
      <c r="O101" s="79" t="s">
        <v>7</v>
      </c>
      <c r="P101" s="79" t="b">
        <f t="shared" si="2"/>
        <v>1</v>
      </c>
      <c r="Q101" s="79">
        <f>COUNTIF(Licenses!$A:$A,C101)</f>
        <v>5</v>
      </c>
      <c r="R101" s="79"/>
      <c r="S101" s="80">
        <v>45461.0</v>
      </c>
      <c r="T101" s="23"/>
      <c r="U101" s="23"/>
      <c r="V101" s="24" t="s">
        <v>93</v>
      </c>
      <c r="W101" s="24" t="s">
        <v>94</v>
      </c>
      <c r="X101" s="2"/>
      <c r="Y101" s="2"/>
      <c r="Z101" s="2"/>
    </row>
    <row r="102" ht="15.75" customHeight="1">
      <c r="A102" s="79" t="s">
        <v>438</v>
      </c>
      <c r="B102" s="79" t="s">
        <v>439</v>
      </c>
      <c r="C102" s="79" t="s">
        <v>440</v>
      </c>
      <c r="D102" s="79" t="str">
        <f>IFERROR(VLOOKUP(E102,Groups!$A:$I,3,FALSE()),"Unassigned")</f>
        <v>Asha Sairam</v>
      </c>
      <c r="E102" s="79" t="s">
        <v>397</v>
      </c>
      <c r="F102" s="79" t="str">
        <f>IFERROR(VLOOKUP(E102,Groups!$A:$I,2,FALSE()),"Unassigned")</f>
        <v>Neelam Das Team</v>
      </c>
      <c r="G102" s="79" t="str">
        <f>IFERROR(VLOOKUP(E102,Groups!$A:$I,4,FALSE()),"Direct Reports")</f>
        <v>Neelam Das</v>
      </c>
      <c r="H102" s="79" t="str">
        <f t="shared" si="1"/>
        <v>Member</v>
      </c>
      <c r="I102" s="79" t="s">
        <v>92</v>
      </c>
      <c r="J102" s="79" t="s">
        <v>395</v>
      </c>
      <c r="K102" s="79" t="s">
        <v>394</v>
      </c>
      <c r="L102" s="79"/>
      <c r="M102" s="79" t="s">
        <v>355</v>
      </c>
      <c r="N102" s="79" t="s">
        <v>356</v>
      </c>
      <c r="O102" s="79" t="s">
        <v>7</v>
      </c>
      <c r="P102" s="79" t="b">
        <f t="shared" si="2"/>
        <v>1</v>
      </c>
      <c r="Q102" s="79">
        <f>COUNTIF(Licenses!$A:$A,C102)</f>
        <v>2</v>
      </c>
      <c r="R102" s="79"/>
      <c r="S102" s="80">
        <v>45212.0</v>
      </c>
      <c r="T102" s="23"/>
      <c r="U102" s="23"/>
      <c r="V102" s="24" t="s">
        <v>93</v>
      </c>
      <c r="W102" s="24" t="s">
        <v>94</v>
      </c>
      <c r="X102" s="2"/>
      <c r="Y102" s="2"/>
      <c r="Z102" s="2"/>
    </row>
    <row r="103" ht="15.75" customHeight="1">
      <c r="A103" s="82" t="s">
        <v>441</v>
      </c>
      <c r="B103" s="82" t="s">
        <v>442</v>
      </c>
      <c r="C103" s="82" t="s">
        <v>443</v>
      </c>
      <c r="D103" s="82" t="str">
        <f>IFERROR(VLOOKUP(E103,Groups!$A:$I,3,FALSE()),"Unassigned")</f>
        <v>Asha Sairam</v>
      </c>
      <c r="E103" s="82" t="s">
        <v>444</v>
      </c>
      <c r="F103" s="82" t="str">
        <f>IFERROR(VLOOKUP(E103,Groups!$A:$I,2,FALSE()),"Unassigned")</f>
        <v>Randhir Kumar Team</v>
      </c>
      <c r="G103" s="82" t="str">
        <f>IFERROR(VLOOKUP(E103,Groups!$A:$I,4,FALSE()),"Direct Reports")</f>
        <v>Randhir Kumar</v>
      </c>
      <c r="H103" s="82" t="str">
        <f t="shared" si="1"/>
        <v>Team Lead</v>
      </c>
      <c r="I103" s="82" t="s">
        <v>317</v>
      </c>
      <c r="J103" s="82" t="s">
        <v>33</v>
      </c>
      <c r="K103" s="82" t="s">
        <v>352</v>
      </c>
      <c r="L103" s="82"/>
      <c r="M103" s="82" t="s">
        <v>364</v>
      </c>
      <c r="N103" s="82" t="s">
        <v>365</v>
      </c>
      <c r="O103" s="82" t="s">
        <v>7</v>
      </c>
      <c r="P103" s="82" t="b">
        <f t="shared" si="2"/>
        <v>1</v>
      </c>
      <c r="Q103" s="82">
        <f>COUNTIF(Licenses!$A:$A,C103)</f>
        <v>0</v>
      </c>
      <c r="R103" s="82"/>
      <c r="S103" s="83">
        <v>46050.0</v>
      </c>
      <c r="T103" s="23"/>
      <c r="U103" s="23"/>
      <c r="V103" s="24" t="s">
        <v>117</v>
      </c>
      <c r="W103" s="24" t="s">
        <v>118</v>
      </c>
      <c r="X103" s="2"/>
      <c r="Y103" s="2"/>
      <c r="Z103" s="2"/>
    </row>
    <row r="104" ht="15.75" customHeight="1">
      <c r="A104" s="84" t="s">
        <v>445</v>
      </c>
      <c r="B104" s="84" t="s">
        <v>446</v>
      </c>
      <c r="C104" s="84" t="s">
        <v>447</v>
      </c>
      <c r="D104" s="84" t="str">
        <f>IFERROR(VLOOKUP(E104,Groups!$A:$I,3,FALSE()),"Unassigned")</f>
        <v>Asha Sairam</v>
      </c>
      <c r="E104" s="84" t="s">
        <v>444</v>
      </c>
      <c r="F104" s="84" t="str">
        <f>IFERROR(VLOOKUP(E104,Groups!$A:$I,2,FALSE()),"Unassigned")</f>
        <v>Randhir Kumar Team</v>
      </c>
      <c r="G104" s="84" t="str">
        <f>IFERROR(VLOOKUP(E104,Groups!$A:$I,4,FALSE()),"Direct Reports")</f>
        <v>Randhir Kumar</v>
      </c>
      <c r="H104" s="84" t="str">
        <f t="shared" si="1"/>
        <v>Member</v>
      </c>
      <c r="I104" s="84" t="s">
        <v>298</v>
      </c>
      <c r="J104" s="84" t="s">
        <v>442</v>
      </c>
      <c r="K104" s="84" t="s">
        <v>441</v>
      </c>
      <c r="L104" s="84"/>
      <c r="M104" s="84" t="s">
        <v>355</v>
      </c>
      <c r="N104" s="84" t="s">
        <v>356</v>
      </c>
      <c r="O104" s="84" t="s">
        <v>7</v>
      </c>
      <c r="P104" s="84" t="b">
        <f t="shared" si="2"/>
        <v>1</v>
      </c>
      <c r="Q104" s="84">
        <f>COUNTIF(Licenses!$A:$A,C104)</f>
        <v>1</v>
      </c>
      <c r="R104" s="84"/>
      <c r="S104" s="85">
        <v>46111.0</v>
      </c>
      <c r="T104" s="23"/>
      <c r="U104" s="23"/>
      <c r="V104" s="24" t="s">
        <v>93</v>
      </c>
      <c r="W104" s="24" t="s">
        <v>94</v>
      </c>
      <c r="X104" s="2"/>
      <c r="Y104" s="2"/>
      <c r="Z104" s="2"/>
    </row>
    <row r="105" ht="15.75" customHeight="1">
      <c r="A105" s="84" t="s">
        <v>448</v>
      </c>
      <c r="B105" s="84" t="s">
        <v>449</v>
      </c>
      <c r="C105" s="84" t="s">
        <v>450</v>
      </c>
      <c r="D105" s="84" t="str">
        <f>IFERROR(VLOOKUP(E105,Groups!$A:$I,3,FALSE()),"Unassigned")</f>
        <v>Asha Sairam</v>
      </c>
      <c r="E105" s="84" t="s">
        <v>444</v>
      </c>
      <c r="F105" s="84" t="str">
        <f>IFERROR(VLOOKUP(E105,Groups!$A:$I,2,FALSE()),"Unassigned")</f>
        <v>Randhir Kumar Team</v>
      </c>
      <c r="G105" s="84" t="str">
        <f>IFERROR(VLOOKUP(E105,Groups!$A:$I,4,FALSE()),"Direct Reports")</f>
        <v>Randhir Kumar</v>
      </c>
      <c r="H105" s="84" t="str">
        <f t="shared" si="1"/>
        <v>Member</v>
      </c>
      <c r="I105" s="84" t="s">
        <v>372</v>
      </c>
      <c r="J105" s="84" t="s">
        <v>442</v>
      </c>
      <c r="K105" s="84" t="s">
        <v>441</v>
      </c>
      <c r="L105" s="84"/>
      <c r="M105" s="84" t="s">
        <v>364</v>
      </c>
      <c r="N105" s="84" t="s">
        <v>365</v>
      </c>
      <c r="O105" s="84" t="s">
        <v>7</v>
      </c>
      <c r="P105" s="84" t="b">
        <f t="shared" si="2"/>
        <v>1</v>
      </c>
      <c r="Q105" s="84">
        <f>COUNTIF(Licenses!$A:$A,C105)</f>
        <v>2</v>
      </c>
      <c r="R105" s="84"/>
      <c r="S105" s="85">
        <v>45943.0</v>
      </c>
      <c r="T105" s="23"/>
      <c r="U105" s="23"/>
      <c r="V105" s="24" t="s">
        <v>87</v>
      </c>
      <c r="W105" s="24" t="s">
        <v>88</v>
      </c>
      <c r="X105" s="2"/>
      <c r="Y105" s="2"/>
      <c r="Z105" s="2"/>
    </row>
    <row r="106" ht="15.75" customHeight="1">
      <c r="A106" s="86"/>
      <c r="B106" s="86"/>
      <c r="C106" s="86"/>
      <c r="D106" s="86" t="str">
        <f>IFERROR(VLOOKUP(E106,Groups!$A:$I,3,FALSE()),"Unassigned")</f>
        <v>Unassigned</v>
      </c>
      <c r="E106" s="86"/>
      <c r="F106" s="86" t="str">
        <f>IFERROR(VLOOKUP(E106,Groups!$A:$I,2,FALSE()),"Unassigned")</f>
        <v>Unassigned</v>
      </c>
      <c r="G106" s="86" t="str">
        <f>IFERROR(VLOOKUP(E106,Groups!$A:$I,4,FALSE()),"Direct Reports")</f>
        <v>Direct Reports</v>
      </c>
      <c r="H106" s="86" t="str">
        <f t="shared" si="1"/>
        <v>Excluded</v>
      </c>
      <c r="I106" s="86"/>
      <c r="J106" s="86"/>
      <c r="K106" s="86"/>
      <c r="L106" s="86"/>
      <c r="M106" s="86"/>
      <c r="N106" s="86"/>
      <c r="O106" s="86"/>
      <c r="P106" s="86" t="b">
        <f t="shared" ref="P106:P300" si="3">FALSE()</f>
        <v>0</v>
      </c>
      <c r="Q106" s="86">
        <f>COUNTIF(Licenses!$A:$A,C106)</f>
        <v>0</v>
      </c>
      <c r="R106" s="86"/>
      <c r="S106" s="87"/>
      <c r="T106" s="2"/>
      <c r="U106" s="2"/>
      <c r="V106" s="88" t="s">
        <v>100</v>
      </c>
      <c r="W106" s="88" t="s">
        <v>101</v>
      </c>
      <c r="X106" s="2"/>
      <c r="Y106" s="2"/>
      <c r="Z106" s="2"/>
    </row>
    <row r="107" ht="15.75" customHeight="1">
      <c r="A107" s="86"/>
      <c r="B107" s="86"/>
      <c r="C107" s="86"/>
      <c r="D107" s="86" t="str">
        <f>IFERROR(VLOOKUP(E107,Groups!$A:$I,3,FALSE()),"Unassigned")</f>
        <v>Unassigned</v>
      </c>
      <c r="E107" s="86"/>
      <c r="F107" s="86" t="str">
        <f>IFERROR(VLOOKUP(E107,Groups!$A:$I,2,FALSE()),"Unassigned")</f>
        <v>Unassigned</v>
      </c>
      <c r="G107" s="86" t="str">
        <f>IFERROR(VLOOKUP(E107,Groups!$A:$I,4,FALSE()),"Direct Reports")</f>
        <v>Direct Reports</v>
      </c>
      <c r="H107" s="86" t="str">
        <f t="shared" si="1"/>
        <v>Excluded</v>
      </c>
      <c r="I107" s="86"/>
      <c r="J107" s="86"/>
      <c r="K107" s="86"/>
      <c r="L107" s="86"/>
      <c r="M107" s="86"/>
      <c r="N107" s="86"/>
      <c r="O107" s="86"/>
      <c r="P107" s="86" t="b">
        <f t="shared" si="3"/>
        <v>0</v>
      </c>
      <c r="Q107" s="86">
        <f>COUNTIF(Licenses!$A:$A,C107)</f>
        <v>0</v>
      </c>
      <c r="R107" s="86"/>
      <c r="S107" s="87"/>
      <c r="T107" s="2"/>
      <c r="U107" s="2"/>
      <c r="V107" s="88" t="s">
        <v>100</v>
      </c>
      <c r="W107" s="88" t="s">
        <v>101</v>
      </c>
      <c r="X107" s="2"/>
      <c r="Y107" s="2"/>
      <c r="Z107" s="2"/>
    </row>
    <row r="108" ht="15.75" customHeight="1">
      <c r="A108" s="86"/>
      <c r="B108" s="86"/>
      <c r="C108" s="86"/>
      <c r="D108" s="86" t="str">
        <f>IFERROR(VLOOKUP(E108,Groups!$A:$I,3,FALSE()),"Unassigned")</f>
        <v>Unassigned</v>
      </c>
      <c r="E108" s="86"/>
      <c r="F108" s="86" t="str">
        <f>IFERROR(VLOOKUP(E108,Groups!$A:$I,2,FALSE()),"Unassigned")</f>
        <v>Unassigned</v>
      </c>
      <c r="G108" s="86" t="str">
        <f>IFERROR(VLOOKUP(E108,Groups!$A:$I,4,FALSE()),"Direct Reports")</f>
        <v>Direct Reports</v>
      </c>
      <c r="H108" s="86" t="str">
        <f t="shared" si="1"/>
        <v>Excluded</v>
      </c>
      <c r="I108" s="86"/>
      <c r="J108" s="86"/>
      <c r="K108" s="86"/>
      <c r="L108" s="86"/>
      <c r="M108" s="86"/>
      <c r="N108" s="86"/>
      <c r="O108" s="86"/>
      <c r="P108" s="86" t="b">
        <f t="shared" si="3"/>
        <v>0</v>
      </c>
      <c r="Q108" s="86">
        <f>COUNTIF(Licenses!$A:$A,C108)</f>
        <v>0</v>
      </c>
      <c r="R108" s="86"/>
      <c r="S108" s="87"/>
      <c r="T108" s="2"/>
      <c r="U108" s="2"/>
      <c r="V108" s="88" t="s">
        <v>100</v>
      </c>
      <c r="W108" s="88" t="s">
        <v>101</v>
      </c>
      <c r="X108" s="2"/>
      <c r="Y108" s="2"/>
      <c r="Z108" s="2"/>
    </row>
    <row r="109" ht="15.75" customHeight="1">
      <c r="A109" s="86"/>
      <c r="B109" s="86"/>
      <c r="C109" s="86"/>
      <c r="D109" s="86" t="str">
        <f>IFERROR(VLOOKUP(E109,Groups!$A:$I,3,FALSE()),"Unassigned")</f>
        <v>Unassigned</v>
      </c>
      <c r="E109" s="86"/>
      <c r="F109" s="86" t="str">
        <f>IFERROR(VLOOKUP(E109,Groups!$A:$I,2,FALSE()),"Unassigned")</f>
        <v>Unassigned</v>
      </c>
      <c r="G109" s="86" t="str">
        <f>IFERROR(VLOOKUP(E109,Groups!$A:$I,4,FALSE()),"Direct Reports")</f>
        <v>Direct Reports</v>
      </c>
      <c r="H109" s="86" t="str">
        <f t="shared" si="1"/>
        <v>Excluded</v>
      </c>
      <c r="I109" s="86"/>
      <c r="J109" s="86"/>
      <c r="K109" s="86"/>
      <c r="L109" s="86"/>
      <c r="M109" s="86"/>
      <c r="N109" s="86"/>
      <c r="O109" s="86"/>
      <c r="P109" s="86" t="b">
        <f t="shared" si="3"/>
        <v>0</v>
      </c>
      <c r="Q109" s="86">
        <f>COUNTIF(Licenses!$A:$A,C109)</f>
        <v>0</v>
      </c>
      <c r="R109" s="86"/>
      <c r="S109" s="87"/>
      <c r="T109" s="2"/>
      <c r="U109" s="2"/>
      <c r="V109" s="88" t="s">
        <v>100</v>
      </c>
      <c r="W109" s="88" t="s">
        <v>101</v>
      </c>
      <c r="X109" s="2"/>
      <c r="Y109" s="2"/>
      <c r="Z109" s="2"/>
    </row>
    <row r="110" ht="15.75" customHeight="1">
      <c r="A110" s="86"/>
      <c r="B110" s="86"/>
      <c r="C110" s="86"/>
      <c r="D110" s="86" t="str">
        <f>IFERROR(VLOOKUP(E110,Groups!$A:$I,3,FALSE()),"Unassigned")</f>
        <v>Unassigned</v>
      </c>
      <c r="E110" s="86"/>
      <c r="F110" s="86" t="str">
        <f>IFERROR(VLOOKUP(E110,Groups!$A:$I,2,FALSE()),"Unassigned")</f>
        <v>Unassigned</v>
      </c>
      <c r="G110" s="86" t="str">
        <f>IFERROR(VLOOKUP(E110,Groups!$A:$I,4,FALSE()),"Direct Reports")</f>
        <v>Direct Reports</v>
      </c>
      <c r="H110" s="86" t="str">
        <f t="shared" si="1"/>
        <v>Excluded</v>
      </c>
      <c r="I110" s="86"/>
      <c r="J110" s="86"/>
      <c r="K110" s="86"/>
      <c r="L110" s="86"/>
      <c r="M110" s="86"/>
      <c r="N110" s="86"/>
      <c r="O110" s="86"/>
      <c r="P110" s="86" t="b">
        <f t="shared" si="3"/>
        <v>0</v>
      </c>
      <c r="Q110" s="86">
        <f>COUNTIF(Licenses!$A:$A,C110)</f>
        <v>0</v>
      </c>
      <c r="R110" s="86"/>
      <c r="S110" s="87"/>
      <c r="T110" s="2"/>
      <c r="U110" s="2"/>
      <c r="V110" s="88" t="s">
        <v>100</v>
      </c>
      <c r="W110" s="88" t="s">
        <v>101</v>
      </c>
      <c r="X110" s="2"/>
      <c r="Y110" s="2"/>
      <c r="Z110" s="2"/>
    </row>
    <row r="111" ht="15.75" customHeight="1">
      <c r="A111" s="86"/>
      <c r="B111" s="86"/>
      <c r="C111" s="86"/>
      <c r="D111" s="86" t="str">
        <f>IFERROR(VLOOKUP(E111,Groups!$A:$I,3,FALSE()),"Unassigned")</f>
        <v>Unassigned</v>
      </c>
      <c r="E111" s="86"/>
      <c r="F111" s="86" t="str">
        <f>IFERROR(VLOOKUP(E111,Groups!$A:$I,2,FALSE()),"Unassigned")</f>
        <v>Unassigned</v>
      </c>
      <c r="G111" s="86" t="str">
        <f>IFERROR(VLOOKUP(E111,Groups!$A:$I,4,FALSE()),"Direct Reports")</f>
        <v>Direct Reports</v>
      </c>
      <c r="H111" s="86" t="str">
        <f t="shared" si="1"/>
        <v>Excluded</v>
      </c>
      <c r="I111" s="86"/>
      <c r="J111" s="86"/>
      <c r="K111" s="86"/>
      <c r="L111" s="86"/>
      <c r="M111" s="86"/>
      <c r="N111" s="86"/>
      <c r="O111" s="86"/>
      <c r="P111" s="86" t="b">
        <f t="shared" si="3"/>
        <v>0</v>
      </c>
      <c r="Q111" s="86">
        <f>COUNTIF(Licenses!$A:$A,C111)</f>
        <v>0</v>
      </c>
      <c r="R111" s="86"/>
      <c r="S111" s="87"/>
      <c r="T111" s="2"/>
      <c r="U111" s="2"/>
      <c r="V111" s="88" t="s">
        <v>100</v>
      </c>
      <c r="W111" s="88" t="s">
        <v>101</v>
      </c>
      <c r="X111" s="2"/>
      <c r="Y111" s="2"/>
      <c r="Z111" s="2"/>
    </row>
    <row r="112" ht="15.75" customHeight="1">
      <c r="A112" s="86"/>
      <c r="B112" s="86"/>
      <c r="C112" s="86"/>
      <c r="D112" s="86" t="str">
        <f>IFERROR(VLOOKUP(E112,Groups!$A:$I,3,FALSE()),"Unassigned")</f>
        <v>Unassigned</v>
      </c>
      <c r="E112" s="86"/>
      <c r="F112" s="86" t="str">
        <f>IFERROR(VLOOKUP(E112,Groups!$A:$I,2,FALSE()),"Unassigned")</f>
        <v>Unassigned</v>
      </c>
      <c r="G112" s="86" t="str">
        <f>IFERROR(VLOOKUP(E112,Groups!$A:$I,4,FALSE()),"Direct Reports")</f>
        <v>Direct Reports</v>
      </c>
      <c r="H112" s="86" t="str">
        <f t="shared" si="1"/>
        <v>Excluded</v>
      </c>
      <c r="I112" s="86"/>
      <c r="J112" s="86"/>
      <c r="K112" s="86"/>
      <c r="L112" s="86"/>
      <c r="M112" s="86"/>
      <c r="N112" s="86"/>
      <c r="O112" s="86"/>
      <c r="P112" s="86" t="b">
        <f t="shared" si="3"/>
        <v>0</v>
      </c>
      <c r="Q112" s="86">
        <f>COUNTIF(Licenses!$A:$A,C112)</f>
        <v>0</v>
      </c>
      <c r="R112" s="86"/>
      <c r="S112" s="87"/>
      <c r="T112" s="2"/>
      <c r="U112" s="2"/>
      <c r="V112" s="88" t="s">
        <v>100</v>
      </c>
      <c r="W112" s="88" t="s">
        <v>101</v>
      </c>
      <c r="X112" s="2"/>
      <c r="Y112" s="2"/>
      <c r="Z112" s="2"/>
    </row>
    <row r="113" ht="15.75" customHeight="1">
      <c r="A113" s="86"/>
      <c r="B113" s="86"/>
      <c r="C113" s="86"/>
      <c r="D113" s="86" t="str">
        <f>IFERROR(VLOOKUP(E113,Groups!$A:$I,3,FALSE()),"Unassigned")</f>
        <v>Unassigned</v>
      </c>
      <c r="E113" s="86"/>
      <c r="F113" s="86" t="str">
        <f>IFERROR(VLOOKUP(E113,Groups!$A:$I,2,FALSE()),"Unassigned")</f>
        <v>Unassigned</v>
      </c>
      <c r="G113" s="86" t="str">
        <f>IFERROR(VLOOKUP(E113,Groups!$A:$I,4,FALSE()),"Direct Reports")</f>
        <v>Direct Reports</v>
      </c>
      <c r="H113" s="86" t="str">
        <f t="shared" si="1"/>
        <v>Excluded</v>
      </c>
      <c r="I113" s="86"/>
      <c r="J113" s="86"/>
      <c r="K113" s="86"/>
      <c r="L113" s="86"/>
      <c r="M113" s="86"/>
      <c r="N113" s="86"/>
      <c r="O113" s="86"/>
      <c r="P113" s="86" t="b">
        <f t="shared" si="3"/>
        <v>0</v>
      </c>
      <c r="Q113" s="86">
        <f>COUNTIF(Licenses!$A:$A,C113)</f>
        <v>0</v>
      </c>
      <c r="R113" s="86"/>
      <c r="S113" s="87"/>
      <c r="T113" s="2"/>
      <c r="U113" s="2"/>
      <c r="V113" s="88" t="s">
        <v>100</v>
      </c>
      <c r="W113" s="88" t="s">
        <v>101</v>
      </c>
      <c r="X113" s="2"/>
      <c r="Y113" s="2"/>
      <c r="Z113" s="2"/>
    </row>
    <row r="114" ht="15.75" customHeight="1">
      <c r="A114" s="86"/>
      <c r="B114" s="86"/>
      <c r="C114" s="86"/>
      <c r="D114" s="86" t="str">
        <f>IFERROR(VLOOKUP(E114,Groups!$A:$I,3,FALSE()),"Unassigned")</f>
        <v>Unassigned</v>
      </c>
      <c r="E114" s="86"/>
      <c r="F114" s="86" t="str">
        <f>IFERROR(VLOOKUP(E114,Groups!$A:$I,2,FALSE()),"Unassigned")</f>
        <v>Unassigned</v>
      </c>
      <c r="G114" s="86" t="str">
        <f>IFERROR(VLOOKUP(E114,Groups!$A:$I,4,FALSE()),"Direct Reports")</f>
        <v>Direct Reports</v>
      </c>
      <c r="H114" s="86" t="str">
        <f t="shared" si="1"/>
        <v>Excluded</v>
      </c>
      <c r="I114" s="86"/>
      <c r="J114" s="86"/>
      <c r="K114" s="86"/>
      <c r="L114" s="86"/>
      <c r="M114" s="86"/>
      <c r="N114" s="86"/>
      <c r="O114" s="86"/>
      <c r="P114" s="86" t="b">
        <f t="shared" si="3"/>
        <v>0</v>
      </c>
      <c r="Q114" s="86">
        <f>COUNTIF(Licenses!$A:$A,C114)</f>
        <v>0</v>
      </c>
      <c r="R114" s="86"/>
      <c r="S114" s="87"/>
      <c r="T114" s="2"/>
      <c r="U114" s="2"/>
      <c r="V114" s="88" t="s">
        <v>100</v>
      </c>
      <c r="W114" s="88" t="s">
        <v>101</v>
      </c>
      <c r="X114" s="2"/>
      <c r="Y114" s="2"/>
      <c r="Z114" s="2"/>
    </row>
    <row r="115" ht="15.75" customHeight="1">
      <c r="A115" s="86"/>
      <c r="B115" s="86"/>
      <c r="C115" s="86"/>
      <c r="D115" s="86" t="str">
        <f>IFERROR(VLOOKUP(E115,Groups!$A:$I,3,FALSE()),"Unassigned")</f>
        <v>Unassigned</v>
      </c>
      <c r="E115" s="86"/>
      <c r="F115" s="86" t="str">
        <f>IFERROR(VLOOKUP(E115,Groups!$A:$I,2,FALSE()),"Unassigned")</f>
        <v>Unassigned</v>
      </c>
      <c r="G115" s="86" t="str">
        <f>IFERROR(VLOOKUP(E115,Groups!$A:$I,4,FALSE()),"Direct Reports")</f>
        <v>Direct Reports</v>
      </c>
      <c r="H115" s="86" t="str">
        <f t="shared" si="1"/>
        <v>Excluded</v>
      </c>
      <c r="I115" s="86"/>
      <c r="J115" s="86"/>
      <c r="K115" s="86"/>
      <c r="L115" s="86"/>
      <c r="M115" s="86"/>
      <c r="N115" s="86"/>
      <c r="O115" s="86"/>
      <c r="P115" s="86" t="b">
        <f t="shared" si="3"/>
        <v>0</v>
      </c>
      <c r="Q115" s="86">
        <f>COUNTIF(Licenses!$A:$A,C115)</f>
        <v>0</v>
      </c>
      <c r="R115" s="86"/>
      <c r="S115" s="87"/>
      <c r="T115" s="2"/>
      <c r="U115" s="2"/>
      <c r="V115" s="88" t="s">
        <v>100</v>
      </c>
      <c r="W115" s="88" t="s">
        <v>101</v>
      </c>
      <c r="X115" s="2"/>
      <c r="Y115" s="2"/>
      <c r="Z115" s="2"/>
    </row>
    <row r="116" ht="15.75" customHeight="1">
      <c r="A116" s="86"/>
      <c r="B116" s="86"/>
      <c r="C116" s="86"/>
      <c r="D116" s="86" t="str">
        <f>IFERROR(VLOOKUP(E116,Groups!$A:$I,3,FALSE()),"Unassigned")</f>
        <v>Unassigned</v>
      </c>
      <c r="E116" s="86"/>
      <c r="F116" s="86" t="str">
        <f>IFERROR(VLOOKUP(E116,Groups!$A:$I,2,FALSE()),"Unassigned")</f>
        <v>Unassigned</v>
      </c>
      <c r="G116" s="86" t="str">
        <f>IFERROR(VLOOKUP(E116,Groups!$A:$I,4,FALSE()),"Direct Reports")</f>
        <v>Direct Reports</v>
      </c>
      <c r="H116" s="86" t="str">
        <f t="shared" si="1"/>
        <v>Excluded</v>
      </c>
      <c r="I116" s="86"/>
      <c r="J116" s="86"/>
      <c r="K116" s="86"/>
      <c r="L116" s="86"/>
      <c r="M116" s="86"/>
      <c r="N116" s="86"/>
      <c r="O116" s="86"/>
      <c r="P116" s="86" t="b">
        <f t="shared" si="3"/>
        <v>0</v>
      </c>
      <c r="Q116" s="86">
        <f>COUNTIF(Licenses!$A:$A,C116)</f>
        <v>0</v>
      </c>
      <c r="R116" s="86"/>
      <c r="S116" s="87"/>
      <c r="T116" s="2"/>
      <c r="U116" s="2"/>
      <c r="V116" s="88" t="s">
        <v>100</v>
      </c>
      <c r="W116" s="88" t="s">
        <v>101</v>
      </c>
      <c r="X116" s="2"/>
      <c r="Y116" s="2"/>
      <c r="Z116" s="2"/>
    </row>
    <row r="117" ht="15.75" customHeight="1">
      <c r="A117" s="86"/>
      <c r="B117" s="86"/>
      <c r="C117" s="86"/>
      <c r="D117" s="86" t="str">
        <f>IFERROR(VLOOKUP(E117,Groups!$A:$I,3,FALSE()),"Unassigned")</f>
        <v>Unassigned</v>
      </c>
      <c r="E117" s="86"/>
      <c r="F117" s="86" t="str">
        <f>IFERROR(VLOOKUP(E117,Groups!$A:$I,2,FALSE()),"Unassigned")</f>
        <v>Unassigned</v>
      </c>
      <c r="G117" s="86" t="str">
        <f>IFERROR(VLOOKUP(E117,Groups!$A:$I,4,FALSE()),"Direct Reports")</f>
        <v>Direct Reports</v>
      </c>
      <c r="H117" s="86" t="str">
        <f t="shared" si="1"/>
        <v>Excluded</v>
      </c>
      <c r="I117" s="86"/>
      <c r="J117" s="86"/>
      <c r="K117" s="86"/>
      <c r="L117" s="86"/>
      <c r="M117" s="86"/>
      <c r="N117" s="86"/>
      <c r="O117" s="86"/>
      <c r="P117" s="86" t="b">
        <f t="shared" si="3"/>
        <v>0</v>
      </c>
      <c r="Q117" s="86">
        <f>COUNTIF(Licenses!$A:$A,C117)</f>
        <v>0</v>
      </c>
      <c r="R117" s="86"/>
      <c r="S117" s="87"/>
      <c r="T117" s="2"/>
      <c r="U117" s="2"/>
      <c r="V117" s="88" t="s">
        <v>100</v>
      </c>
      <c r="W117" s="88" t="s">
        <v>101</v>
      </c>
      <c r="X117" s="2"/>
      <c r="Y117" s="2"/>
      <c r="Z117" s="2"/>
    </row>
    <row r="118" ht="15.75" customHeight="1">
      <c r="A118" s="86"/>
      <c r="B118" s="86"/>
      <c r="C118" s="86"/>
      <c r="D118" s="86" t="str">
        <f>IFERROR(VLOOKUP(E118,Groups!$A:$I,3,FALSE()),"Unassigned")</f>
        <v>Unassigned</v>
      </c>
      <c r="E118" s="86"/>
      <c r="F118" s="86" t="str">
        <f>IFERROR(VLOOKUP(E118,Groups!$A:$I,2,FALSE()),"Unassigned")</f>
        <v>Unassigned</v>
      </c>
      <c r="G118" s="86" t="str">
        <f>IFERROR(VLOOKUP(E118,Groups!$A:$I,4,FALSE()),"Direct Reports")</f>
        <v>Direct Reports</v>
      </c>
      <c r="H118" s="86" t="str">
        <f t="shared" si="1"/>
        <v>Excluded</v>
      </c>
      <c r="I118" s="86"/>
      <c r="J118" s="86"/>
      <c r="K118" s="86"/>
      <c r="L118" s="86"/>
      <c r="M118" s="86"/>
      <c r="N118" s="86"/>
      <c r="O118" s="86"/>
      <c r="P118" s="86" t="b">
        <f t="shared" si="3"/>
        <v>0</v>
      </c>
      <c r="Q118" s="86">
        <f>COUNTIF(Licenses!$A:$A,C118)</f>
        <v>0</v>
      </c>
      <c r="R118" s="86"/>
      <c r="S118" s="87"/>
      <c r="T118" s="2"/>
      <c r="U118" s="2"/>
      <c r="V118" s="88" t="s">
        <v>100</v>
      </c>
      <c r="W118" s="88" t="s">
        <v>101</v>
      </c>
      <c r="X118" s="2"/>
      <c r="Y118" s="2"/>
      <c r="Z118" s="2"/>
    </row>
    <row r="119" ht="15.75" customHeight="1">
      <c r="A119" s="86"/>
      <c r="B119" s="86"/>
      <c r="C119" s="86"/>
      <c r="D119" s="86" t="str">
        <f>IFERROR(VLOOKUP(E119,Groups!$A:$I,3,FALSE()),"Unassigned")</f>
        <v>Unassigned</v>
      </c>
      <c r="E119" s="86"/>
      <c r="F119" s="86" t="str">
        <f>IFERROR(VLOOKUP(E119,Groups!$A:$I,2,FALSE()),"Unassigned")</f>
        <v>Unassigned</v>
      </c>
      <c r="G119" s="86" t="str">
        <f>IFERROR(VLOOKUP(E119,Groups!$A:$I,4,FALSE()),"Direct Reports")</f>
        <v>Direct Reports</v>
      </c>
      <c r="H119" s="86" t="str">
        <f t="shared" si="1"/>
        <v>Excluded</v>
      </c>
      <c r="I119" s="86"/>
      <c r="J119" s="86"/>
      <c r="K119" s="86"/>
      <c r="L119" s="86"/>
      <c r="M119" s="86"/>
      <c r="N119" s="86"/>
      <c r="O119" s="86"/>
      <c r="P119" s="86" t="b">
        <f t="shared" si="3"/>
        <v>0</v>
      </c>
      <c r="Q119" s="86">
        <f>COUNTIF(Licenses!$A:$A,C119)</f>
        <v>0</v>
      </c>
      <c r="R119" s="86"/>
      <c r="S119" s="87"/>
      <c r="T119" s="2"/>
      <c r="U119" s="2"/>
      <c r="V119" s="88" t="s">
        <v>100</v>
      </c>
      <c r="W119" s="88" t="s">
        <v>101</v>
      </c>
      <c r="X119" s="2"/>
      <c r="Y119" s="2"/>
      <c r="Z119" s="2"/>
    </row>
    <row r="120" ht="15.75" customHeight="1">
      <c r="A120" s="86"/>
      <c r="B120" s="86"/>
      <c r="C120" s="86"/>
      <c r="D120" s="86" t="str">
        <f>IFERROR(VLOOKUP(E120,Groups!$A:$I,3,FALSE()),"Unassigned")</f>
        <v>Unassigned</v>
      </c>
      <c r="E120" s="86"/>
      <c r="F120" s="86" t="str">
        <f>IFERROR(VLOOKUP(E120,Groups!$A:$I,2,FALSE()),"Unassigned")</f>
        <v>Unassigned</v>
      </c>
      <c r="G120" s="86" t="str">
        <f>IFERROR(VLOOKUP(E120,Groups!$A:$I,4,FALSE()),"Direct Reports")</f>
        <v>Direct Reports</v>
      </c>
      <c r="H120" s="86" t="str">
        <f t="shared" si="1"/>
        <v>Excluded</v>
      </c>
      <c r="I120" s="86"/>
      <c r="J120" s="86"/>
      <c r="K120" s="86"/>
      <c r="L120" s="86"/>
      <c r="M120" s="86"/>
      <c r="N120" s="86"/>
      <c r="O120" s="86"/>
      <c r="P120" s="86" t="b">
        <f t="shared" si="3"/>
        <v>0</v>
      </c>
      <c r="Q120" s="86">
        <f>COUNTIF(Licenses!$A:$A,C120)</f>
        <v>0</v>
      </c>
      <c r="R120" s="86"/>
      <c r="S120" s="87"/>
      <c r="T120" s="2"/>
      <c r="U120" s="2"/>
      <c r="V120" s="88" t="s">
        <v>100</v>
      </c>
      <c r="W120" s="88" t="s">
        <v>101</v>
      </c>
      <c r="X120" s="2"/>
      <c r="Y120" s="2"/>
      <c r="Z120" s="2"/>
    </row>
    <row r="121" ht="15.75" customHeight="1">
      <c r="A121" s="86"/>
      <c r="B121" s="86"/>
      <c r="C121" s="86"/>
      <c r="D121" s="86" t="str">
        <f>IFERROR(VLOOKUP(E121,Groups!$A:$I,3,FALSE()),"Unassigned")</f>
        <v>Unassigned</v>
      </c>
      <c r="E121" s="86"/>
      <c r="F121" s="86" t="str">
        <f>IFERROR(VLOOKUP(E121,Groups!$A:$I,2,FALSE()),"Unassigned")</f>
        <v>Unassigned</v>
      </c>
      <c r="G121" s="86" t="str">
        <f>IFERROR(VLOOKUP(E121,Groups!$A:$I,4,FALSE()),"Direct Reports")</f>
        <v>Direct Reports</v>
      </c>
      <c r="H121" s="86" t="str">
        <f t="shared" si="1"/>
        <v>Excluded</v>
      </c>
      <c r="I121" s="86"/>
      <c r="J121" s="86"/>
      <c r="K121" s="86"/>
      <c r="L121" s="86"/>
      <c r="M121" s="86"/>
      <c r="N121" s="86"/>
      <c r="O121" s="86"/>
      <c r="P121" s="86" t="b">
        <f t="shared" si="3"/>
        <v>0</v>
      </c>
      <c r="Q121" s="86">
        <f>COUNTIF(Licenses!$A:$A,C121)</f>
        <v>0</v>
      </c>
      <c r="R121" s="86"/>
      <c r="S121" s="87"/>
      <c r="T121" s="2"/>
      <c r="U121" s="2"/>
      <c r="V121" s="88" t="s">
        <v>100</v>
      </c>
      <c r="W121" s="88" t="s">
        <v>101</v>
      </c>
      <c r="X121" s="2"/>
      <c r="Y121" s="2"/>
      <c r="Z121" s="2"/>
    </row>
    <row r="122" ht="15.75" customHeight="1">
      <c r="A122" s="86"/>
      <c r="B122" s="86"/>
      <c r="C122" s="86"/>
      <c r="D122" s="86" t="str">
        <f>IFERROR(VLOOKUP(E122,Groups!$A:$I,3,FALSE()),"Unassigned")</f>
        <v>Unassigned</v>
      </c>
      <c r="E122" s="86"/>
      <c r="F122" s="86" t="str">
        <f>IFERROR(VLOOKUP(E122,Groups!$A:$I,2,FALSE()),"Unassigned")</f>
        <v>Unassigned</v>
      </c>
      <c r="G122" s="86" t="str">
        <f>IFERROR(VLOOKUP(E122,Groups!$A:$I,4,FALSE()),"Direct Reports")</f>
        <v>Direct Reports</v>
      </c>
      <c r="H122" s="86" t="str">
        <f t="shared" si="1"/>
        <v>Excluded</v>
      </c>
      <c r="I122" s="86"/>
      <c r="J122" s="86"/>
      <c r="K122" s="86"/>
      <c r="L122" s="86"/>
      <c r="M122" s="86"/>
      <c r="N122" s="86"/>
      <c r="O122" s="86"/>
      <c r="P122" s="86" t="b">
        <f t="shared" si="3"/>
        <v>0</v>
      </c>
      <c r="Q122" s="86">
        <f>COUNTIF(Licenses!$A:$A,C122)</f>
        <v>0</v>
      </c>
      <c r="R122" s="86"/>
      <c r="S122" s="87"/>
      <c r="T122" s="2"/>
      <c r="U122" s="2"/>
      <c r="V122" s="88" t="s">
        <v>100</v>
      </c>
      <c r="W122" s="88" t="s">
        <v>101</v>
      </c>
      <c r="X122" s="2"/>
      <c r="Y122" s="2"/>
      <c r="Z122" s="2"/>
    </row>
    <row r="123" ht="15.75" customHeight="1">
      <c r="A123" s="86"/>
      <c r="B123" s="86"/>
      <c r="C123" s="86"/>
      <c r="D123" s="86" t="str">
        <f>IFERROR(VLOOKUP(E123,Groups!$A:$I,3,FALSE()),"Unassigned")</f>
        <v>Unassigned</v>
      </c>
      <c r="E123" s="86"/>
      <c r="F123" s="86" t="str">
        <f>IFERROR(VLOOKUP(E123,Groups!$A:$I,2,FALSE()),"Unassigned")</f>
        <v>Unassigned</v>
      </c>
      <c r="G123" s="86" t="str">
        <f>IFERROR(VLOOKUP(E123,Groups!$A:$I,4,FALSE()),"Direct Reports")</f>
        <v>Direct Reports</v>
      </c>
      <c r="H123" s="86" t="str">
        <f t="shared" si="1"/>
        <v>Excluded</v>
      </c>
      <c r="I123" s="86"/>
      <c r="J123" s="86"/>
      <c r="K123" s="86"/>
      <c r="L123" s="86"/>
      <c r="M123" s="86"/>
      <c r="N123" s="86"/>
      <c r="O123" s="86"/>
      <c r="P123" s="86" t="b">
        <f t="shared" si="3"/>
        <v>0</v>
      </c>
      <c r="Q123" s="86">
        <f>COUNTIF(Licenses!$A:$A,C123)</f>
        <v>0</v>
      </c>
      <c r="R123" s="86"/>
      <c r="S123" s="87"/>
      <c r="T123" s="2"/>
      <c r="U123" s="2"/>
      <c r="V123" s="88" t="s">
        <v>100</v>
      </c>
      <c r="W123" s="88" t="s">
        <v>101</v>
      </c>
      <c r="X123" s="2"/>
      <c r="Y123" s="2"/>
      <c r="Z123" s="2"/>
    </row>
    <row r="124" ht="15.75" customHeight="1">
      <c r="A124" s="86"/>
      <c r="B124" s="86"/>
      <c r="C124" s="86"/>
      <c r="D124" s="86" t="str">
        <f>IFERROR(VLOOKUP(E124,Groups!$A:$I,3,FALSE()),"Unassigned")</f>
        <v>Unassigned</v>
      </c>
      <c r="E124" s="86"/>
      <c r="F124" s="86" t="str">
        <f>IFERROR(VLOOKUP(E124,Groups!$A:$I,2,FALSE()),"Unassigned")</f>
        <v>Unassigned</v>
      </c>
      <c r="G124" s="86" t="str">
        <f>IFERROR(VLOOKUP(E124,Groups!$A:$I,4,FALSE()),"Direct Reports")</f>
        <v>Direct Reports</v>
      </c>
      <c r="H124" s="86" t="str">
        <f t="shared" si="1"/>
        <v>Excluded</v>
      </c>
      <c r="I124" s="86"/>
      <c r="J124" s="86"/>
      <c r="K124" s="86"/>
      <c r="L124" s="86"/>
      <c r="M124" s="86"/>
      <c r="N124" s="86"/>
      <c r="O124" s="86"/>
      <c r="P124" s="86" t="b">
        <f t="shared" si="3"/>
        <v>0</v>
      </c>
      <c r="Q124" s="86">
        <f>COUNTIF(Licenses!$A:$A,C124)</f>
        <v>0</v>
      </c>
      <c r="R124" s="86"/>
      <c r="S124" s="87"/>
      <c r="T124" s="2"/>
      <c r="U124" s="2"/>
      <c r="V124" s="88" t="s">
        <v>100</v>
      </c>
      <c r="W124" s="88" t="s">
        <v>101</v>
      </c>
      <c r="X124" s="2"/>
      <c r="Y124" s="2"/>
      <c r="Z124" s="2"/>
    </row>
    <row r="125" ht="15.75" customHeight="1">
      <c r="A125" s="86"/>
      <c r="B125" s="86"/>
      <c r="C125" s="86"/>
      <c r="D125" s="86" t="str">
        <f>IFERROR(VLOOKUP(E125,Groups!$A:$I,3,FALSE()),"Unassigned")</f>
        <v>Unassigned</v>
      </c>
      <c r="E125" s="86"/>
      <c r="F125" s="86" t="str">
        <f>IFERROR(VLOOKUP(E125,Groups!$A:$I,2,FALSE()),"Unassigned")</f>
        <v>Unassigned</v>
      </c>
      <c r="G125" s="86" t="str">
        <f>IFERROR(VLOOKUP(E125,Groups!$A:$I,4,FALSE()),"Direct Reports")</f>
        <v>Direct Reports</v>
      </c>
      <c r="H125" s="86" t="str">
        <f t="shared" si="1"/>
        <v>Excluded</v>
      </c>
      <c r="I125" s="86"/>
      <c r="J125" s="86"/>
      <c r="K125" s="86"/>
      <c r="L125" s="86"/>
      <c r="M125" s="86"/>
      <c r="N125" s="86"/>
      <c r="O125" s="86"/>
      <c r="P125" s="86" t="b">
        <f t="shared" si="3"/>
        <v>0</v>
      </c>
      <c r="Q125" s="86">
        <f>COUNTIF(Licenses!$A:$A,C125)</f>
        <v>0</v>
      </c>
      <c r="R125" s="86"/>
      <c r="S125" s="87"/>
      <c r="T125" s="2"/>
      <c r="U125" s="2"/>
      <c r="V125" s="88" t="s">
        <v>100</v>
      </c>
      <c r="W125" s="88" t="s">
        <v>101</v>
      </c>
      <c r="X125" s="2"/>
      <c r="Y125" s="2"/>
      <c r="Z125" s="2"/>
    </row>
    <row r="126" ht="15.75" customHeight="1">
      <c r="A126" s="86"/>
      <c r="B126" s="86"/>
      <c r="C126" s="86"/>
      <c r="D126" s="86" t="str">
        <f>IFERROR(VLOOKUP(E126,Groups!$A:$I,3,FALSE()),"Unassigned")</f>
        <v>Unassigned</v>
      </c>
      <c r="E126" s="86"/>
      <c r="F126" s="86" t="str">
        <f>IFERROR(VLOOKUP(E126,Groups!$A:$I,2,FALSE()),"Unassigned")</f>
        <v>Unassigned</v>
      </c>
      <c r="G126" s="86" t="str">
        <f>IFERROR(VLOOKUP(E126,Groups!$A:$I,4,FALSE()),"Direct Reports")</f>
        <v>Direct Reports</v>
      </c>
      <c r="H126" s="86" t="str">
        <f t="shared" si="1"/>
        <v>Excluded</v>
      </c>
      <c r="I126" s="86"/>
      <c r="J126" s="86"/>
      <c r="K126" s="86"/>
      <c r="L126" s="86"/>
      <c r="M126" s="86"/>
      <c r="N126" s="86"/>
      <c r="O126" s="86"/>
      <c r="P126" s="86" t="b">
        <f t="shared" si="3"/>
        <v>0</v>
      </c>
      <c r="Q126" s="86">
        <f>COUNTIF(Licenses!$A:$A,C126)</f>
        <v>0</v>
      </c>
      <c r="R126" s="86"/>
      <c r="S126" s="87"/>
      <c r="T126" s="2"/>
      <c r="U126" s="2"/>
      <c r="V126" s="88" t="s">
        <v>100</v>
      </c>
      <c r="W126" s="88" t="s">
        <v>101</v>
      </c>
      <c r="X126" s="2"/>
      <c r="Y126" s="2"/>
      <c r="Z126" s="2"/>
    </row>
    <row r="127" ht="15.75" customHeight="1">
      <c r="A127" s="86"/>
      <c r="B127" s="86"/>
      <c r="C127" s="86"/>
      <c r="D127" s="86" t="str">
        <f>IFERROR(VLOOKUP(E127,Groups!$A:$I,3,FALSE()),"Unassigned")</f>
        <v>Unassigned</v>
      </c>
      <c r="E127" s="86"/>
      <c r="F127" s="86" t="str">
        <f>IFERROR(VLOOKUP(E127,Groups!$A:$I,2,FALSE()),"Unassigned")</f>
        <v>Unassigned</v>
      </c>
      <c r="G127" s="86" t="str">
        <f>IFERROR(VLOOKUP(E127,Groups!$A:$I,4,FALSE()),"Direct Reports")</f>
        <v>Direct Reports</v>
      </c>
      <c r="H127" s="86" t="str">
        <f t="shared" si="1"/>
        <v>Excluded</v>
      </c>
      <c r="I127" s="86"/>
      <c r="J127" s="86"/>
      <c r="K127" s="86"/>
      <c r="L127" s="86"/>
      <c r="M127" s="86"/>
      <c r="N127" s="86"/>
      <c r="O127" s="86"/>
      <c r="P127" s="86" t="b">
        <f t="shared" si="3"/>
        <v>0</v>
      </c>
      <c r="Q127" s="86">
        <f>COUNTIF(Licenses!$A:$A,C127)</f>
        <v>0</v>
      </c>
      <c r="R127" s="86"/>
      <c r="S127" s="87"/>
      <c r="T127" s="2"/>
      <c r="U127" s="2"/>
      <c r="V127" s="88" t="s">
        <v>100</v>
      </c>
      <c r="W127" s="88" t="s">
        <v>101</v>
      </c>
      <c r="X127" s="2"/>
      <c r="Y127" s="2"/>
      <c r="Z127" s="2"/>
    </row>
    <row r="128" ht="15.75" customHeight="1">
      <c r="A128" s="86"/>
      <c r="B128" s="86"/>
      <c r="C128" s="86"/>
      <c r="D128" s="86" t="str">
        <f>IFERROR(VLOOKUP(E128,Groups!$A:$I,3,FALSE()),"Unassigned")</f>
        <v>Unassigned</v>
      </c>
      <c r="E128" s="86"/>
      <c r="F128" s="86" t="str">
        <f>IFERROR(VLOOKUP(E128,Groups!$A:$I,2,FALSE()),"Unassigned")</f>
        <v>Unassigned</v>
      </c>
      <c r="G128" s="86" t="str">
        <f>IFERROR(VLOOKUP(E128,Groups!$A:$I,4,FALSE()),"Direct Reports")</f>
        <v>Direct Reports</v>
      </c>
      <c r="H128" s="86" t="str">
        <f t="shared" si="1"/>
        <v>Excluded</v>
      </c>
      <c r="I128" s="86"/>
      <c r="J128" s="86"/>
      <c r="K128" s="86"/>
      <c r="L128" s="86"/>
      <c r="M128" s="86"/>
      <c r="N128" s="86"/>
      <c r="O128" s="86"/>
      <c r="P128" s="86" t="b">
        <f t="shared" si="3"/>
        <v>0</v>
      </c>
      <c r="Q128" s="86">
        <f>COUNTIF(Licenses!$A:$A,C128)</f>
        <v>0</v>
      </c>
      <c r="R128" s="86"/>
      <c r="S128" s="87"/>
      <c r="T128" s="2"/>
      <c r="U128" s="2"/>
      <c r="V128" s="88" t="s">
        <v>100</v>
      </c>
      <c r="W128" s="88" t="s">
        <v>101</v>
      </c>
      <c r="X128" s="2"/>
      <c r="Y128" s="2"/>
      <c r="Z128" s="2"/>
    </row>
    <row r="129" ht="15.75" customHeight="1">
      <c r="A129" s="86"/>
      <c r="B129" s="86"/>
      <c r="C129" s="86"/>
      <c r="D129" s="86" t="str">
        <f>IFERROR(VLOOKUP(E129,Groups!$A:$I,3,FALSE()),"Unassigned")</f>
        <v>Unassigned</v>
      </c>
      <c r="E129" s="86"/>
      <c r="F129" s="86" t="str">
        <f>IFERROR(VLOOKUP(E129,Groups!$A:$I,2,FALSE()),"Unassigned")</f>
        <v>Unassigned</v>
      </c>
      <c r="G129" s="86" t="str">
        <f>IFERROR(VLOOKUP(E129,Groups!$A:$I,4,FALSE()),"Direct Reports")</f>
        <v>Direct Reports</v>
      </c>
      <c r="H129" s="86" t="str">
        <f t="shared" si="1"/>
        <v>Excluded</v>
      </c>
      <c r="I129" s="86"/>
      <c r="J129" s="86"/>
      <c r="K129" s="86"/>
      <c r="L129" s="86"/>
      <c r="M129" s="86"/>
      <c r="N129" s="86"/>
      <c r="O129" s="86"/>
      <c r="P129" s="86" t="b">
        <f t="shared" si="3"/>
        <v>0</v>
      </c>
      <c r="Q129" s="86">
        <f>COUNTIF(Licenses!$A:$A,C129)</f>
        <v>0</v>
      </c>
      <c r="R129" s="86"/>
      <c r="S129" s="87"/>
      <c r="T129" s="2"/>
      <c r="U129" s="2"/>
      <c r="V129" s="88" t="s">
        <v>100</v>
      </c>
      <c r="W129" s="88" t="s">
        <v>101</v>
      </c>
      <c r="X129" s="2"/>
      <c r="Y129" s="2"/>
      <c r="Z129" s="2"/>
    </row>
    <row r="130" ht="15.75" customHeight="1">
      <c r="A130" s="86"/>
      <c r="B130" s="86"/>
      <c r="C130" s="86"/>
      <c r="D130" s="86" t="str">
        <f>IFERROR(VLOOKUP(E130,Groups!$A:$I,3,FALSE()),"Unassigned")</f>
        <v>Unassigned</v>
      </c>
      <c r="E130" s="86"/>
      <c r="F130" s="86" t="str">
        <f>IFERROR(VLOOKUP(E130,Groups!$A:$I,2,FALSE()),"Unassigned")</f>
        <v>Unassigned</v>
      </c>
      <c r="G130" s="86" t="str">
        <f>IFERROR(VLOOKUP(E130,Groups!$A:$I,4,FALSE()),"Direct Reports")</f>
        <v>Direct Reports</v>
      </c>
      <c r="H130" s="86" t="str">
        <f t="shared" si="1"/>
        <v>Excluded</v>
      </c>
      <c r="I130" s="86"/>
      <c r="J130" s="86"/>
      <c r="K130" s="86"/>
      <c r="L130" s="86"/>
      <c r="M130" s="86"/>
      <c r="N130" s="86"/>
      <c r="O130" s="86"/>
      <c r="P130" s="86" t="b">
        <f t="shared" si="3"/>
        <v>0</v>
      </c>
      <c r="Q130" s="86">
        <f>COUNTIF(Licenses!$A:$A,C130)</f>
        <v>0</v>
      </c>
      <c r="R130" s="86"/>
      <c r="S130" s="87"/>
      <c r="T130" s="2"/>
      <c r="U130" s="2"/>
      <c r="V130" s="88" t="s">
        <v>100</v>
      </c>
      <c r="W130" s="88" t="s">
        <v>101</v>
      </c>
      <c r="X130" s="2"/>
      <c r="Y130" s="2"/>
      <c r="Z130" s="2"/>
    </row>
    <row r="131" ht="15.75" customHeight="1">
      <c r="A131" s="86"/>
      <c r="B131" s="86"/>
      <c r="C131" s="86"/>
      <c r="D131" s="86" t="str">
        <f>IFERROR(VLOOKUP(E131,Groups!$A:$I,3,FALSE()),"Unassigned")</f>
        <v>Unassigned</v>
      </c>
      <c r="E131" s="86"/>
      <c r="F131" s="86" t="str">
        <f>IFERROR(VLOOKUP(E131,Groups!$A:$I,2,FALSE()),"Unassigned")</f>
        <v>Unassigned</v>
      </c>
      <c r="G131" s="86" t="str">
        <f>IFERROR(VLOOKUP(E131,Groups!$A:$I,4,FALSE()),"Direct Reports")</f>
        <v>Direct Reports</v>
      </c>
      <c r="H131" s="86" t="str">
        <f t="shared" si="1"/>
        <v>Excluded</v>
      </c>
      <c r="I131" s="86"/>
      <c r="J131" s="86"/>
      <c r="K131" s="86"/>
      <c r="L131" s="86"/>
      <c r="M131" s="86"/>
      <c r="N131" s="86"/>
      <c r="O131" s="86"/>
      <c r="P131" s="86" t="b">
        <f t="shared" si="3"/>
        <v>0</v>
      </c>
      <c r="Q131" s="86">
        <f>COUNTIF(Licenses!$A:$A,C131)</f>
        <v>0</v>
      </c>
      <c r="R131" s="86"/>
      <c r="S131" s="87"/>
      <c r="T131" s="2"/>
      <c r="U131" s="2"/>
      <c r="V131" s="88" t="s">
        <v>100</v>
      </c>
      <c r="W131" s="88" t="s">
        <v>101</v>
      </c>
      <c r="X131" s="2"/>
      <c r="Y131" s="2"/>
      <c r="Z131" s="2"/>
    </row>
    <row r="132" ht="15.75" customHeight="1">
      <c r="A132" s="86"/>
      <c r="B132" s="86"/>
      <c r="C132" s="86"/>
      <c r="D132" s="86" t="str">
        <f>IFERROR(VLOOKUP(E132,Groups!$A:$I,3,FALSE()),"Unassigned")</f>
        <v>Unassigned</v>
      </c>
      <c r="E132" s="86"/>
      <c r="F132" s="86" t="str">
        <f>IFERROR(VLOOKUP(E132,Groups!$A:$I,2,FALSE()),"Unassigned")</f>
        <v>Unassigned</v>
      </c>
      <c r="G132" s="86" t="str">
        <f>IFERROR(VLOOKUP(E132,Groups!$A:$I,4,FALSE()),"Direct Reports")</f>
        <v>Direct Reports</v>
      </c>
      <c r="H132" s="86" t="str">
        <f t="shared" si="1"/>
        <v>Excluded</v>
      </c>
      <c r="I132" s="86"/>
      <c r="J132" s="86"/>
      <c r="K132" s="86"/>
      <c r="L132" s="86"/>
      <c r="M132" s="86"/>
      <c r="N132" s="86"/>
      <c r="O132" s="86"/>
      <c r="P132" s="86" t="b">
        <f t="shared" si="3"/>
        <v>0</v>
      </c>
      <c r="Q132" s="86">
        <f>COUNTIF(Licenses!$A:$A,C132)</f>
        <v>0</v>
      </c>
      <c r="R132" s="86"/>
      <c r="S132" s="87"/>
      <c r="T132" s="2"/>
      <c r="U132" s="2"/>
      <c r="V132" s="88" t="s">
        <v>100</v>
      </c>
      <c r="W132" s="88" t="s">
        <v>101</v>
      </c>
      <c r="X132" s="2"/>
      <c r="Y132" s="2"/>
      <c r="Z132" s="2"/>
    </row>
    <row r="133" ht="15.75" customHeight="1">
      <c r="A133" s="86"/>
      <c r="B133" s="86"/>
      <c r="C133" s="86"/>
      <c r="D133" s="86" t="str">
        <f>IFERROR(VLOOKUP(E133,Groups!$A:$I,3,FALSE()),"Unassigned")</f>
        <v>Unassigned</v>
      </c>
      <c r="E133" s="86"/>
      <c r="F133" s="86" t="str">
        <f>IFERROR(VLOOKUP(E133,Groups!$A:$I,2,FALSE()),"Unassigned")</f>
        <v>Unassigned</v>
      </c>
      <c r="G133" s="86" t="str">
        <f>IFERROR(VLOOKUP(E133,Groups!$A:$I,4,FALSE()),"Direct Reports")</f>
        <v>Direct Reports</v>
      </c>
      <c r="H133" s="86" t="str">
        <f t="shared" si="1"/>
        <v>Excluded</v>
      </c>
      <c r="I133" s="86"/>
      <c r="J133" s="86"/>
      <c r="K133" s="86"/>
      <c r="L133" s="86"/>
      <c r="M133" s="86"/>
      <c r="N133" s="86"/>
      <c r="O133" s="86"/>
      <c r="P133" s="86" t="b">
        <f t="shared" si="3"/>
        <v>0</v>
      </c>
      <c r="Q133" s="86">
        <f>COUNTIF(Licenses!$A:$A,C133)</f>
        <v>0</v>
      </c>
      <c r="R133" s="86"/>
      <c r="S133" s="87"/>
      <c r="T133" s="2"/>
      <c r="U133" s="2"/>
      <c r="V133" s="88" t="s">
        <v>100</v>
      </c>
      <c r="W133" s="88" t="s">
        <v>101</v>
      </c>
      <c r="X133" s="2"/>
      <c r="Y133" s="2"/>
      <c r="Z133" s="2"/>
    </row>
    <row r="134" ht="15.75" customHeight="1">
      <c r="A134" s="86"/>
      <c r="B134" s="86"/>
      <c r="C134" s="86"/>
      <c r="D134" s="86" t="str">
        <f>IFERROR(VLOOKUP(E134,Groups!$A:$I,3,FALSE()),"Unassigned")</f>
        <v>Unassigned</v>
      </c>
      <c r="E134" s="86"/>
      <c r="F134" s="86" t="str">
        <f>IFERROR(VLOOKUP(E134,Groups!$A:$I,2,FALSE()),"Unassigned")</f>
        <v>Unassigned</v>
      </c>
      <c r="G134" s="86" t="str">
        <f>IFERROR(VLOOKUP(E134,Groups!$A:$I,4,FALSE()),"Direct Reports")</f>
        <v>Direct Reports</v>
      </c>
      <c r="H134" s="86" t="str">
        <f t="shared" si="1"/>
        <v>Excluded</v>
      </c>
      <c r="I134" s="86"/>
      <c r="J134" s="86"/>
      <c r="K134" s="86"/>
      <c r="L134" s="86"/>
      <c r="M134" s="86"/>
      <c r="N134" s="86"/>
      <c r="O134" s="86"/>
      <c r="P134" s="86" t="b">
        <f t="shared" si="3"/>
        <v>0</v>
      </c>
      <c r="Q134" s="86">
        <f>COUNTIF(Licenses!$A:$A,C134)</f>
        <v>0</v>
      </c>
      <c r="R134" s="86"/>
      <c r="S134" s="87"/>
      <c r="T134" s="2"/>
      <c r="U134" s="2"/>
      <c r="V134" s="88" t="s">
        <v>100</v>
      </c>
      <c r="W134" s="88" t="s">
        <v>101</v>
      </c>
      <c r="X134" s="2"/>
      <c r="Y134" s="2"/>
      <c r="Z134" s="2"/>
    </row>
    <row r="135" ht="15.75" customHeight="1">
      <c r="A135" s="86"/>
      <c r="B135" s="86"/>
      <c r="C135" s="86"/>
      <c r="D135" s="86" t="str">
        <f>IFERROR(VLOOKUP(E135,Groups!$A:$I,3,FALSE()),"Unassigned")</f>
        <v>Unassigned</v>
      </c>
      <c r="E135" s="86"/>
      <c r="F135" s="86" t="str">
        <f>IFERROR(VLOOKUP(E135,Groups!$A:$I,2,FALSE()),"Unassigned")</f>
        <v>Unassigned</v>
      </c>
      <c r="G135" s="86" t="str">
        <f>IFERROR(VLOOKUP(E135,Groups!$A:$I,4,FALSE()),"Direct Reports")</f>
        <v>Direct Reports</v>
      </c>
      <c r="H135" s="86" t="str">
        <f t="shared" si="1"/>
        <v>Excluded</v>
      </c>
      <c r="I135" s="86"/>
      <c r="J135" s="86"/>
      <c r="K135" s="86"/>
      <c r="L135" s="86"/>
      <c r="M135" s="86"/>
      <c r="N135" s="86"/>
      <c r="O135" s="86"/>
      <c r="P135" s="86" t="b">
        <f t="shared" si="3"/>
        <v>0</v>
      </c>
      <c r="Q135" s="86">
        <f>COUNTIF(Licenses!$A:$A,C135)</f>
        <v>0</v>
      </c>
      <c r="R135" s="86"/>
      <c r="S135" s="87"/>
      <c r="T135" s="2"/>
      <c r="U135" s="2"/>
      <c r="V135" s="88" t="s">
        <v>100</v>
      </c>
      <c r="W135" s="88" t="s">
        <v>101</v>
      </c>
      <c r="X135" s="2"/>
      <c r="Y135" s="2"/>
      <c r="Z135" s="2"/>
    </row>
    <row r="136" ht="15.75" customHeight="1">
      <c r="A136" s="86"/>
      <c r="B136" s="86"/>
      <c r="C136" s="86"/>
      <c r="D136" s="86" t="str">
        <f>IFERROR(VLOOKUP(E136,Groups!$A:$I,3,FALSE()),"Unassigned")</f>
        <v>Unassigned</v>
      </c>
      <c r="E136" s="86"/>
      <c r="F136" s="86" t="str">
        <f>IFERROR(VLOOKUP(E136,Groups!$A:$I,2,FALSE()),"Unassigned")</f>
        <v>Unassigned</v>
      </c>
      <c r="G136" s="86" t="str">
        <f>IFERROR(VLOOKUP(E136,Groups!$A:$I,4,FALSE()),"Direct Reports")</f>
        <v>Direct Reports</v>
      </c>
      <c r="H136" s="86" t="str">
        <f t="shared" si="1"/>
        <v>Excluded</v>
      </c>
      <c r="I136" s="86"/>
      <c r="J136" s="86"/>
      <c r="K136" s="86"/>
      <c r="L136" s="86"/>
      <c r="M136" s="86"/>
      <c r="N136" s="86"/>
      <c r="O136" s="86"/>
      <c r="P136" s="86" t="b">
        <f t="shared" si="3"/>
        <v>0</v>
      </c>
      <c r="Q136" s="86">
        <f>COUNTIF(Licenses!$A:$A,C136)</f>
        <v>0</v>
      </c>
      <c r="R136" s="86"/>
      <c r="S136" s="87"/>
      <c r="T136" s="2"/>
      <c r="U136" s="2"/>
      <c r="V136" s="88" t="s">
        <v>100</v>
      </c>
      <c r="W136" s="88" t="s">
        <v>101</v>
      </c>
      <c r="X136" s="2"/>
      <c r="Y136" s="2"/>
      <c r="Z136" s="2"/>
    </row>
    <row r="137" ht="15.75" customHeight="1">
      <c r="A137" s="86"/>
      <c r="B137" s="86"/>
      <c r="C137" s="86"/>
      <c r="D137" s="86" t="str">
        <f>IFERROR(VLOOKUP(E137,Groups!$A:$I,3,FALSE()),"Unassigned")</f>
        <v>Unassigned</v>
      </c>
      <c r="E137" s="86"/>
      <c r="F137" s="86" t="str">
        <f>IFERROR(VLOOKUP(E137,Groups!$A:$I,2,FALSE()),"Unassigned")</f>
        <v>Unassigned</v>
      </c>
      <c r="G137" s="86" t="str">
        <f>IFERROR(VLOOKUP(E137,Groups!$A:$I,4,FALSE()),"Direct Reports")</f>
        <v>Direct Reports</v>
      </c>
      <c r="H137" s="86" t="str">
        <f t="shared" si="1"/>
        <v>Excluded</v>
      </c>
      <c r="I137" s="86"/>
      <c r="J137" s="86"/>
      <c r="K137" s="86"/>
      <c r="L137" s="86"/>
      <c r="M137" s="86"/>
      <c r="N137" s="86"/>
      <c r="O137" s="86"/>
      <c r="P137" s="86" t="b">
        <f t="shared" si="3"/>
        <v>0</v>
      </c>
      <c r="Q137" s="86">
        <f>COUNTIF(Licenses!$A:$A,C137)</f>
        <v>0</v>
      </c>
      <c r="R137" s="86"/>
      <c r="S137" s="87"/>
      <c r="T137" s="2"/>
      <c r="U137" s="2"/>
      <c r="V137" s="88" t="s">
        <v>100</v>
      </c>
      <c r="W137" s="88" t="s">
        <v>101</v>
      </c>
      <c r="X137" s="2"/>
      <c r="Y137" s="2"/>
      <c r="Z137" s="2"/>
    </row>
    <row r="138" ht="15.75" customHeight="1">
      <c r="A138" s="86"/>
      <c r="B138" s="86"/>
      <c r="C138" s="86"/>
      <c r="D138" s="86" t="str">
        <f>IFERROR(VLOOKUP(E138,Groups!$A:$I,3,FALSE()),"Unassigned")</f>
        <v>Unassigned</v>
      </c>
      <c r="E138" s="86"/>
      <c r="F138" s="86" t="str">
        <f>IFERROR(VLOOKUP(E138,Groups!$A:$I,2,FALSE()),"Unassigned")</f>
        <v>Unassigned</v>
      </c>
      <c r="G138" s="86" t="str">
        <f>IFERROR(VLOOKUP(E138,Groups!$A:$I,4,FALSE()),"Direct Reports")</f>
        <v>Direct Reports</v>
      </c>
      <c r="H138" s="86" t="str">
        <f t="shared" si="1"/>
        <v>Excluded</v>
      </c>
      <c r="I138" s="86"/>
      <c r="J138" s="86"/>
      <c r="K138" s="86"/>
      <c r="L138" s="86"/>
      <c r="M138" s="86"/>
      <c r="N138" s="86"/>
      <c r="O138" s="86"/>
      <c r="P138" s="86" t="b">
        <f t="shared" si="3"/>
        <v>0</v>
      </c>
      <c r="Q138" s="86">
        <f>COUNTIF(Licenses!$A:$A,C138)</f>
        <v>0</v>
      </c>
      <c r="R138" s="86"/>
      <c r="S138" s="87"/>
      <c r="T138" s="2"/>
      <c r="U138" s="2"/>
      <c r="V138" s="88" t="s">
        <v>100</v>
      </c>
      <c r="W138" s="88" t="s">
        <v>101</v>
      </c>
      <c r="X138" s="2"/>
      <c r="Y138" s="2"/>
      <c r="Z138" s="2"/>
    </row>
    <row r="139" ht="15.75" customHeight="1">
      <c r="A139" s="86"/>
      <c r="B139" s="86"/>
      <c r="C139" s="86"/>
      <c r="D139" s="86" t="str">
        <f>IFERROR(VLOOKUP(E139,Groups!$A:$I,3,FALSE()),"Unassigned")</f>
        <v>Unassigned</v>
      </c>
      <c r="E139" s="86"/>
      <c r="F139" s="86" t="str">
        <f>IFERROR(VLOOKUP(E139,Groups!$A:$I,2,FALSE()),"Unassigned")</f>
        <v>Unassigned</v>
      </c>
      <c r="G139" s="86" t="str">
        <f>IFERROR(VLOOKUP(E139,Groups!$A:$I,4,FALSE()),"Direct Reports")</f>
        <v>Direct Reports</v>
      </c>
      <c r="H139" s="86" t="str">
        <f t="shared" si="1"/>
        <v>Excluded</v>
      </c>
      <c r="I139" s="86"/>
      <c r="J139" s="86"/>
      <c r="K139" s="86"/>
      <c r="L139" s="86"/>
      <c r="M139" s="86"/>
      <c r="N139" s="86"/>
      <c r="O139" s="86"/>
      <c r="P139" s="86" t="b">
        <f t="shared" si="3"/>
        <v>0</v>
      </c>
      <c r="Q139" s="86">
        <f>COUNTIF(Licenses!$A:$A,C139)</f>
        <v>0</v>
      </c>
      <c r="R139" s="86"/>
      <c r="S139" s="87"/>
      <c r="T139" s="2"/>
      <c r="U139" s="2"/>
      <c r="V139" s="88" t="s">
        <v>100</v>
      </c>
      <c r="W139" s="88" t="s">
        <v>101</v>
      </c>
      <c r="X139" s="2"/>
      <c r="Y139" s="2"/>
      <c r="Z139" s="2"/>
    </row>
    <row r="140" ht="15.75" customHeight="1">
      <c r="A140" s="86"/>
      <c r="B140" s="86"/>
      <c r="C140" s="86"/>
      <c r="D140" s="86" t="str">
        <f>IFERROR(VLOOKUP(E140,Groups!$A:$I,3,FALSE()),"Unassigned")</f>
        <v>Unassigned</v>
      </c>
      <c r="E140" s="86"/>
      <c r="F140" s="86" t="str">
        <f>IFERROR(VLOOKUP(E140,Groups!$A:$I,2,FALSE()),"Unassigned")</f>
        <v>Unassigned</v>
      </c>
      <c r="G140" s="86" t="str">
        <f>IFERROR(VLOOKUP(E140,Groups!$A:$I,4,FALSE()),"Direct Reports")</f>
        <v>Direct Reports</v>
      </c>
      <c r="H140" s="86" t="str">
        <f t="shared" si="1"/>
        <v>Excluded</v>
      </c>
      <c r="I140" s="86"/>
      <c r="J140" s="86"/>
      <c r="K140" s="86"/>
      <c r="L140" s="86"/>
      <c r="M140" s="86"/>
      <c r="N140" s="86"/>
      <c r="O140" s="86"/>
      <c r="P140" s="86" t="b">
        <f t="shared" si="3"/>
        <v>0</v>
      </c>
      <c r="Q140" s="86">
        <f>COUNTIF(Licenses!$A:$A,C140)</f>
        <v>0</v>
      </c>
      <c r="R140" s="86"/>
      <c r="S140" s="87"/>
      <c r="T140" s="2"/>
      <c r="U140" s="2"/>
      <c r="V140" s="88" t="s">
        <v>100</v>
      </c>
      <c r="W140" s="88" t="s">
        <v>101</v>
      </c>
      <c r="X140" s="2"/>
      <c r="Y140" s="2"/>
      <c r="Z140" s="2"/>
    </row>
    <row r="141" ht="15.75" customHeight="1">
      <c r="A141" s="86"/>
      <c r="B141" s="86"/>
      <c r="C141" s="86"/>
      <c r="D141" s="86" t="str">
        <f>IFERROR(VLOOKUP(E141,Groups!$A:$I,3,FALSE()),"Unassigned")</f>
        <v>Unassigned</v>
      </c>
      <c r="E141" s="86"/>
      <c r="F141" s="86" t="str">
        <f>IFERROR(VLOOKUP(E141,Groups!$A:$I,2,FALSE()),"Unassigned")</f>
        <v>Unassigned</v>
      </c>
      <c r="G141" s="86" t="str">
        <f>IFERROR(VLOOKUP(E141,Groups!$A:$I,4,FALSE()),"Direct Reports")</f>
        <v>Direct Reports</v>
      </c>
      <c r="H141" s="86" t="str">
        <f t="shared" si="1"/>
        <v>Excluded</v>
      </c>
      <c r="I141" s="86"/>
      <c r="J141" s="86"/>
      <c r="K141" s="86"/>
      <c r="L141" s="86"/>
      <c r="M141" s="86"/>
      <c r="N141" s="86"/>
      <c r="O141" s="86"/>
      <c r="P141" s="86" t="b">
        <f t="shared" si="3"/>
        <v>0</v>
      </c>
      <c r="Q141" s="86">
        <f>COUNTIF(Licenses!$A:$A,C141)</f>
        <v>0</v>
      </c>
      <c r="R141" s="86"/>
      <c r="S141" s="87"/>
      <c r="T141" s="2"/>
      <c r="U141" s="2"/>
      <c r="V141" s="88" t="s">
        <v>100</v>
      </c>
      <c r="W141" s="88" t="s">
        <v>101</v>
      </c>
      <c r="X141" s="2"/>
      <c r="Y141" s="2"/>
      <c r="Z141" s="2"/>
    </row>
    <row r="142" ht="15.75" customHeight="1">
      <c r="A142" s="86"/>
      <c r="B142" s="86"/>
      <c r="C142" s="86"/>
      <c r="D142" s="86" t="str">
        <f>IFERROR(VLOOKUP(E142,Groups!$A:$I,3,FALSE()),"Unassigned")</f>
        <v>Unassigned</v>
      </c>
      <c r="E142" s="86"/>
      <c r="F142" s="86" t="str">
        <f>IFERROR(VLOOKUP(E142,Groups!$A:$I,2,FALSE()),"Unassigned")</f>
        <v>Unassigned</v>
      </c>
      <c r="G142" s="86" t="str">
        <f>IFERROR(VLOOKUP(E142,Groups!$A:$I,4,FALSE()),"Direct Reports")</f>
        <v>Direct Reports</v>
      </c>
      <c r="H142" s="86" t="str">
        <f t="shared" si="1"/>
        <v>Excluded</v>
      </c>
      <c r="I142" s="86"/>
      <c r="J142" s="86"/>
      <c r="K142" s="86"/>
      <c r="L142" s="86"/>
      <c r="M142" s="86"/>
      <c r="N142" s="86"/>
      <c r="O142" s="86"/>
      <c r="P142" s="86" t="b">
        <f t="shared" si="3"/>
        <v>0</v>
      </c>
      <c r="Q142" s="86">
        <f>COUNTIF(Licenses!$A:$A,C142)</f>
        <v>0</v>
      </c>
      <c r="R142" s="86"/>
      <c r="S142" s="87"/>
      <c r="T142" s="2"/>
      <c r="U142" s="2"/>
      <c r="V142" s="88" t="s">
        <v>100</v>
      </c>
      <c r="W142" s="88" t="s">
        <v>101</v>
      </c>
      <c r="X142" s="2"/>
      <c r="Y142" s="2"/>
      <c r="Z142" s="2"/>
    </row>
    <row r="143" ht="15.75" customHeight="1">
      <c r="A143" s="86"/>
      <c r="B143" s="86"/>
      <c r="C143" s="86"/>
      <c r="D143" s="86" t="str">
        <f>IFERROR(VLOOKUP(E143,Groups!$A:$I,3,FALSE()),"Unassigned")</f>
        <v>Unassigned</v>
      </c>
      <c r="E143" s="86"/>
      <c r="F143" s="86" t="str">
        <f>IFERROR(VLOOKUP(E143,Groups!$A:$I,2,FALSE()),"Unassigned")</f>
        <v>Unassigned</v>
      </c>
      <c r="G143" s="86" t="str">
        <f>IFERROR(VLOOKUP(E143,Groups!$A:$I,4,FALSE()),"Direct Reports")</f>
        <v>Direct Reports</v>
      </c>
      <c r="H143" s="86" t="str">
        <f t="shared" si="1"/>
        <v>Excluded</v>
      </c>
      <c r="I143" s="86"/>
      <c r="J143" s="86"/>
      <c r="K143" s="86"/>
      <c r="L143" s="86"/>
      <c r="M143" s="86"/>
      <c r="N143" s="86"/>
      <c r="O143" s="86"/>
      <c r="P143" s="86" t="b">
        <f t="shared" si="3"/>
        <v>0</v>
      </c>
      <c r="Q143" s="86">
        <f>COUNTIF(Licenses!$A:$A,C143)</f>
        <v>0</v>
      </c>
      <c r="R143" s="86"/>
      <c r="S143" s="87"/>
      <c r="T143" s="2"/>
      <c r="U143" s="2"/>
      <c r="V143" s="88" t="s">
        <v>100</v>
      </c>
      <c r="W143" s="88" t="s">
        <v>101</v>
      </c>
      <c r="X143" s="2"/>
      <c r="Y143" s="2"/>
      <c r="Z143" s="2"/>
    </row>
    <row r="144" ht="15.75" customHeight="1">
      <c r="A144" s="86"/>
      <c r="B144" s="86"/>
      <c r="C144" s="86"/>
      <c r="D144" s="86" t="str">
        <f>IFERROR(VLOOKUP(E144,Groups!$A:$I,3,FALSE()),"Unassigned")</f>
        <v>Unassigned</v>
      </c>
      <c r="E144" s="86"/>
      <c r="F144" s="86" t="str">
        <f>IFERROR(VLOOKUP(E144,Groups!$A:$I,2,FALSE()),"Unassigned")</f>
        <v>Unassigned</v>
      </c>
      <c r="G144" s="86" t="str">
        <f>IFERROR(VLOOKUP(E144,Groups!$A:$I,4,FALSE()),"Direct Reports")</f>
        <v>Direct Reports</v>
      </c>
      <c r="H144" s="86" t="str">
        <f t="shared" si="1"/>
        <v>Excluded</v>
      </c>
      <c r="I144" s="86"/>
      <c r="J144" s="86"/>
      <c r="K144" s="86"/>
      <c r="L144" s="86"/>
      <c r="M144" s="86"/>
      <c r="N144" s="86"/>
      <c r="O144" s="86"/>
      <c r="P144" s="86" t="b">
        <f t="shared" si="3"/>
        <v>0</v>
      </c>
      <c r="Q144" s="86">
        <f>COUNTIF(Licenses!$A:$A,C144)</f>
        <v>0</v>
      </c>
      <c r="R144" s="86"/>
      <c r="S144" s="87"/>
      <c r="T144" s="2"/>
      <c r="U144" s="2"/>
      <c r="V144" s="88" t="s">
        <v>100</v>
      </c>
      <c r="W144" s="88" t="s">
        <v>101</v>
      </c>
      <c r="X144" s="2"/>
      <c r="Y144" s="2"/>
      <c r="Z144" s="2"/>
    </row>
    <row r="145" ht="15.75" customHeight="1">
      <c r="A145" s="86"/>
      <c r="B145" s="86"/>
      <c r="C145" s="86"/>
      <c r="D145" s="86" t="str">
        <f>IFERROR(VLOOKUP(E145,Groups!$A:$I,3,FALSE()),"Unassigned")</f>
        <v>Unassigned</v>
      </c>
      <c r="E145" s="86"/>
      <c r="F145" s="86" t="str">
        <f>IFERROR(VLOOKUP(E145,Groups!$A:$I,2,FALSE()),"Unassigned")</f>
        <v>Unassigned</v>
      </c>
      <c r="G145" s="86" t="str">
        <f>IFERROR(VLOOKUP(E145,Groups!$A:$I,4,FALSE()),"Direct Reports")</f>
        <v>Direct Reports</v>
      </c>
      <c r="H145" s="86" t="str">
        <f t="shared" si="1"/>
        <v>Excluded</v>
      </c>
      <c r="I145" s="86"/>
      <c r="J145" s="86"/>
      <c r="K145" s="86"/>
      <c r="L145" s="86"/>
      <c r="M145" s="86"/>
      <c r="N145" s="86"/>
      <c r="O145" s="86"/>
      <c r="P145" s="86" t="b">
        <f t="shared" si="3"/>
        <v>0</v>
      </c>
      <c r="Q145" s="86">
        <f>COUNTIF(Licenses!$A:$A,C145)</f>
        <v>0</v>
      </c>
      <c r="R145" s="86"/>
      <c r="S145" s="87"/>
      <c r="T145" s="2"/>
      <c r="U145" s="2"/>
      <c r="V145" s="88" t="s">
        <v>100</v>
      </c>
      <c r="W145" s="88" t="s">
        <v>101</v>
      </c>
      <c r="X145" s="2"/>
      <c r="Y145" s="2"/>
      <c r="Z145" s="2"/>
    </row>
    <row r="146" ht="15.75" customHeight="1">
      <c r="A146" s="86"/>
      <c r="B146" s="86"/>
      <c r="C146" s="86"/>
      <c r="D146" s="86" t="str">
        <f>IFERROR(VLOOKUP(E146,Groups!$A:$I,3,FALSE()),"Unassigned")</f>
        <v>Unassigned</v>
      </c>
      <c r="E146" s="86"/>
      <c r="F146" s="86" t="str">
        <f>IFERROR(VLOOKUP(E146,Groups!$A:$I,2,FALSE()),"Unassigned")</f>
        <v>Unassigned</v>
      </c>
      <c r="G146" s="86" t="str">
        <f>IFERROR(VLOOKUP(E146,Groups!$A:$I,4,FALSE()),"Direct Reports")</f>
        <v>Direct Reports</v>
      </c>
      <c r="H146" s="86" t="str">
        <f t="shared" si="1"/>
        <v>Excluded</v>
      </c>
      <c r="I146" s="86"/>
      <c r="J146" s="86"/>
      <c r="K146" s="86"/>
      <c r="L146" s="86"/>
      <c r="M146" s="86"/>
      <c r="N146" s="86"/>
      <c r="O146" s="86"/>
      <c r="P146" s="86" t="b">
        <f t="shared" si="3"/>
        <v>0</v>
      </c>
      <c r="Q146" s="86">
        <f>COUNTIF(Licenses!$A:$A,C146)</f>
        <v>0</v>
      </c>
      <c r="R146" s="86"/>
      <c r="S146" s="87"/>
      <c r="T146" s="2"/>
      <c r="U146" s="2"/>
      <c r="V146" s="88" t="s">
        <v>100</v>
      </c>
      <c r="W146" s="88" t="s">
        <v>101</v>
      </c>
      <c r="X146" s="2"/>
      <c r="Y146" s="2"/>
      <c r="Z146" s="2"/>
    </row>
    <row r="147" ht="15.75" customHeight="1">
      <c r="A147" s="86"/>
      <c r="B147" s="86"/>
      <c r="C147" s="86"/>
      <c r="D147" s="86" t="str">
        <f>IFERROR(VLOOKUP(E147,Groups!$A:$I,3,FALSE()),"Unassigned")</f>
        <v>Unassigned</v>
      </c>
      <c r="E147" s="86"/>
      <c r="F147" s="86" t="str">
        <f>IFERROR(VLOOKUP(E147,Groups!$A:$I,2,FALSE()),"Unassigned")</f>
        <v>Unassigned</v>
      </c>
      <c r="G147" s="86" t="str">
        <f>IFERROR(VLOOKUP(E147,Groups!$A:$I,4,FALSE()),"Direct Reports")</f>
        <v>Direct Reports</v>
      </c>
      <c r="H147" s="86" t="str">
        <f t="shared" si="1"/>
        <v>Excluded</v>
      </c>
      <c r="I147" s="86"/>
      <c r="J147" s="86"/>
      <c r="K147" s="86"/>
      <c r="L147" s="86"/>
      <c r="M147" s="86"/>
      <c r="N147" s="86"/>
      <c r="O147" s="86"/>
      <c r="P147" s="86" t="b">
        <f t="shared" si="3"/>
        <v>0</v>
      </c>
      <c r="Q147" s="86">
        <f>COUNTIF(Licenses!$A:$A,C147)</f>
        <v>0</v>
      </c>
      <c r="R147" s="86"/>
      <c r="S147" s="87"/>
      <c r="T147" s="2"/>
      <c r="U147" s="2"/>
      <c r="V147" s="88" t="s">
        <v>100</v>
      </c>
      <c r="W147" s="88" t="s">
        <v>101</v>
      </c>
      <c r="X147" s="2"/>
      <c r="Y147" s="2"/>
      <c r="Z147" s="2"/>
    </row>
    <row r="148" ht="15.75" customHeight="1">
      <c r="A148" s="86"/>
      <c r="B148" s="86"/>
      <c r="C148" s="86"/>
      <c r="D148" s="86" t="str">
        <f>IFERROR(VLOOKUP(E148,Groups!$A:$I,3,FALSE()),"Unassigned")</f>
        <v>Unassigned</v>
      </c>
      <c r="E148" s="86"/>
      <c r="F148" s="86" t="str">
        <f>IFERROR(VLOOKUP(E148,Groups!$A:$I,2,FALSE()),"Unassigned")</f>
        <v>Unassigned</v>
      </c>
      <c r="G148" s="86" t="str">
        <f>IFERROR(VLOOKUP(E148,Groups!$A:$I,4,FALSE()),"Direct Reports")</f>
        <v>Direct Reports</v>
      </c>
      <c r="H148" s="86" t="str">
        <f t="shared" si="1"/>
        <v>Excluded</v>
      </c>
      <c r="I148" s="86"/>
      <c r="J148" s="86"/>
      <c r="K148" s="86"/>
      <c r="L148" s="86"/>
      <c r="M148" s="86"/>
      <c r="N148" s="86"/>
      <c r="O148" s="86"/>
      <c r="P148" s="86" t="b">
        <f t="shared" si="3"/>
        <v>0</v>
      </c>
      <c r="Q148" s="86">
        <f>COUNTIF(Licenses!$A:$A,C148)</f>
        <v>0</v>
      </c>
      <c r="R148" s="86"/>
      <c r="S148" s="87"/>
      <c r="T148" s="2"/>
      <c r="U148" s="2"/>
      <c r="V148" s="88" t="s">
        <v>100</v>
      </c>
      <c r="W148" s="88" t="s">
        <v>101</v>
      </c>
      <c r="X148" s="2"/>
      <c r="Y148" s="2"/>
      <c r="Z148" s="2"/>
    </row>
    <row r="149" ht="15.75" customHeight="1">
      <c r="A149" s="86"/>
      <c r="B149" s="86"/>
      <c r="C149" s="86"/>
      <c r="D149" s="86" t="str">
        <f>IFERROR(VLOOKUP(E149,Groups!$A:$I,3,FALSE()),"Unassigned")</f>
        <v>Unassigned</v>
      </c>
      <c r="E149" s="86"/>
      <c r="F149" s="86" t="str">
        <f>IFERROR(VLOOKUP(E149,Groups!$A:$I,2,FALSE()),"Unassigned")</f>
        <v>Unassigned</v>
      </c>
      <c r="G149" s="86" t="str">
        <f>IFERROR(VLOOKUP(E149,Groups!$A:$I,4,FALSE()),"Direct Reports")</f>
        <v>Direct Reports</v>
      </c>
      <c r="H149" s="86" t="str">
        <f t="shared" si="1"/>
        <v>Excluded</v>
      </c>
      <c r="I149" s="86"/>
      <c r="J149" s="86"/>
      <c r="K149" s="86"/>
      <c r="L149" s="86"/>
      <c r="M149" s="86"/>
      <c r="N149" s="86"/>
      <c r="O149" s="86"/>
      <c r="P149" s="86" t="b">
        <f t="shared" si="3"/>
        <v>0</v>
      </c>
      <c r="Q149" s="86">
        <f>COUNTIF(Licenses!$A:$A,C149)</f>
        <v>0</v>
      </c>
      <c r="R149" s="86"/>
      <c r="S149" s="87"/>
      <c r="T149" s="2"/>
      <c r="U149" s="2"/>
      <c r="V149" s="88" t="s">
        <v>100</v>
      </c>
      <c r="W149" s="88" t="s">
        <v>101</v>
      </c>
      <c r="X149" s="2"/>
      <c r="Y149" s="2"/>
      <c r="Z149" s="2"/>
    </row>
    <row r="150" ht="15.75" customHeight="1">
      <c r="A150" s="86"/>
      <c r="B150" s="86"/>
      <c r="C150" s="86"/>
      <c r="D150" s="86" t="str">
        <f>IFERROR(VLOOKUP(E150,Groups!$A:$I,3,FALSE()),"Unassigned")</f>
        <v>Unassigned</v>
      </c>
      <c r="E150" s="86"/>
      <c r="F150" s="86" t="str">
        <f>IFERROR(VLOOKUP(E150,Groups!$A:$I,2,FALSE()),"Unassigned")</f>
        <v>Unassigned</v>
      </c>
      <c r="G150" s="86" t="str">
        <f>IFERROR(VLOOKUP(E150,Groups!$A:$I,4,FALSE()),"Direct Reports")</f>
        <v>Direct Reports</v>
      </c>
      <c r="H150" s="86" t="str">
        <f t="shared" si="1"/>
        <v>Excluded</v>
      </c>
      <c r="I150" s="86"/>
      <c r="J150" s="86"/>
      <c r="K150" s="86"/>
      <c r="L150" s="86"/>
      <c r="M150" s="86"/>
      <c r="N150" s="86"/>
      <c r="O150" s="86"/>
      <c r="P150" s="86" t="b">
        <f t="shared" si="3"/>
        <v>0</v>
      </c>
      <c r="Q150" s="86">
        <f>COUNTIF(Licenses!$A:$A,C150)</f>
        <v>0</v>
      </c>
      <c r="R150" s="86"/>
      <c r="S150" s="87"/>
      <c r="T150" s="2"/>
      <c r="U150" s="2"/>
      <c r="V150" s="88" t="s">
        <v>100</v>
      </c>
      <c r="W150" s="88" t="s">
        <v>101</v>
      </c>
      <c r="X150" s="2"/>
      <c r="Y150" s="2"/>
      <c r="Z150" s="2"/>
    </row>
    <row r="151" ht="15.75" customHeight="1">
      <c r="A151" s="86"/>
      <c r="B151" s="86"/>
      <c r="C151" s="86"/>
      <c r="D151" s="86" t="str">
        <f>IFERROR(VLOOKUP(E151,Groups!$A:$I,3,FALSE()),"Unassigned")</f>
        <v>Unassigned</v>
      </c>
      <c r="E151" s="86"/>
      <c r="F151" s="86" t="str">
        <f>IFERROR(VLOOKUP(E151,Groups!$A:$I,2,FALSE()),"Unassigned")</f>
        <v>Unassigned</v>
      </c>
      <c r="G151" s="86" t="str">
        <f>IFERROR(VLOOKUP(E151,Groups!$A:$I,4,FALSE()),"Direct Reports")</f>
        <v>Direct Reports</v>
      </c>
      <c r="H151" s="86" t="str">
        <f t="shared" si="1"/>
        <v>Excluded</v>
      </c>
      <c r="I151" s="86"/>
      <c r="J151" s="86"/>
      <c r="K151" s="86"/>
      <c r="L151" s="86"/>
      <c r="M151" s="86"/>
      <c r="N151" s="86"/>
      <c r="O151" s="86"/>
      <c r="P151" s="86" t="b">
        <f t="shared" si="3"/>
        <v>0</v>
      </c>
      <c r="Q151" s="86">
        <f>COUNTIF(Licenses!$A:$A,C151)</f>
        <v>0</v>
      </c>
      <c r="R151" s="86"/>
      <c r="S151" s="87"/>
      <c r="T151" s="2"/>
      <c r="U151" s="2"/>
      <c r="V151" s="88" t="s">
        <v>100</v>
      </c>
      <c r="W151" s="88" t="s">
        <v>101</v>
      </c>
      <c r="X151" s="2"/>
      <c r="Y151" s="2"/>
      <c r="Z151" s="2"/>
    </row>
    <row r="152" ht="15.75" customHeight="1">
      <c r="A152" s="86"/>
      <c r="B152" s="86"/>
      <c r="C152" s="86"/>
      <c r="D152" s="86" t="str">
        <f>IFERROR(VLOOKUP(E152,Groups!$A:$I,3,FALSE()),"Unassigned")</f>
        <v>Unassigned</v>
      </c>
      <c r="E152" s="86"/>
      <c r="F152" s="86" t="str">
        <f>IFERROR(VLOOKUP(E152,Groups!$A:$I,2,FALSE()),"Unassigned")</f>
        <v>Unassigned</v>
      </c>
      <c r="G152" s="86" t="str">
        <f>IFERROR(VLOOKUP(E152,Groups!$A:$I,4,FALSE()),"Direct Reports")</f>
        <v>Direct Reports</v>
      </c>
      <c r="H152" s="86" t="str">
        <f t="shared" si="1"/>
        <v>Excluded</v>
      </c>
      <c r="I152" s="86"/>
      <c r="J152" s="86"/>
      <c r="K152" s="86"/>
      <c r="L152" s="86"/>
      <c r="M152" s="86"/>
      <c r="N152" s="86"/>
      <c r="O152" s="86"/>
      <c r="P152" s="86" t="b">
        <f t="shared" si="3"/>
        <v>0</v>
      </c>
      <c r="Q152" s="86">
        <f>COUNTIF(Licenses!$A:$A,C152)</f>
        <v>0</v>
      </c>
      <c r="R152" s="86"/>
      <c r="S152" s="87"/>
      <c r="T152" s="2"/>
      <c r="U152" s="2"/>
      <c r="V152" s="88" t="s">
        <v>100</v>
      </c>
      <c r="W152" s="88" t="s">
        <v>101</v>
      </c>
      <c r="X152" s="2"/>
      <c r="Y152" s="2"/>
      <c r="Z152" s="2"/>
    </row>
    <row r="153" ht="15.75" customHeight="1">
      <c r="A153" s="86"/>
      <c r="B153" s="86"/>
      <c r="C153" s="86"/>
      <c r="D153" s="86" t="str">
        <f>IFERROR(VLOOKUP(E153,Groups!$A:$I,3,FALSE()),"Unassigned")</f>
        <v>Unassigned</v>
      </c>
      <c r="E153" s="86"/>
      <c r="F153" s="86" t="str">
        <f>IFERROR(VLOOKUP(E153,Groups!$A:$I,2,FALSE()),"Unassigned")</f>
        <v>Unassigned</v>
      </c>
      <c r="G153" s="86" t="str">
        <f>IFERROR(VLOOKUP(E153,Groups!$A:$I,4,FALSE()),"Direct Reports")</f>
        <v>Direct Reports</v>
      </c>
      <c r="H153" s="86" t="str">
        <f t="shared" si="1"/>
        <v>Excluded</v>
      </c>
      <c r="I153" s="86"/>
      <c r="J153" s="86"/>
      <c r="K153" s="86"/>
      <c r="L153" s="86"/>
      <c r="M153" s="86"/>
      <c r="N153" s="86"/>
      <c r="O153" s="86"/>
      <c r="P153" s="86" t="b">
        <f t="shared" si="3"/>
        <v>0</v>
      </c>
      <c r="Q153" s="86">
        <f>COUNTIF(Licenses!$A:$A,C153)</f>
        <v>0</v>
      </c>
      <c r="R153" s="86"/>
      <c r="S153" s="87"/>
      <c r="T153" s="2"/>
      <c r="U153" s="2"/>
      <c r="V153" s="88" t="s">
        <v>100</v>
      </c>
      <c r="W153" s="88" t="s">
        <v>101</v>
      </c>
      <c r="X153" s="2"/>
      <c r="Y153" s="2"/>
      <c r="Z153" s="2"/>
    </row>
    <row r="154" ht="15.75" customHeight="1">
      <c r="A154" s="86"/>
      <c r="B154" s="86"/>
      <c r="C154" s="86"/>
      <c r="D154" s="86" t="str">
        <f>IFERROR(VLOOKUP(E154,Groups!$A:$I,3,FALSE()),"Unassigned")</f>
        <v>Unassigned</v>
      </c>
      <c r="E154" s="86"/>
      <c r="F154" s="86" t="str">
        <f>IFERROR(VLOOKUP(E154,Groups!$A:$I,2,FALSE()),"Unassigned")</f>
        <v>Unassigned</v>
      </c>
      <c r="G154" s="86" t="str">
        <f>IFERROR(VLOOKUP(E154,Groups!$A:$I,4,FALSE()),"Direct Reports")</f>
        <v>Direct Reports</v>
      </c>
      <c r="H154" s="86" t="str">
        <f t="shared" si="1"/>
        <v>Excluded</v>
      </c>
      <c r="I154" s="86"/>
      <c r="J154" s="86"/>
      <c r="K154" s="86"/>
      <c r="L154" s="86"/>
      <c r="M154" s="86"/>
      <c r="N154" s="86"/>
      <c r="O154" s="86"/>
      <c r="P154" s="86" t="b">
        <f t="shared" si="3"/>
        <v>0</v>
      </c>
      <c r="Q154" s="86">
        <f>COUNTIF(Licenses!$A:$A,C154)</f>
        <v>0</v>
      </c>
      <c r="R154" s="86"/>
      <c r="S154" s="87"/>
      <c r="T154" s="2"/>
      <c r="U154" s="2"/>
      <c r="V154" s="88" t="s">
        <v>100</v>
      </c>
      <c r="W154" s="88" t="s">
        <v>101</v>
      </c>
      <c r="X154" s="2"/>
      <c r="Y154" s="2"/>
      <c r="Z154" s="2"/>
    </row>
    <row r="155" ht="15.75" customHeight="1">
      <c r="A155" s="86"/>
      <c r="B155" s="86"/>
      <c r="C155" s="86"/>
      <c r="D155" s="86" t="str">
        <f>IFERROR(VLOOKUP(E155,Groups!$A:$I,3,FALSE()),"Unassigned")</f>
        <v>Unassigned</v>
      </c>
      <c r="E155" s="86"/>
      <c r="F155" s="86" t="str">
        <f>IFERROR(VLOOKUP(E155,Groups!$A:$I,2,FALSE()),"Unassigned")</f>
        <v>Unassigned</v>
      </c>
      <c r="G155" s="86" t="str">
        <f>IFERROR(VLOOKUP(E155,Groups!$A:$I,4,FALSE()),"Direct Reports")</f>
        <v>Direct Reports</v>
      </c>
      <c r="H155" s="86" t="str">
        <f t="shared" si="1"/>
        <v>Excluded</v>
      </c>
      <c r="I155" s="86"/>
      <c r="J155" s="86"/>
      <c r="K155" s="86"/>
      <c r="L155" s="86"/>
      <c r="M155" s="86"/>
      <c r="N155" s="86"/>
      <c r="O155" s="86"/>
      <c r="P155" s="86" t="b">
        <f t="shared" si="3"/>
        <v>0</v>
      </c>
      <c r="Q155" s="86">
        <f>COUNTIF(Licenses!$A:$A,C155)</f>
        <v>0</v>
      </c>
      <c r="R155" s="86"/>
      <c r="S155" s="87"/>
      <c r="T155" s="2"/>
      <c r="U155" s="2"/>
      <c r="V155" s="88" t="s">
        <v>100</v>
      </c>
      <c r="W155" s="88" t="s">
        <v>101</v>
      </c>
      <c r="X155" s="2"/>
      <c r="Y155" s="2"/>
      <c r="Z155" s="2"/>
    </row>
    <row r="156" ht="15.75" customHeight="1">
      <c r="A156" s="86"/>
      <c r="B156" s="86"/>
      <c r="C156" s="86"/>
      <c r="D156" s="86" t="str">
        <f>IFERROR(VLOOKUP(E156,Groups!$A:$I,3,FALSE()),"Unassigned")</f>
        <v>Unassigned</v>
      </c>
      <c r="E156" s="86"/>
      <c r="F156" s="86" t="str">
        <f>IFERROR(VLOOKUP(E156,Groups!$A:$I,2,FALSE()),"Unassigned")</f>
        <v>Unassigned</v>
      </c>
      <c r="G156" s="86" t="str">
        <f>IFERROR(VLOOKUP(E156,Groups!$A:$I,4,FALSE()),"Direct Reports")</f>
        <v>Direct Reports</v>
      </c>
      <c r="H156" s="86" t="str">
        <f t="shared" si="1"/>
        <v>Excluded</v>
      </c>
      <c r="I156" s="86"/>
      <c r="J156" s="86"/>
      <c r="K156" s="86"/>
      <c r="L156" s="86"/>
      <c r="M156" s="86"/>
      <c r="N156" s="86"/>
      <c r="O156" s="86"/>
      <c r="P156" s="86" t="b">
        <f t="shared" si="3"/>
        <v>0</v>
      </c>
      <c r="Q156" s="86">
        <f>COUNTIF(Licenses!$A:$A,C156)</f>
        <v>0</v>
      </c>
      <c r="R156" s="86"/>
      <c r="S156" s="87"/>
      <c r="T156" s="2"/>
      <c r="U156" s="2"/>
      <c r="V156" s="88" t="s">
        <v>100</v>
      </c>
      <c r="W156" s="88" t="s">
        <v>101</v>
      </c>
      <c r="X156" s="2"/>
      <c r="Y156" s="2"/>
      <c r="Z156" s="2"/>
    </row>
    <row r="157" ht="15.75" customHeight="1">
      <c r="A157" s="86"/>
      <c r="B157" s="86"/>
      <c r="C157" s="86"/>
      <c r="D157" s="86" t="str">
        <f>IFERROR(VLOOKUP(E157,Groups!$A:$I,3,FALSE()),"Unassigned")</f>
        <v>Unassigned</v>
      </c>
      <c r="E157" s="86"/>
      <c r="F157" s="86" t="str">
        <f>IFERROR(VLOOKUP(E157,Groups!$A:$I,2,FALSE()),"Unassigned")</f>
        <v>Unassigned</v>
      </c>
      <c r="G157" s="86" t="str">
        <f>IFERROR(VLOOKUP(E157,Groups!$A:$I,4,FALSE()),"Direct Reports")</f>
        <v>Direct Reports</v>
      </c>
      <c r="H157" s="86" t="str">
        <f t="shared" si="1"/>
        <v>Excluded</v>
      </c>
      <c r="I157" s="86"/>
      <c r="J157" s="86"/>
      <c r="K157" s="86"/>
      <c r="L157" s="86"/>
      <c r="M157" s="86"/>
      <c r="N157" s="86"/>
      <c r="O157" s="86"/>
      <c r="P157" s="86" t="b">
        <f t="shared" si="3"/>
        <v>0</v>
      </c>
      <c r="Q157" s="86">
        <f>COUNTIF(Licenses!$A:$A,C157)</f>
        <v>0</v>
      </c>
      <c r="R157" s="86"/>
      <c r="S157" s="87"/>
      <c r="T157" s="2"/>
      <c r="U157" s="2"/>
      <c r="V157" s="88" t="s">
        <v>100</v>
      </c>
      <c r="W157" s="88" t="s">
        <v>101</v>
      </c>
      <c r="X157" s="2"/>
      <c r="Y157" s="2"/>
      <c r="Z157" s="2"/>
    </row>
    <row r="158" ht="15.75" customHeight="1">
      <c r="A158" s="86"/>
      <c r="B158" s="86"/>
      <c r="C158" s="86"/>
      <c r="D158" s="86" t="str">
        <f>IFERROR(VLOOKUP(E158,Groups!$A:$I,3,FALSE()),"Unassigned")</f>
        <v>Unassigned</v>
      </c>
      <c r="E158" s="86"/>
      <c r="F158" s="86" t="str">
        <f>IFERROR(VLOOKUP(E158,Groups!$A:$I,2,FALSE()),"Unassigned")</f>
        <v>Unassigned</v>
      </c>
      <c r="G158" s="86" t="str">
        <f>IFERROR(VLOOKUP(E158,Groups!$A:$I,4,FALSE()),"Direct Reports")</f>
        <v>Direct Reports</v>
      </c>
      <c r="H158" s="86" t="str">
        <f t="shared" si="1"/>
        <v>Excluded</v>
      </c>
      <c r="I158" s="86"/>
      <c r="J158" s="86"/>
      <c r="K158" s="86"/>
      <c r="L158" s="86"/>
      <c r="M158" s="86"/>
      <c r="N158" s="86"/>
      <c r="O158" s="86"/>
      <c r="P158" s="86" t="b">
        <f t="shared" si="3"/>
        <v>0</v>
      </c>
      <c r="Q158" s="86">
        <f>COUNTIF(Licenses!$A:$A,C158)</f>
        <v>0</v>
      </c>
      <c r="R158" s="86"/>
      <c r="S158" s="87"/>
      <c r="T158" s="2"/>
      <c r="U158" s="2"/>
      <c r="V158" s="88" t="s">
        <v>100</v>
      </c>
      <c r="W158" s="88" t="s">
        <v>101</v>
      </c>
      <c r="X158" s="2"/>
      <c r="Y158" s="2"/>
      <c r="Z158" s="2"/>
    </row>
    <row r="159" ht="15.75" customHeight="1">
      <c r="A159" s="86"/>
      <c r="B159" s="86"/>
      <c r="C159" s="86"/>
      <c r="D159" s="86" t="str">
        <f>IFERROR(VLOOKUP(E159,Groups!$A:$I,3,FALSE()),"Unassigned")</f>
        <v>Unassigned</v>
      </c>
      <c r="E159" s="86"/>
      <c r="F159" s="86" t="str">
        <f>IFERROR(VLOOKUP(E159,Groups!$A:$I,2,FALSE()),"Unassigned")</f>
        <v>Unassigned</v>
      </c>
      <c r="G159" s="86" t="str">
        <f>IFERROR(VLOOKUP(E159,Groups!$A:$I,4,FALSE()),"Direct Reports")</f>
        <v>Direct Reports</v>
      </c>
      <c r="H159" s="86" t="str">
        <f t="shared" si="1"/>
        <v>Excluded</v>
      </c>
      <c r="I159" s="86"/>
      <c r="J159" s="86"/>
      <c r="K159" s="86"/>
      <c r="L159" s="86"/>
      <c r="M159" s="86"/>
      <c r="N159" s="86"/>
      <c r="O159" s="86"/>
      <c r="P159" s="86" t="b">
        <f t="shared" si="3"/>
        <v>0</v>
      </c>
      <c r="Q159" s="86">
        <f>COUNTIF(Licenses!$A:$A,C159)</f>
        <v>0</v>
      </c>
      <c r="R159" s="86"/>
      <c r="S159" s="87"/>
      <c r="T159" s="2"/>
      <c r="U159" s="2"/>
      <c r="V159" s="88" t="s">
        <v>100</v>
      </c>
      <c r="W159" s="88" t="s">
        <v>101</v>
      </c>
      <c r="X159" s="2"/>
      <c r="Y159" s="2"/>
      <c r="Z159" s="2"/>
    </row>
    <row r="160" ht="15.75" customHeight="1">
      <c r="A160" s="86"/>
      <c r="B160" s="86"/>
      <c r="C160" s="86"/>
      <c r="D160" s="86" t="str">
        <f>IFERROR(VLOOKUP(E160,Groups!$A:$I,3,FALSE()),"Unassigned")</f>
        <v>Unassigned</v>
      </c>
      <c r="E160" s="86"/>
      <c r="F160" s="86" t="str">
        <f>IFERROR(VLOOKUP(E160,Groups!$A:$I,2,FALSE()),"Unassigned")</f>
        <v>Unassigned</v>
      </c>
      <c r="G160" s="86" t="str">
        <f>IFERROR(VLOOKUP(E160,Groups!$A:$I,4,FALSE()),"Direct Reports")</f>
        <v>Direct Reports</v>
      </c>
      <c r="H160" s="86" t="str">
        <f t="shared" si="1"/>
        <v>Excluded</v>
      </c>
      <c r="I160" s="86"/>
      <c r="J160" s="86"/>
      <c r="K160" s="86"/>
      <c r="L160" s="86"/>
      <c r="M160" s="86"/>
      <c r="N160" s="86"/>
      <c r="O160" s="86"/>
      <c r="P160" s="86" t="b">
        <f t="shared" si="3"/>
        <v>0</v>
      </c>
      <c r="Q160" s="86">
        <f>COUNTIF(Licenses!$A:$A,C160)</f>
        <v>0</v>
      </c>
      <c r="R160" s="86"/>
      <c r="S160" s="87"/>
      <c r="T160" s="2"/>
      <c r="U160" s="2"/>
      <c r="V160" s="88" t="s">
        <v>100</v>
      </c>
      <c r="W160" s="88" t="s">
        <v>101</v>
      </c>
      <c r="X160" s="2"/>
      <c r="Y160" s="2"/>
      <c r="Z160" s="2"/>
    </row>
    <row r="161" ht="15.75" customHeight="1">
      <c r="A161" s="86"/>
      <c r="B161" s="86"/>
      <c r="C161" s="86"/>
      <c r="D161" s="86" t="str">
        <f>IFERROR(VLOOKUP(E161,Groups!$A:$I,3,FALSE()),"Unassigned")</f>
        <v>Unassigned</v>
      </c>
      <c r="E161" s="86"/>
      <c r="F161" s="86" t="str">
        <f>IFERROR(VLOOKUP(E161,Groups!$A:$I,2,FALSE()),"Unassigned")</f>
        <v>Unassigned</v>
      </c>
      <c r="G161" s="86" t="str">
        <f>IFERROR(VLOOKUP(E161,Groups!$A:$I,4,FALSE()),"Direct Reports")</f>
        <v>Direct Reports</v>
      </c>
      <c r="H161" s="86" t="str">
        <f t="shared" si="1"/>
        <v>Excluded</v>
      </c>
      <c r="I161" s="86"/>
      <c r="J161" s="86"/>
      <c r="K161" s="86"/>
      <c r="L161" s="86"/>
      <c r="M161" s="86"/>
      <c r="N161" s="86"/>
      <c r="O161" s="86"/>
      <c r="P161" s="86" t="b">
        <f t="shared" si="3"/>
        <v>0</v>
      </c>
      <c r="Q161" s="86">
        <f>COUNTIF(Licenses!$A:$A,C161)</f>
        <v>0</v>
      </c>
      <c r="R161" s="86"/>
      <c r="S161" s="87"/>
      <c r="T161" s="2"/>
      <c r="U161" s="2"/>
      <c r="V161" s="88" t="s">
        <v>100</v>
      </c>
      <c r="W161" s="88" t="s">
        <v>101</v>
      </c>
      <c r="X161" s="2"/>
      <c r="Y161" s="2"/>
      <c r="Z161" s="2"/>
    </row>
    <row r="162" ht="15.75" customHeight="1">
      <c r="A162" s="86"/>
      <c r="B162" s="86"/>
      <c r="C162" s="86"/>
      <c r="D162" s="86" t="str">
        <f>IFERROR(VLOOKUP(E162,Groups!$A:$I,3,FALSE()),"Unassigned")</f>
        <v>Unassigned</v>
      </c>
      <c r="E162" s="86"/>
      <c r="F162" s="86" t="str">
        <f>IFERROR(VLOOKUP(E162,Groups!$A:$I,2,FALSE()),"Unassigned")</f>
        <v>Unassigned</v>
      </c>
      <c r="G162" s="86" t="str">
        <f>IFERROR(VLOOKUP(E162,Groups!$A:$I,4,FALSE()),"Direct Reports")</f>
        <v>Direct Reports</v>
      </c>
      <c r="H162" s="86" t="str">
        <f t="shared" si="1"/>
        <v>Excluded</v>
      </c>
      <c r="I162" s="86"/>
      <c r="J162" s="86"/>
      <c r="K162" s="86"/>
      <c r="L162" s="86"/>
      <c r="M162" s="86"/>
      <c r="N162" s="86"/>
      <c r="O162" s="86"/>
      <c r="P162" s="86" t="b">
        <f t="shared" si="3"/>
        <v>0</v>
      </c>
      <c r="Q162" s="86">
        <f>COUNTIF(Licenses!$A:$A,C162)</f>
        <v>0</v>
      </c>
      <c r="R162" s="86"/>
      <c r="S162" s="87"/>
      <c r="T162" s="2"/>
      <c r="U162" s="2"/>
      <c r="V162" s="88" t="s">
        <v>100</v>
      </c>
      <c r="W162" s="88" t="s">
        <v>101</v>
      </c>
      <c r="X162" s="2"/>
      <c r="Y162" s="2"/>
      <c r="Z162" s="2"/>
    </row>
    <row r="163" ht="15.75" customHeight="1">
      <c r="A163" s="86"/>
      <c r="B163" s="86"/>
      <c r="C163" s="86"/>
      <c r="D163" s="86" t="str">
        <f>IFERROR(VLOOKUP(E163,Groups!$A:$I,3,FALSE()),"Unassigned")</f>
        <v>Unassigned</v>
      </c>
      <c r="E163" s="86"/>
      <c r="F163" s="86" t="str">
        <f>IFERROR(VLOOKUP(E163,Groups!$A:$I,2,FALSE()),"Unassigned")</f>
        <v>Unassigned</v>
      </c>
      <c r="G163" s="86" t="str">
        <f>IFERROR(VLOOKUP(E163,Groups!$A:$I,4,FALSE()),"Direct Reports")</f>
        <v>Direct Reports</v>
      </c>
      <c r="H163" s="86" t="str">
        <f t="shared" si="1"/>
        <v>Excluded</v>
      </c>
      <c r="I163" s="86"/>
      <c r="J163" s="86"/>
      <c r="K163" s="86"/>
      <c r="L163" s="86"/>
      <c r="M163" s="86"/>
      <c r="N163" s="86"/>
      <c r="O163" s="86"/>
      <c r="P163" s="86" t="b">
        <f t="shared" si="3"/>
        <v>0</v>
      </c>
      <c r="Q163" s="86">
        <f>COUNTIF(Licenses!$A:$A,C163)</f>
        <v>0</v>
      </c>
      <c r="R163" s="86"/>
      <c r="S163" s="87"/>
      <c r="T163" s="2"/>
      <c r="U163" s="2"/>
      <c r="V163" s="88" t="s">
        <v>100</v>
      </c>
      <c r="W163" s="88" t="s">
        <v>101</v>
      </c>
      <c r="X163" s="2"/>
      <c r="Y163" s="2"/>
      <c r="Z163" s="2"/>
    </row>
    <row r="164" ht="15.75" customHeight="1">
      <c r="A164" s="86"/>
      <c r="B164" s="86"/>
      <c r="C164" s="86"/>
      <c r="D164" s="86" t="str">
        <f>IFERROR(VLOOKUP(E164,Groups!$A:$I,3,FALSE()),"Unassigned")</f>
        <v>Unassigned</v>
      </c>
      <c r="E164" s="86"/>
      <c r="F164" s="86" t="str">
        <f>IFERROR(VLOOKUP(E164,Groups!$A:$I,2,FALSE()),"Unassigned")</f>
        <v>Unassigned</v>
      </c>
      <c r="G164" s="86" t="str">
        <f>IFERROR(VLOOKUP(E164,Groups!$A:$I,4,FALSE()),"Direct Reports")</f>
        <v>Direct Reports</v>
      </c>
      <c r="H164" s="86" t="str">
        <f t="shared" si="1"/>
        <v>Excluded</v>
      </c>
      <c r="I164" s="86"/>
      <c r="J164" s="86"/>
      <c r="K164" s="86"/>
      <c r="L164" s="86"/>
      <c r="M164" s="86"/>
      <c r="N164" s="86"/>
      <c r="O164" s="86"/>
      <c r="P164" s="86" t="b">
        <f t="shared" si="3"/>
        <v>0</v>
      </c>
      <c r="Q164" s="86">
        <f>COUNTIF(Licenses!$A:$A,C164)</f>
        <v>0</v>
      </c>
      <c r="R164" s="86"/>
      <c r="S164" s="87"/>
      <c r="T164" s="2"/>
      <c r="U164" s="2"/>
      <c r="V164" s="88" t="s">
        <v>100</v>
      </c>
      <c r="W164" s="88" t="s">
        <v>101</v>
      </c>
      <c r="X164" s="2"/>
      <c r="Y164" s="2"/>
      <c r="Z164" s="2"/>
    </row>
    <row r="165" ht="15.75" customHeight="1">
      <c r="A165" s="86"/>
      <c r="B165" s="86"/>
      <c r="C165" s="86"/>
      <c r="D165" s="86" t="str">
        <f>IFERROR(VLOOKUP(E165,Groups!$A:$I,3,FALSE()),"Unassigned")</f>
        <v>Unassigned</v>
      </c>
      <c r="E165" s="86"/>
      <c r="F165" s="86" t="str">
        <f>IFERROR(VLOOKUP(E165,Groups!$A:$I,2,FALSE()),"Unassigned")</f>
        <v>Unassigned</v>
      </c>
      <c r="G165" s="86" t="str">
        <f>IFERROR(VLOOKUP(E165,Groups!$A:$I,4,FALSE()),"Direct Reports")</f>
        <v>Direct Reports</v>
      </c>
      <c r="H165" s="86" t="str">
        <f t="shared" si="1"/>
        <v>Excluded</v>
      </c>
      <c r="I165" s="86"/>
      <c r="J165" s="86"/>
      <c r="K165" s="86"/>
      <c r="L165" s="86"/>
      <c r="M165" s="86"/>
      <c r="N165" s="86"/>
      <c r="O165" s="86"/>
      <c r="P165" s="86" t="b">
        <f t="shared" si="3"/>
        <v>0</v>
      </c>
      <c r="Q165" s="86">
        <f>COUNTIF(Licenses!$A:$A,C165)</f>
        <v>0</v>
      </c>
      <c r="R165" s="86"/>
      <c r="S165" s="87"/>
      <c r="T165" s="2"/>
      <c r="U165" s="2"/>
      <c r="V165" s="88" t="s">
        <v>100</v>
      </c>
      <c r="W165" s="88" t="s">
        <v>101</v>
      </c>
      <c r="X165" s="2"/>
      <c r="Y165" s="2"/>
      <c r="Z165" s="2"/>
    </row>
    <row r="166" ht="15.75" customHeight="1">
      <c r="A166" s="86"/>
      <c r="B166" s="86"/>
      <c r="C166" s="86"/>
      <c r="D166" s="86" t="str">
        <f>IFERROR(VLOOKUP(E166,Groups!$A:$I,3,FALSE()),"Unassigned")</f>
        <v>Unassigned</v>
      </c>
      <c r="E166" s="86"/>
      <c r="F166" s="86" t="str">
        <f>IFERROR(VLOOKUP(E166,Groups!$A:$I,2,FALSE()),"Unassigned")</f>
        <v>Unassigned</v>
      </c>
      <c r="G166" s="86" t="str">
        <f>IFERROR(VLOOKUP(E166,Groups!$A:$I,4,FALSE()),"Direct Reports")</f>
        <v>Direct Reports</v>
      </c>
      <c r="H166" s="86" t="str">
        <f t="shared" si="1"/>
        <v>Excluded</v>
      </c>
      <c r="I166" s="86"/>
      <c r="J166" s="86"/>
      <c r="K166" s="86"/>
      <c r="L166" s="86"/>
      <c r="M166" s="86"/>
      <c r="N166" s="86"/>
      <c r="O166" s="86"/>
      <c r="P166" s="86" t="b">
        <f t="shared" si="3"/>
        <v>0</v>
      </c>
      <c r="Q166" s="86">
        <f>COUNTIF(Licenses!$A:$A,C166)</f>
        <v>0</v>
      </c>
      <c r="R166" s="86"/>
      <c r="S166" s="87"/>
      <c r="T166" s="2"/>
      <c r="U166" s="2"/>
      <c r="V166" s="88" t="s">
        <v>100</v>
      </c>
      <c r="W166" s="88" t="s">
        <v>101</v>
      </c>
      <c r="X166" s="2"/>
      <c r="Y166" s="2"/>
      <c r="Z166" s="2"/>
    </row>
    <row r="167" ht="15.75" customHeight="1">
      <c r="A167" s="86"/>
      <c r="B167" s="86"/>
      <c r="C167" s="86"/>
      <c r="D167" s="86" t="str">
        <f>IFERROR(VLOOKUP(E167,Groups!$A:$I,3,FALSE()),"Unassigned")</f>
        <v>Unassigned</v>
      </c>
      <c r="E167" s="86"/>
      <c r="F167" s="86" t="str">
        <f>IFERROR(VLOOKUP(E167,Groups!$A:$I,2,FALSE()),"Unassigned")</f>
        <v>Unassigned</v>
      </c>
      <c r="G167" s="86" t="str">
        <f>IFERROR(VLOOKUP(E167,Groups!$A:$I,4,FALSE()),"Direct Reports")</f>
        <v>Direct Reports</v>
      </c>
      <c r="H167" s="86" t="str">
        <f t="shared" si="1"/>
        <v>Excluded</v>
      </c>
      <c r="I167" s="86"/>
      <c r="J167" s="86"/>
      <c r="K167" s="86"/>
      <c r="L167" s="86"/>
      <c r="M167" s="86"/>
      <c r="N167" s="86"/>
      <c r="O167" s="86"/>
      <c r="P167" s="86" t="b">
        <f t="shared" si="3"/>
        <v>0</v>
      </c>
      <c r="Q167" s="86">
        <f>COUNTIF(Licenses!$A:$A,C167)</f>
        <v>0</v>
      </c>
      <c r="R167" s="86"/>
      <c r="S167" s="87"/>
      <c r="T167" s="2"/>
      <c r="U167" s="2"/>
      <c r="V167" s="88" t="s">
        <v>100</v>
      </c>
      <c r="W167" s="88" t="s">
        <v>101</v>
      </c>
      <c r="X167" s="2"/>
      <c r="Y167" s="2"/>
      <c r="Z167" s="2"/>
    </row>
    <row r="168" ht="15.75" customHeight="1">
      <c r="A168" s="86"/>
      <c r="B168" s="86"/>
      <c r="C168" s="86"/>
      <c r="D168" s="86" t="str">
        <f>IFERROR(VLOOKUP(E168,Groups!$A:$I,3,FALSE()),"Unassigned")</f>
        <v>Unassigned</v>
      </c>
      <c r="E168" s="86"/>
      <c r="F168" s="86" t="str">
        <f>IFERROR(VLOOKUP(E168,Groups!$A:$I,2,FALSE()),"Unassigned")</f>
        <v>Unassigned</v>
      </c>
      <c r="G168" s="86" t="str">
        <f>IFERROR(VLOOKUP(E168,Groups!$A:$I,4,FALSE()),"Direct Reports")</f>
        <v>Direct Reports</v>
      </c>
      <c r="H168" s="86" t="str">
        <f t="shared" si="1"/>
        <v>Excluded</v>
      </c>
      <c r="I168" s="86"/>
      <c r="J168" s="86"/>
      <c r="K168" s="86"/>
      <c r="L168" s="86"/>
      <c r="M168" s="86"/>
      <c r="N168" s="86"/>
      <c r="O168" s="86"/>
      <c r="P168" s="86" t="b">
        <f t="shared" si="3"/>
        <v>0</v>
      </c>
      <c r="Q168" s="86">
        <f>COUNTIF(Licenses!$A:$A,C168)</f>
        <v>0</v>
      </c>
      <c r="R168" s="86"/>
      <c r="S168" s="87"/>
      <c r="T168" s="2"/>
      <c r="U168" s="2"/>
      <c r="V168" s="88" t="s">
        <v>100</v>
      </c>
      <c r="W168" s="88" t="s">
        <v>101</v>
      </c>
      <c r="X168" s="2"/>
      <c r="Y168" s="2"/>
      <c r="Z168" s="2"/>
    </row>
    <row r="169" ht="15.75" customHeight="1">
      <c r="A169" s="86"/>
      <c r="B169" s="86"/>
      <c r="C169" s="86"/>
      <c r="D169" s="86" t="str">
        <f>IFERROR(VLOOKUP(E169,Groups!$A:$I,3,FALSE()),"Unassigned")</f>
        <v>Unassigned</v>
      </c>
      <c r="E169" s="86"/>
      <c r="F169" s="86" t="str">
        <f>IFERROR(VLOOKUP(E169,Groups!$A:$I,2,FALSE()),"Unassigned")</f>
        <v>Unassigned</v>
      </c>
      <c r="G169" s="86" t="str">
        <f>IFERROR(VLOOKUP(E169,Groups!$A:$I,4,FALSE()),"Direct Reports")</f>
        <v>Direct Reports</v>
      </c>
      <c r="H169" s="86" t="str">
        <f t="shared" si="1"/>
        <v>Excluded</v>
      </c>
      <c r="I169" s="86"/>
      <c r="J169" s="86"/>
      <c r="K169" s="86"/>
      <c r="L169" s="86"/>
      <c r="M169" s="86"/>
      <c r="N169" s="86"/>
      <c r="O169" s="86"/>
      <c r="P169" s="86" t="b">
        <f t="shared" si="3"/>
        <v>0</v>
      </c>
      <c r="Q169" s="86">
        <f>COUNTIF(Licenses!$A:$A,C169)</f>
        <v>0</v>
      </c>
      <c r="R169" s="86"/>
      <c r="S169" s="87"/>
      <c r="T169" s="2"/>
      <c r="U169" s="2"/>
      <c r="V169" s="88" t="s">
        <v>100</v>
      </c>
      <c r="W169" s="88" t="s">
        <v>101</v>
      </c>
      <c r="X169" s="2"/>
      <c r="Y169" s="2"/>
      <c r="Z169" s="2"/>
    </row>
    <row r="170" ht="15.75" customHeight="1">
      <c r="A170" s="86"/>
      <c r="B170" s="86"/>
      <c r="C170" s="86"/>
      <c r="D170" s="86" t="str">
        <f>IFERROR(VLOOKUP(E170,Groups!$A:$I,3,FALSE()),"Unassigned")</f>
        <v>Unassigned</v>
      </c>
      <c r="E170" s="86"/>
      <c r="F170" s="86" t="str">
        <f>IFERROR(VLOOKUP(E170,Groups!$A:$I,2,FALSE()),"Unassigned")</f>
        <v>Unassigned</v>
      </c>
      <c r="G170" s="86" t="str">
        <f>IFERROR(VLOOKUP(E170,Groups!$A:$I,4,FALSE()),"Direct Reports")</f>
        <v>Direct Reports</v>
      </c>
      <c r="H170" s="86" t="str">
        <f t="shared" si="1"/>
        <v>Excluded</v>
      </c>
      <c r="I170" s="86"/>
      <c r="J170" s="86"/>
      <c r="K170" s="86"/>
      <c r="L170" s="86"/>
      <c r="M170" s="86"/>
      <c r="N170" s="86"/>
      <c r="O170" s="86"/>
      <c r="P170" s="86" t="b">
        <f t="shared" si="3"/>
        <v>0</v>
      </c>
      <c r="Q170" s="86">
        <f>COUNTIF(Licenses!$A:$A,C170)</f>
        <v>0</v>
      </c>
      <c r="R170" s="86"/>
      <c r="S170" s="87"/>
      <c r="T170" s="2"/>
      <c r="U170" s="2"/>
      <c r="V170" s="88" t="s">
        <v>100</v>
      </c>
      <c r="W170" s="88" t="s">
        <v>101</v>
      </c>
      <c r="X170" s="2"/>
      <c r="Y170" s="2"/>
      <c r="Z170" s="2"/>
    </row>
    <row r="171" ht="15.75" customHeight="1">
      <c r="A171" s="86"/>
      <c r="B171" s="86"/>
      <c r="C171" s="86"/>
      <c r="D171" s="86" t="str">
        <f>IFERROR(VLOOKUP(E171,Groups!$A:$I,3,FALSE()),"Unassigned")</f>
        <v>Unassigned</v>
      </c>
      <c r="E171" s="86"/>
      <c r="F171" s="86" t="str">
        <f>IFERROR(VLOOKUP(E171,Groups!$A:$I,2,FALSE()),"Unassigned")</f>
        <v>Unassigned</v>
      </c>
      <c r="G171" s="86" t="str">
        <f>IFERROR(VLOOKUP(E171,Groups!$A:$I,4,FALSE()),"Direct Reports")</f>
        <v>Direct Reports</v>
      </c>
      <c r="H171" s="86" t="str">
        <f t="shared" si="1"/>
        <v>Excluded</v>
      </c>
      <c r="I171" s="86"/>
      <c r="J171" s="86"/>
      <c r="K171" s="86"/>
      <c r="L171" s="86"/>
      <c r="M171" s="86"/>
      <c r="N171" s="86"/>
      <c r="O171" s="86"/>
      <c r="P171" s="86" t="b">
        <f t="shared" si="3"/>
        <v>0</v>
      </c>
      <c r="Q171" s="86">
        <f>COUNTIF(Licenses!$A:$A,C171)</f>
        <v>0</v>
      </c>
      <c r="R171" s="86"/>
      <c r="S171" s="87"/>
      <c r="T171" s="2"/>
      <c r="U171" s="2"/>
      <c r="V171" s="88" t="s">
        <v>100</v>
      </c>
      <c r="W171" s="88" t="s">
        <v>101</v>
      </c>
      <c r="X171" s="2"/>
      <c r="Y171" s="2"/>
      <c r="Z171" s="2"/>
    </row>
    <row r="172" ht="15.75" customHeight="1">
      <c r="A172" s="86"/>
      <c r="B172" s="86"/>
      <c r="C172" s="86"/>
      <c r="D172" s="86" t="str">
        <f>IFERROR(VLOOKUP(E172,Groups!$A:$I,3,FALSE()),"Unassigned")</f>
        <v>Unassigned</v>
      </c>
      <c r="E172" s="86"/>
      <c r="F172" s="86" t="str">
        <f>IFERROR(VLOOKUP(E172,Groups!$A:$I,2,FALSE()),"Unassigned")</f>
        <v>Unassigned</v>
      </c>
      <c r="G172" s="86" t="str">
        <f>IFERROR(VLOOKUP(E172,Groups!$A:$I,4,FALSE()),"Direct Reports")</f>
        <v>Direct Reports</v>
      </c>
      <c r="H172" s="86" t="str">
        <f t="shared" si="1"/>
        <v>Excluded</v>
      </c>
      <c r="I172" s="86"/>
      <c r="J172" s="86"/>
      <c r="K172" s="86"/>
      <c r="L172" s="86"/>
      <c r="M172" s="86"/>
      <c r="N172" s="86"/>
      <c r="O172" s="86"/>
      <c r="P172" s="86" t="b">
        <f t="shared" si="3"/>
        <v>0</v>
      </c>
      <c r="Q172" s="86">
        <f>COUNTIF(Licenses!$A:$A,C172)</f>
        <v>0</v>
      </c>
      <c r="R172" s="86"/>
      <c r="S172" s="87"/>
      <c r="T172" s="2"/>
      <c r="U172" s="2"/>
      <c r="V172" s="88" t="s">
        <v>100</v>
      </c>
      <c r="W172" s="88" t="s">
        <v>101</v>
      </c>
      <c r="X172" s="2"/>
      <c r="Y172" s="2"/>
      <c r="Z172" s="2"/>
    </row>
    <row r="173" ht="15.75" customHeight="1">
      <c r="A173" s="86"/>
      <c r="B173" s="86"/>
      <c r="C173" s="86"/>
      <c r="D173" s="86" t="str">
        <f>IFERROR(VLOOKUP(E173,Groups!$A:$I,3,FALSE()),"Unassigned")</f>
        <v>Unassigned</v>
      </c>
      <c r="E173" s="86"/>
      <c r="F173" s="86" t="str">
        <f>IFERROR(VLOOKUP(E173,Groups!$A:$I,2,FALSE()),"Unassigned")</f>
        <v>Unassigned</v>
      </c>
      <c r="G173" s="86" t="str">
        <f>IFERROR(VLOOKUP(E173,Groups!$A:$I,4,FALSE()),"Direct Reports")</f>
        <v>Direct Reports</v>
      </c>
      <c r="H173" s="86" t="str">
        <f t="shared" si="1"/>
        <v>Excluded</v>
      </c>
      <c r="I173" s="86"/>
      <c r="J173" s="86"/>
      <c r="K173" s="86"/>
      <c r="L173" s="86"/>
      <c r="M173" s="86"/>
      <c r="N173" s="86"/>
      <c r="O173" s="86"/>
      <c r="P173" s="86" t="b">
        <f t="shared" si="3"/>
        <v>0</v>
      </c>
      <c r="Q173" s="86">
        <f>COUNTIF(Licenses!$A:$A,C173)</f>
        <v>0</v>
      </c>
      <c r="R173" s="86"/>
      <c r="S173" s="87"/>
      <c r="T173" s="2"/>
      <c r="U173" s="2"/>
      <c r="V173" s="88" t="s">
        <v>100</v>
      </c>
      <c r="W173" s="88" t="s">
        <v>101</v>
      </c>
      <c r="X173" s="2"/>
      <c r="Y173" s="2"/>
      <c r="Z173" s="2"/>
    </row>
    <row r="174" ht="15.75" customHeight="1">
      <c r="A174" s="86"/>
      <c r="B174" s="86"/>
      <c r="C174" s="86"/>
      <c r="D174" s="86" t="str">
        <f>IFERROR(VLOOKUP(E174,Groups!$A:$I,3,FALSE()),"Unassigned")</f>
        <v>Unassigned</v>
      </c>
      <c r="E174" s="86"/>
      <c r="F174" s="86" t="str">
        <f>IFERROR(VLOOKUP(E174,Groups!$A:$I,2,FALSE()),"Unassigned")</f>
        <v>Unassigned</v>
      </c>
      <c r="G174" s="86" t="str">
        <f>IFERROR(VLOOKUP(E174,Groups!$A:$I,4,FALSE()),"Direct Reports")</f>
        <v>Direct Reports</v>
      </c>
      <c r="H174" s="86" t="str">
        <f t="shared" si="1"/>
        <v>Excluded</v>
      </c>
      <c r="I174" s="86"/>
      <c r="J174" s="86"/>
      <c r="K174" s="86"/>
      <c r="L174" s="86"/>
      <c r="M174" s="86"/>
      <c r="N174" s="86"/>
      <c r="O174" s="86"/>
      <c r="P174" s="86" t="b">
        <f t="shared" si="3"/>
        <v>0</v>
      </c>
      <c r="Q174" s="86">
        <f>COUNTIF(Licenses!$A:$A,C174)</f>
        <v>0</v>
      </c>
      <c r="R174" s="86"/>
      <c r="S174" s="87"/>
      <c r="T174" s="2"/>
      <c r="U174" s="2"/>
      <c r="V174" s="88" t="s">
        <v>100</v>
      </c>
      <c r="W174" s="88" t="s">
        <v>101</v>
      </c>
      <c r="X174" s="2"/>
      <c r="Y174" s="2"/>
      <c r="Z174" s="2"/>
    </row>
    <row r="175" ht="15.75" customHeight="1">
      <c r="A175" s="86"/>
      <c r="B175" s="86"/>
      <c r="C175" s="86"/>
      <c r="D175" s="86" t="str">
        <f>IFERROR(VLOOKUP(E175,Groups!$A:$I,3,FALSE()),"Unassigned")</f>
        <v>Unassigned</v>
      </c>
      <c r="E175" s="86"/>
      <c r="F175" s="86" t="str">
        <f>IFERROR(VLOOKUP(E175,Groups!$A:$I,2,FALSE()),"Unassigned")</f>
        <v>Unassigned</v>
      </c>
      <c r="G175" s="86" t="str">
        <f>IFERROR(VLOOKUP(E175,Groups!$A:$I,4,FALSE()),"Direct Reports")</f>
        <v>Direct Reports</v>
      </c>
      <c r="H175" s="86" t="str">
        <f t="shared" si="1"/>
        <v>Excluded</v>
      </c>
      <c r="I175" s="86"/>
      <c r="J175" s="86"/>
      <c r="K175" s="86"/>
      <c r="L175" s="86"/>
      <c r="M175" s="86"/>
      <c r="N175" s="86"/>
      <c r="O175" s="86"/>
      <c r="P175" s="86" t="b">
        <f t="shared" si="3"/>
        <v>0</v>
      </c>
      <c r="Q175" s="86">
        <f>COUNTIF(Licenses!$A:$A,C175)</f>
        <v>0</v>
      </c>
      <c r="R175" s="86"/>
      <c r="S175" s="87"/>
      <c r="T175" s="2"/>
      <c r="U175" s="2"/>
      <c r="V175" s="88" t="s">
        <v>100</v>
      </c>
      <c r="W175" s="88" t="s">
        <v>101</v>
      </c>
      <c r="X175" s="2"/>
      <c r="Y175" s="2"/>
      <c r="Z175" s="2"/>
    </row>
    <row r="176" ht="15.75" customHeight="1">
      <c r="A176" s="86"/>
      <c r="B176" s="86"/>
      <c r="C176" s="86"/>
      <c r="D176" s="86" t="str">
        <f>IFERROR(VLOOKUP(E176,Groups!$A:$I,3,FALSE()),"Unassigned")</f>
        <v>Unassigned</v>
      </c>
      <c r="E176" s="86"/>
      <c r="F176" s="86" t="str">
        <f>IFERROR(VLOOKUP(E176,Groups!$A:$I,2,FALSE()),"Unassigned")</f>
        <v>Unassigned</v>
      </c>
      <c r="G176" s="86" t="str">
        <f>IFERROR(VLOOKUP(E176,Groups!$A:$I,4,FALSE()),"Direct Reports")</f>
        <v>Direct Reports</v>
      </c>
      <c r="H176" s="86" t="str">
        <f t="shared" si="1"/>
        <v>Excluded</v>
      </c>
      <c r="I176" s="86"/>
      <c r="J176" s="86"/>
      <c r="K176" s="86"/>
      <c r="L176" s="86"/>
      <c r="M176" s="86"/>
      <c r="N176" s="86"/>
      <c r="O176" s="86"/>
      <c r="P176" s="86" t="b">
        <f t="shared" si="3"/>
        <v>0</v>
      </c>
      <c r="Q176" s="86">
        <f>COUNTIF(Licenses!$A:$A,C176)</f>
        <v>0</v>
      </c>
      <c r="R176" s="86"/>
      <c r="S176" s="87"/>
      <c r="T176" s="2"/>
      <c r="U176" s="2"/>
      <c r="V176" s="88" t="s">
        <v>100</v>
      </c>
      <c r="W176" s="88" t="s">
        <v>101</v>
      </c>
      <c r="X176" s="2"/>
      <c r="Y176" s="2"/>
      <c r="Z176" s="2"/>
    </row>
    <row r="177" ht="15.75" customHeight="1">
      <c r="A177" s="86"/>
      <c r="B177" s="86"/>
      <c r="C177" s="86"/>
      <c r="D177" s="86" t="str">
        <f>IFERROR(VLOOKUP(E177,Groups!$A:$I,3,FALSE()),"Unassigned")</f>
        <v>Unassigned</v>
      </c>
      <c r="E177" s="86"/>
      <c r="F177" s="86" t="str">
        <f>IFERROR(VLOOKUP(E177,Groups!$A:$I,2,FALSE()),"Unassigned")</f>
        <v>Unassigned</v>
      </c>
      <c r="G177" s="86" t="str">
        <f>IFERROR(VLOOKUP(E177,Groups!$A:$I,4,FALSE()),"Direct Reports")</f>
        <v>Direct Reports</v>
      </c>
      <c r="H177" s="86" t="str">
        <f t="shared" si="1"/>
        <v>Excluded</v>
      </c>
      <c r="I177" s="86"/>
      <c r="J177" s="86"/>
      <c r="K177" s="86"/>
      <c r="L177" s="86"/>
      <c r="M177" s="86"/>
      <c r="N177" s="86"/>
      <c r="O177" s="86"/>
      <c r="P177" s="86" t="b">
        <f t="shared" si="3"/>
        <v>0</v>
      </c>
      <c r="Q177" s="86">
        <f>COUNTIF(Licenses!$A:$A,C177)</f>
        <v>0</v>
      </c>
      <c r="R177" s="86"/>
      <c r="S177" s="87"/>
      <c r="T177" s="2"/>
      <c r="U177" s="2"/>
      <c r="V177" s="88" t="s">
        <v>100</v>
      </c>
      <c r="W177" s="88" t="s">
        <v>101</v>
      </c>
      <c r="X177" s="2"/>
      <c r="Y177" s="2"/>
      <c r="Z177" s="2"/>
    </row>
    <row r="178" ht="15.75" customHeight="1">
      <c r="A178" s="86"/>
      <c r="B178" s="86"/>
      <c r="C178" s="86"/>
      <c r="D178" s="86" t="str">
        <f>IFERROR(VLOOKUP(E178,Groups!$A:$I,3,FALSE()),"Unassigned")</f>
        <v>Unassigned</v>
      </c>
      <c r="E178" s="86"/>
      <c r="F178" s="86" t="str">
        <f>IFERROR(VLOOKUP(E178,Groups!$A:$I,2,FALSE()),"Unassigned")</f>
        <v>Unassigned</v>
      </c>
      <c r="G178" s="86" t="str">
        <f>IFERROR(VLOOKUP(E178,Groups!$A:$I,4,FALSE()),"Direct Reports")</f>
        <v>Direct Reports</v>
      </c>
      <c r="H178" s="86" t="str">
        <f t="shared" si="1"/>
        <v>Excluded</v>
      </c>
      <c r="I178" s="86"/>
      <c r="J178" s="86"/>
      <c r="K178" s="86"/>
      <c r="L178" s="86"/>
      <c r="M178" s="86"/>
      <c r="N178" s="86"/>
      <c r="O178" s="86"/>
      <c r="P178" s="86" t="b">
        <f t="shared" si="3"/>
        <v>0</v>
      </c>
      <c r="Q178" s="86">
        <f>COUNTIF(Licenses!$A:$A,C178)</f>
        <v>0</v>
      </c>
      <c r="R178" s="86"/>
      <c r="S178" s="87"/>
      <c r="T178" s="2"/>
      <c r="U178" s="2"/>
      <c r="V178" s="88" t="s">
        <v>100</v>
      </c>
      <c r="W178" s="88" t="s">
        <v>101</v>
      </c>
      <c r="X178" s="2"/>
      <c r="Y178" s="2"/>
      <c r="Z178" s="2"/>
    </row>
    <row r="179" ht="15.75" customHeight="1">
      <c r="A179" s="86"/>
      <c r="B179" s="86"/>
      <c r="C179" s="86"/>
      <c r="D179" s="86" t="str">
        <f>IFERROR(VLOOKUP(E179,Groups!$A:$I,3,FALSE()),"Unassigned")</f>
        <v>Unassigned</v>
      </c>
      <c r="E179" s="86"/>
      <c r="F179" s="86" t="str">
        <f>IFERROR(VLOOKUP(E179,Groups!$A:$I,2,FALSE()),"Unassigned")</f>
        <v>Unassigned</v>
      </c>
      <c r="G179" s="86" t="str">
        <f>IFERROR(VLOOKUP(E179,Groups!$A:$I,4,FALSE()),"Direct Reports")</f>
        <v>Direct Reports</v>
      </c>
      <c r="H179" s="86" t="str">
        <f t="shared" si="1"/>
        <v>Excluded</v>
      </c>
      <c r="I179" s="86"/>
      <c r="J179" s="86"/>
      <c r="K179" s="86"/>
      <c r="L179" s="86"/>
      <c r="M179" s="86"/>
      <c r="N179" s="86"/>
      <c r="O179" s="86"/>
      <c r="P179" s="86" t="b">
        <f t="shared" si="3"/>
        <v>0</v>
      </c>
      <c r="Q179" s="86">
        <f>COUNTIF(Licenses!$A:$A,C179)</f>
        <v>0</v>
      </c>
      <c r="R179" s="86"/>
      <c r="S179" s="87"/>
      <c r="T179" s="2"/>
      <c r="U179" s="2"/>
      <c r="V179" s="88" t="s">
        <v>100</v>
      </c>
      <c r="W179" s="88" t="s">
        <v>101</v>
      </c>
      <c r="X179" s="2"/>
      <c r="Y179" s="2"/>
      <c r="Z179" s="2"/>
    </row>
    <row r="180" ht="15.75" customHeight="1">
      <c r="A180" s="86"/>
      <c r="B180" s="86"/>
      <c r="C180" s="86"/>
      <c r="D180" s="86" t="str">
        <f>IFERROR(VLOOKUP(E180,Groups!$A:$I,3,FALSE()),"Unassigned")</f>
        <v>Unassigned</v>
      </c>
      <c r="E180" s="86"/>
      <c r="F180" s="86" t="str">
        <f>IFERROR(VLOOKUP(E180,Groups!$A:$I,2,FALSE()),"Unassigned")</f>
        <v>Unassigned</v>
      </c>
      <c r="G180" s="86" t="str">
        <f>IFERROR(VLOOKUP(E180,Groups!$A:$I,4,FALSE()),"Direct Reports")</f>
        <v>Direct Reports</v>
      </c>
      <c r="H180" s="86" t="str">
        <f t="shared" si="1"/>
        <v>Excluded</v>
      </c>
      <c r="I180" s="86"/>
      <c r="J180" s="86"/>
      <c r="K180" s="86"/>
      <c r="L180" s="86"/>
      <c r="M180" s="86"/>
      <c r="N180" s="86"/>
      <c r="O180" s="86"/>
      <c r="P180" s="86" t="b">
        <f t="shared" si="3"/>
        <v>0</v>
      </c>
      <c r="Q180" s="86">
        <f>COUNTIF(Licenses!$A:$A,C180)</f>
        <v>0</v>
      </c>
      <c r="R180" s="86"/>
      <c r="S180" s="87"/>
      <c r="T180" s="2"/>
      <c r="U180" s="2"/>
      <c r="V180" s="88" t="s">
        <v>100</v>
      </c>
      <c r="W180" s="88" t="s">
        <v>101</v>
      </c>
      <c r="X180" s="2"/>
      <c r="Y180" s="2"/>
      <c r="Z180" s="2"/>
    </row>
    <row r="181" ht="15.75" customHeight="1">
      <c r="A181" s="86"/>
      <c r="B181" s="86"/>
      <c r="C181" s="86"/>
      <c r="D181" s="86" t="str">
        <f>IFERROR(VLOOKUP(E181,Groups!$A:$I,3,FALSE()),"Unassigned")</f>
        <v>Unassigned</v>
      </c>
      <c r="E181" s="86"/>
      <c r="F181" s="86" t="str">
        <f>IFERROR(VLOOKUP(E181,Groups!$A:$I,2,FALSE()),"Unassigned")</f>
        <v>Unassigned</v>
      </c>
      <c r="G181" s="86" t="str">
        <f>IFERROR(VLOOKUP(E181,Groups!$A:$I,4,FALSE()),"Direct Reports")</f>
        <v>Direct Reports</v>
      </c>
      <c r="H181" s="86" t="str">
        <f t="shared" si="1"/>
        <v>Excluded</v>
      </c>
      <c r="I181" s="86"/>
      <c r="J181" s="86"/>
      <c r="K181" s="86"/>
      <c r="L181" s="86"/>
      <c r="M181" s="86"/>
      <c r="N181" s="86"/>
      <c r="O181" s="86"/>
      <c r="P181" s="86" t="b">
        <f t="shared" si="3"/>
        <v>0</v>
      </c>
      <c r="Q181" s="86">
        <f>COUNTIF(Licenses!$A:$A,C181)</f>
        <v>0</v>
      </c>
      <c r="R181" s="86"/>
      <c r="S181" s="87"/>
      <c r="T181" s="2"/>
      <c r="U181" s="2"/>
      <c r="V181" s="88" t="s">
        <v>100</v>
      </c>
      <c r="W181" s="88" t="s">
        <v>101</v>
      </c>
      <c r="X181" s="2"/>
      <c r="Y181" s="2"/>
      <c r="Z181" s="2"/>
    </row>
    <row r="182" ht="15.75" customHeight="1">
      <c r="A182" s="86"/>
      <c r="B182" s="86"/>
      <c r="C182" s="86"/>
      <c r="D182" s="86" t="str">
        <f>IFERROR(VLOOKUP(E182,Groups!$A:$I,3,FALSE()),"Unassigned")</f>
        <v>Unassigned</v>
      </c>
      <c r="E182" s="86"/>
      <c r="F182" s="86" t="str">
        <f>IFERROR(VLOOKUP(E182,Groups!$A:$I,2,FALSE()),"Unassigned")</f>
        <v>Unassigned</v>
      </c>
      <c r="G182" s="86" t="str">
        <f>IFERROR(VLOOKUP(E182,Groups!$A:$I,4,FALSE()),"Direct Reports")</f>
        <v>Direct Reports</v>
      </c>
      <c r="H182" s="86" t="str">
        <f t="shared" si="1"/>
        <v>Excluded</v>
      </c>
      <c r="I182" s="86"/>
      <c r="J182" s="86"/>
      <c r="K182" s="86"/>
      <c r="L182" s="86"/>
      <c r="M182" s="86"/>
      <c r="N182" s="86"/>
      <c r="O182" s="86"/>
      <c r="P182" s="86" t="b">
        <f t="shared" si="3"/>
        <v>0</v>
      </c>
      <c r="Q182" s="86">
        <f>COUNTIF(Licenses!$A:$A,C182)</f>
        <v>0</v>
      </c>
      <c r="R182" s="86"/>
      <c r="S182" s="87"/>
      <c r="T182" s="2"/>
      <c r="U182" s="2"/>
      <c r="V182" s="88" t="s">
        <v>100</v>
      </c>
      <c r="W182" s="88" t="s">
        <v>101</v>
      </c>
      <c r="X182" s="2"/>
      <c r="Y182" s="2"/>
      <c r="Z182" s="2"/>
    </row>
    <row r="183" ht="15.75" customHeight="1">
      <c r="A183" s="86"/>
      <c r="B183" s="86"/>
      <c r="C183" s="86"/>
      <c r="D183" s="86" t="str">
        <f>IFERROR(VLOOKUP(E183,Groups!$A:$I,3,FALSE()),"Unassigned")</f>
        <v>Unassigned</v>
      </c>
      <c r="E183" s="86"/>
      <c r="F183" s="86" t="str">
        <f>IFERROR(VLOOKUP(E183,Groups!$A:$I,2,FALSE()),"Unassigned")</f>
        <v>Unassigned</v>
      </c>
      <c r="G183" s="86" t="str">
        <f>IFERROR(VLOOKUP(E183,Groups!$A:$I,4,FALSE()),"Direct Reports")</f>
        <v>Direct Reports</v>
      </c>
      <c r="H183" s="86" t="str">
        <f t="shared" si="1"/>
        <v>Excluded</v>
      </c>
      <c r="I183" s="86"/>
      <c r="J183" s="86"/>
      <c r="K183" s="86"/>
      <c r="L183" s="86"/>
      <c r="M183" s="86"/>
      <c r="N183" s="86"/>
      <c r="O183" s="86"/>
      <c r="P183" s="86" t="b">
        <f t="shared" si="3"/>
        <v>0</v>
      </c>
      <c r="Q183" s="86">
        <f>COUNTIF(Licenses!$A:$A,C183)</f>
        <v>0</v>
      </c>
      <c r="R183" s="86"/>
      <c r="S183" s="87"/>
      <c r="T183" s="2"/>
      <c r="U183" s="2"/>
      <c r="V183" s="88" t="s">
        <v>100</v>
      </c>
      <c r="W183" s="88" t="s">
        <v>101</v>
      </c>
      <c r="X183" s="2"/>
      <c r="Y183" s="2"/>
      <c r="Z183" s="2"/>
    </row>
    <row r="184" ht="15.75" customHeight="1">
      <c r="A184" s="86"/>
      <c r="B184" s="86"/>
      <c r="C184" s="86"/>
      <c r="D184" s="86" t="str">
        <f>IFERROR(VLOOKUP(E184,Groups!$A:$I,3,FALSE()),"Unassigned")</f>
        <v>Unassigned</v>
      </c>
      <c r="E184" s="86"/>
      <c r="F184" s="86" t="str">
        <f>IFERROR(VLOOKUP(E184,Groups!$A:$I,2,FALSE()),"Unassigned")</f>
        <v>Unassigned</v>
      </c>
      <c r="G184" s="86" t="str">
        <f>IFERROR(VLOOKUP(E184,Groups!$A:$I,4,FALSE()),"Direct Reports")</f>
        <v>Direct Reports</v>
      </c>
      <c r="H184" s="86" t="str">
        <f t="shared" si="1"/>
        <v>Excluded</v>
      </c>
      <c r="I184" s="86"/>
      <c r="J184" s="86"/>
      <c r="K184" s="86"/>
      <c r="L184" s="86"/>
      <c r="M184" s="86"/>
      <c r="N184" s="86"/>
      <c r="O184" s="86"/>
      <c r="P184" s="86" t="b">
        <f t="shared" si="3"/>
        <v>0</v>
      </c>
      <c r="Q184" s="86">
        <f>COUNTIF(Licenses!$A:$A,C184)</f>
        <v>0</v>
      </c>
      <c r="R184" s="86"/>
      <c r="S184" s="87"/>
      <c r="T184" s="2"/>
      <c r="U184" s="2"/>
      <c r="V184" s="88" t="s">
        <v>100</v>
      </c>
      <c r="W184" s="88" t="s">
        <v>101</v>
      </c>
      <c r="X184" s="2"/>
      <c r="Y184" s="2"/>
      <c r="Z184" s="2"/>
    </row>
    <row r="185" ht="15.75" customHeight="1">
      <c r="A185" s="86"/>
      <c r="B185" s="86"/>
      <c r="C185" s="86"/>
      <c r="D185" s="86" t="str">
        <f>IFERROR(VLOOKUP(E185,Groups!$A:$I,3,FALSE()),"Unassigned")</f>
        <v>Unassigned</v>
      </c>
      <c r="E185" s="86"/>
      <c r="F185" s="86" t="str">
        <f>IFERROR(VLOOKUP(E185,Groups!$A:$I,2,FALSE()),"Unassigned")</f>
        <v>Unassigned</v>
      </c>
      <c r="G185" s="86" t="str">
        <f>IFERROR(VLOOKUP(E185,Groups!$A:$I,4,FALSE()),"Direct Reports")</f>
        <v>Direct Reports</v>
      </c>
      <c r="H185" s="86" t="str">
        <f t="shared" si="1"/>
        <v>Excluded</v>
      </c>
      <c r="I185" s="86"/>
      <c r="J185" s="86"/>
      <c r="K185" s="86"/>
      <c r="L185" s="86"/>
      <c r="M185" s="86"/>
      <c r="N185" s="86"/>
      <c r="O185" s="86"/>
      <c r="P185" s="86" t="b">
        <f t="shared" si="3"/>
        <v>0</v>
      </c>
      <c r="Q185" s="86">
        <f>COUNTIF(Licenses!$A:$A,C185)</f>
        <v>0</v>
      </c>
      <c r="R185" s="86"/>
      <c r="S185" s="87"/>
      <c r="T185" s="2"/>
      <c r="U185" s="2"/>
      <c r="V185" s="88" t="s">
        <v>100</v>
      </c>
      <c r="W185" s="88" t="s">
        <v>101</v>
      </c>
      <c r="X185" s="2"/>
      <c r="Y185" s="2"/>
      <c r="Z185" s="2"/>
    </row>
    <row r="186" ht="15.75" customHeight="1">
      <c r="A186" s="86"/>
      <c r="B186" s="86"/>
      <c r="C186" s="86"/>
      <c r="D186" s="86" t="str">
        <f>IFERROR(VLOOKUP(E186,Groups!$A:$I,3,FALSE()),"Unassigned")</f>
        <v>Unassigned</v>
      </c>
      <c r="E186" s="86"/>
      <c r="F186" s="86" t="str">
        <f>IFERROR(VLOOKUP(E186,Groups!$A:$I,2,FALSE()),"Unassigned")</f>
        <v>Unassigned</v>
      </c>
      <c r="G186" s="86" t="str">
        <f>IFERROR(VLOOKUP(E186,Groups!$A:$I,4,FALSE()),"Direct Reports")</f>
        <v>Direct Reports</v>
      </c>
      <c r="H186" s="86" t="str">
        <f t="shared" si="1"/>
        <v>Excluded</v>
      </c>
      <c r="I186" s="86"/>
      <c r="J186" s="86"/>
      <c r="K186" s="86"/>
      <c r="L186" s="86"/>
      <c r="M186" s="86"/>
      <c r="N186" s="86"/>
      <c r="O186" s="86"/>
      <c r="P186" s="86" t="b">
        <f t="shared" si="3"/>
        <v>0</v>
      </c>
      <c r="Q186" s="86">
        <f>COUNTIF(Licenses!$A:$A,C186)</f>
        <v>0</v>
      </c>
      <c r="R186" s="86"/>
      <c r="S186" s="87"/>
      <c r="T186" s="2"/>
      <c r="U186" s="2"/>
      <c r="V186" s="88" t="s">
        <v>100</v>
      </c>
      <c r="W186" s="88" t="s">
        <v>101</v>
      </c>
      <c r="X186" s="2"/>
      <c r="Y186" s="2"/>
      <c r="Z186" s="2"/>
    </row>
    <row r="187" ht="15.75" customHeight="1">
      <c r="A187" s="86"/>
      <c r="B187" s="86"/>
      <c r="C187" s="86"/>
      <c r="D187" s="86" t="str">
        <f>IFERROR(VLOOKUP(E187,Groups!$A:$I,3,FALSE()),"Unassigned")</f>
        <v>Unassigned</v>
      </c>
      <c r="E187" s="86"/>
      <c r="F187" s="86" t="str">
        <f>IFERROR(VLOOKUP(E187,Groups!$A:$I,2,FALSE()),"Unassigned")</f>
        <v>Unassigned</v>
      </c>
      <c r="G187" s="86" t="str">
        <f>IFERROR(VLOOKUP(E187,Groups!$A:$I,4,FALSE()),"Direct Reports")</f>
        <v>Direct Reports</v>
      </c>
      <c r="H187" s="86" t="str">
        <f t="shared" si="1"/>
        <v>Excluded</v>
      </c>
      <c r="I187" s="86"/>
      <c r="J187" s="86"/>
      <c r="K187" s="86"/>
      <c r="L187" s="86"/>
      <c r="M187" s="86"/>
      <c r="N187" s="86"/>
      <c r="O187" s="86"/>
      <c r="P187" s="86" t="b">
        <f t="shared" si="3"/>
        <v>0</v>
      </c>
      <c r="Q187" s="86">
        <f>COUNTIF(Licenses!$A:$A,C187)</f>
        <v>0</v>
      </c>
      <c r="R187" s="86"/>
      <c r="S187" s="87"/>
      <c r="T187" s="2"/>
      <c r="U187" s="2"/>
      <c r="V187" s="88" t="s">
        <v>100</v>
      </c>
      <c r="W187" s="88" t="s">
        <v>101</v>
      </c>
      <c r="X187" s="2"/>
      <c r="Y187" s="2"/>
      <c r="Z187" s="2"/>
    </row>
    <row r="188" ht="15.75" customHeight="1">
      <c r="A188" s="86"/>
      <c r="B188" s="86"/>
      <c r="C188" s="86"/>
      <c r="D188" s="86" t="str">
        <f>IFERROR(VLOOKUP(E188,Groups!$A:$I,3,FALSE()),"Unassigned")</f>
        <v>Unassigned</v>
      </c>
      <c r="E188" s="86"/>
      <c r="F188" s="86" t="str">
        <f>IFERROR(VLOOKUP(E188,Groups!$A:$I,2,FALSE()),"Unassigned")</f>
        <v>Unassigned</v>
      </c>
      <c r="G188" s="86" t="str">
        <f>IFERROR(VLOOKUP(E188,Groups!$A:$I,4,FALSE()),"Direct Reports")</f>
        <v>Direct Reports</v>
      </c>
      <c r="H188" s="86" t="str">
        <f t="shared" si="1"/>
        <v>Excluded</v>
      </c>
      <c r="I188" s="86"/>
      <c r="J188" s="86"/>
      <c r="K188" s="86"/>
      <c r="L188" s="86"/>
      <c r="M188" s="86"/>
      <c r="N188" s="86"/>
      <c r="O188" s="86"/>
      <c r="P188" s="86" t="b">
        <f t="shared" si="3"/>
        <v>0</v>
      </c>
      <c r="Q188" s="86">
        <f>COUNTIF(Licenses!$A:$A,C188)</f>
        <v>0</v>
      </c>
      <c r="R188" s="86"/>
      <c r="S188" s="87"/>
      <c r="T188" s="2"/>
      <c r="U188" s="2"/>
      <c r="V188" s="88" t="s">
        <v>100</v>
      </c>
      <c r="W188" s="88" t="s">
        <v>101</v>
      </c>
      <c r="X188" s="2"/>
      <c r="Y188" s="2"/>
      <c r="Z188" s="2"/>
    </row>
    <row r="189" ht="15.75" customHeight="1">
      <c r="A189" s="86"/>
      <c r="B189" s="86"/>
      <c r="C189" s="86"/>
      <c r="D189" s="86" t="str">
        <f>IFERROR(VLOOKUP(E189,Groups!$A:$I,3,FALSE()),"Unassigned")</f>
        <v>Unassigned</v>
      </c>
      <c r="E189" s="86"/>
      <c r="F189" s="86" t="str">
        <f>IFERROR(VLOOKUP(E189,Groups!$A:$I,2,FALSE()),"Unassigned")</f>
        <v>Unassigned</v>
      </c>
      <c r="G189" s="86" t="str">
        <f>IFERROR(VLOOKUP(E189,Groups!$A:$I,4,FALSE()),"Direct Reports")</f>
        <v>Direct Reports</v>
      </c>
      <c r="H189" s="86" t="str">
        <f t="shared" si="1"/>
        <v>Excluded</v>
      </c>
      <c r="I189" s="86"/>
      <c r="J189" s="86"/>
      <c r="K189" s="86"/>
      <c r="L189" s="86"/>
      <c r="M189" s="86"/>
      <c r="N189" s="86"/>
      <c r="O189" s="86"/>
      <c r="P189" s="86" t="b">
        <f t="shared" si="3"/>
        <v>0</v>
      </c>
      <c r="Q189" s="86">
        <f>COUNTIF(Licenses!$A:$A,C189)</f>
        <v>0</v>
      </c>
      <c r="R189" s="86"/>
      <c r="S189" s="87"/>
      <c r="T189" s="2"/>
      <c r="U189" s="2"/>
      <c r="V189" s="88" t="s">
        <v>100</v>
      </c>
      <c r="W189" s="88" t="s">
        <v>101</v>
      </c>
      <c r="X189" s="2"/>
      <c r="Y189" s="2"/>
      <c r="Z189" s="2"/>
    </row>
    <row r="190" ht="15.75" customHeight="1">
      <c r="A190" s="86"/>
      <c r="B190" s="86"/>
      <c r="C190" s="86"/>
      <c r="D190" s="86" t="str">
        <f>IFERROR(VLOOKUP(E190,Groups!$A:$I,3,FALSE()),"Unassigned")</f>
        <v>Unassigned</v>
      </c>
      <c r="E190" s="86"/>
      <c r="F190" s="86" t="str">
        <f>IFERROR(VLOOKUP(E190,Groups!$A:$I,2,FALSE()),"Unassigned")</f>
        <v>Unassigned</v>
      </c>
      <c r="G190" s="86" t="str">
        <f>IFERROR(VLOOKUP(E190,Groups!$A:$I,4,FALSE()),"Direct Reports")</f>
        <v>Direct Reports</v>
      </c>
      <c r="H190" s="86" t="str">
        <f t="shared" si="1"/>
        <v>Excluded</v>
      </c>
      <c r="I190" s="86"/>
      <c r="J190" s="86"/>
      <c r="K190" s="86"/>
      <c r="L190" s="86"/>
      <c r="M190" s="86"/>
      <c r="N190" s="86"/>
      <c r="O190" s="86"/>
      <c r="P190" s="86" t="b">
        <f t="shared" si="3"/>
        <v>0</v>
      </c>
      <c r="Q190" s="86">
        <f>COUNTIF(Licenses!$A:$A,C190)</f>
        <v>0</v>
      </c>
      <c r="R190" s="86"/>
      <c r="S190" s="87"/>
      <c r="T190" s="2"/>
      <c r="U190" s="2"/>
      <c r="V190" s="88" t="s">
        <v>100</v>
      </c>
      <c r="W190" s="88" t="s">
        <v>101</v>
      </c>
      <c r="X190" s="2"/>
      <c r="Y190" s="2"/>
      <c r="Z190" s="2"/>
    </row>
    <row r="191" ht="15.75" customHeight="1">
      <c r="A191" s="86"/>
      <c r="B191" s="86"/>
      <c r="C191" s="86"/>
      <c r="D191" s="86" t="str">
        <f>IFERROR(VLOOKUP(E191,Groups!$A:$I,3,FALSE()),"Unassigned")</f>
        <v>Unassigned</v>
      </c>
      <c r="E191" s="86"/>
      <c r="F191" s="86" t="str">
        <f>IFERROR(VLOOKUP(E191,Groups!$A:$I,2,FALSE()),"Unassigned")</f>
        <v>Unassigned</v>
      </c>
      <c r="G191" s="86" t="str">
        <f>IFERROR(VLOOKUP(E191,Groups!$A:$I,4,FALSE()),"Direct Reports")</f>
        <v>Direct Reports</v>
      </c>
      <c r="H191" s="86" t="str">
        <f t="shared" si="1"/>
        <v>Excluded</v>
      </c>
      <c r="I191" s="86"/>
      <c r="J191" s="86"/>
      <c r="K191" s="86"/>
      <c r="L191" s="86"/>
      <c r="M191" s="86"/>
      <c r="N191" s="86"/>
      <c r="O191" s="86"/>
      <c r="P191" s="86" t="b">
        <f t="shared" si="3"/>
        <v>0</v>
      </c>
      <c r="Q191" s="86">
        <f>COUNTIF(Licenses!$A:$A,C191)</f>
        <v>0</v>
      </c>
      <c r="R191" s="86"/>
      <c r="S191" s="87"/>
      <c r="T191" s="2"/>
      <c r="U191" s="2"/>
      <c r="V191" s="88" t="s">
        <v>100</v>
      </c>
      <c r="W191" s="88" t="s">
        <v>101</v>
      </c>
      <c r="X191" s="2"/>
      <c r="Y191" s="2"/>
      <c r="Z191" s="2"/>
    </row>
    <row r="192" ht="15.75" customHeight="1">
      <c r="A192" s="86"/>
      <c r="B192" s="86"/>
      <c r="C192" s="86"/>
      <c r="D192" s="86" t="str">
        <f>IFERROR(VLOOKUP(E192,Groups!$A:$I,3,FALSE()),"Unassigned")</f>
        <v>Unassigned</v>
      </c>
      <c r="E192" s="86"/>
      <c r="F192" s="86" t="str">
        <f>IFERROR(VLOOKUP(E192,Groups!$A:$I,2,FALSE()),"Unassigned")</f>
        <v>Unassigned</v>
      </c>
      <c r="G192" s="86" t="str">
        <f>IFERROR(VLOOKUP(E192,Groups!$A:$I,4,FALSE()),"Direct Reports")</f>
        <v>Direct Reports</v>
      </c>
      <c r="H192" s="86" t="str">
        <f t="shared" si="1"/>
        <v>Excluded</v>
      </c>
      <c r="I192" s="86"/>
      <c r="J192" s="86"/>
      <c r="K192" s="86"/>
      <c r="L192" s="86"/>
      <c r="M192" s="86"/>
      <c r="N192" s="86"/>
      <c r="O192" s="86"/>
      <c r="P192" s="86" t="b">
        <f t="shared" si="3"/>
        <v>0</v>
      </c>
      <c r="Q192" s="86">
        <f>COUNTIF(Licenses!$A:$A,C192)</f>
        <v>0</v>
      </c>
      <c r="R192" s="86"/>
      <c r="S192" s="87"/>
      <c r="T192" s="2"/>
      <c r="U192" s="2"/>
      <c r="V192" s="88" t="s">
        <v>100</v>
      </c>
      <c r="W192" s="88" t="s">
        <v>101</v>
      </c>
      <c r="X192" s="2"/>
      <c r="Y192" s="2"/>
      <c r="Z192" s="2"/>
    </row>
    <row r="193" ht="15.75" customHeight="1">
      <c r="A193" s="86"/>
      <c r="B193" s="86"/>
      <c r="C193" s="86"/>
      <c r="D193" s="86" t="str">
        <f>IFERROR(VLOOKUP(E193,Groups!$A:$I,3,FALSE()),"Unassigned")</f>
        <v>Unassigned</v>
      </c>
      <c r="E193" s="86"/>
      <c r="F193" s="86" t="str">
        <f>IFERROR(VLOOKUP(E193,Groups!$A:$I,2,FALSE()),"Unassigned")</f>
        <v>Unassigned</v>
      </c>
      <c r="G193" s="86" t="str">
        <f>IFERROR(VLOOKUP(E193,Groups!$A:$I,4,FALSE()),"Direct Reports")</f>
        <v>Direct Reports</v>
      </c>
      <c r="H193" s="86" t="str">
        <f t="shared" si="1"/>
        <v>Excluded</v>
      </c>
      <c r="I193" s="86"/>
      <c r="J193" s="86"/>
      <c r="K193" s="86"/>
      <c r="L193" s="86"/>
      <c r="M193" s="86"/>
      <c r="N193" s="86"/>
      <c r="O193" s="86"/>
      <c r="P193" s="86" t="b">
        <f t="shared" si="3"/>
        <v>0</v>
      </c>
      <c r="Q193" s="86">
        <f>COUNTIF(Licenses!$A:$A,C193)</f>
        <v>0</v>
      </c>
      <c r="R193" s="86"/>
      <c r="S193" s="87"/>
      <c r="T193" s="2"/>
      <c r="U193" s="2"/>
      <c r="V193" s="88" t="s">
        <v>100</v>
      </c>
      <c r="W193" s="88" t="s">
        <v>101</v>
      </c>
      <c r="X193" s="2"/>
      <c r="Y193" s="2"/>
      <c r="Z193" s="2"/>
    </row>
    <row r="194" ht="15.75" customHeight="1">
      <c r="A194" s="86"/>
      <c r="B194" s="86"/>
      <c r="C194" s="86"/>
      <c r="D194" s="86" t="str">
        <f>IFERROR(VLOOKUP(E194,Groups!$A:$I,3,FALSE()),"Unassigned")</f>
        <v>Unassigned</v>
      </c>
      <c r="E194" s="86"/>
      <c r="F194" s="86" t="str">
        <f>IFERROR(VLOOKUP(E194,Groups!$A:$I,2,FALSE()),"Unassigned")</f>
        <v>Unassigned</v>
      </c>
      <c r="G194" s="86" t="str">
        <f>IFERROR(VLOOKUP(E194,Groups!$A:$I,4,FALSE()),"Direct Reports")</f>
        <v>Direct Reports</v>
      </c>
      <c r="H194" s="86" t="str">
        <f t="shared" si="1"/>
        <v>Excluded</v>
      </c>
      <c r="I194" s="86"/>
      <c r="J194" s="86"/>
      <c r="K194" s="86"/>
      <c r="L194" s="86"/>
      <c r="M194" s="86"/>
      <c r="N194" s="86"/>
      <c r="O194" s="86"/>
      <c r="P194" s="86" t="b">
        <f t="shared" si="3"/>
        <v>0</v>
      </c>
      <c r="Q194" s="86">
        <f>COUNTIF(Licenses!$A:$A,C194)</f>
        <v>0</v>
      </c>
      <c r="R194" s="86"/>
      <c r="S194" s="87"/>
      <c r="T194" s="2"/>
      <c r="U194" s="2"/>
      <c r="V194" s="88" t="s">
        <v>100</v>
      </c>
      <c r="W194" s="88" t="s">
        <v>101</v>
      </c>
      <c r="X194" s="2"/>
      <c r="Y194" s="2"/>
      <c r="Z194" s="2"/>
    </row>
    <row r="195" ht="15.75" customHeight="1">
      <c r="A195" s="86"/>
      <c r="B195" s="86"/>
      <c r="C195" s="86"/>
      <c r="D195" s="86" t="str">
        <f>IFERROR(VLOOKUP(E195,Groups!$A:$I,3,FALSE()),"Unassigned")</f>
        <v>Unassigned</v>
      </c>
      <c r="E195" s="86"/>
      <c r="F195" s="86" t="str">
        <f>IFERROR(VLOOKUP(E195,Groups!$A:$I,2,FALSE()),"Unassigned")</f>
        <v>Unassigned</v>
      </c>
      <c r="G195" s="86" t="str">
        <f>IFERROR(VLOOKUP(E195,Groups!$A:$I,4,FALSE()),"Direct Reports")</f>
        <v>Direct Reports</v>
      </c>
      <c r="H195" s="86" t="str">
        <f t="shared" si="1"/>
        <v>Excluded</v>
      </c>
      <c r="I195" s="86"/>
      <c r="J195" s="86"/>
      <c r="K195" s="86"/>
      <c r="L195" s="86"/>
      <c r="M195" s="86"/>
      <c r="N195" s="86"/>
      <c r="O195" s="86"/>
      <c r="P195" s="86" t="b">
        <f t="shared" si="3"/>
        <v>0</v>
      </c>
      <c r="Q195" s="86">
        <f>COUNTIF(Licenses!$A:$A,C195)</f>
        <v>0</v>
      </c>
      <c r="R195" s="86"/>
      <c r="S195" s="87"/>
      <c r="T195" s="2"/>
      <c r="U195" s="2"/>
      <c r="V195" s="88" t="s">
        <v>100</v>
      </c>
      <c r="W195" s="88" t="s">
        <v>101</v>
      </c>
      <c r="X195" s="2"/>
      <c r="Y195" s="2"/>
      <c r="Z195" s="2"/>
    </row>
    <row r="196" ht="15.75" customHeight="1">
      <c r="A196" s="86"/>
      <c r="B196" s="86"/>
      <c r="C196" s="86"/>
      <c r="D196" s="86" t="str">
        <f>IFERROR(VLOOKUP(E196,Groups!$A:$I,3,FALSE()),"Unassigned")</f>
        <v>Unassigned</v>
      </c>
      <c r="E196" s="86"/>
      <c r="F196" s="86" t="str">
        <f>IFERROR(VLOOKUP(E196,Groups!$A:$I,2,FALSE()),"Unassigned")</f>
        <v>Unassigned</v>
      </c>
      <c r="G196" s="86" t="str">
        <f>IFERROR(VLOOKUP(E196,Groups!$A:$I,4,FALSE()),"Direct Reports")</f>
        <v>Direct Reports</v>
      </c>
      <c r="H196" s="86" t="str">
        <f t="shared" si="1"/>
        <v>Excluded</v>
      </c>
      <c r="I196" s="86"/>
      <c r="J196" s="86"/>
      <c r="K196" s="86"/>
      <c r="L196" s="86"/>
      <c r="M196" s="86"/>
      <c r="N196" s="86"/>
      <c r="O196" s="86"/>
      <c r="P196" s="86" t="b">
        <f t="shared" si="3"/>
        <v>0</v>
      </c>
      <c r="Q196" s="86">
        <f>COUNTIF(Licenses!$A:$A,C196)</f>
        <v>0</v>
      </c>
      <c r="R196" s="86"/>
      <c r="S196" s="87"/>
      <c r="T196" s="2"/>
      <c r="U196" s="2"/>
      <c r="V196" s="88" t="s">
        <v>100</v>
      </c>
      <c r="W196" s="88" t="s">
        <v>101</v>
      </c>
      <c r="X196" s="2"/>
      <c r="Y196" s="2"/>
      <c r="Z196" s="2"/>
    </row>
    <row r="197" ht="15.75" customHeight="1">
      <c r="A197" s="86"/>
      <c r="B197" s="86"/>
      <c r="C197" s="86"/>
      <c r="D197" s="86" t="str">
        <f>IFERROR(VLOOKUP(E197,Groups!$A:$I,3,FALSE()),"Unassigned")</f>
        <v>Unassigned</v>
      </c>
      <c r="E197" s="86"/>
      <c r="F197" s="86" t="str">
        <f>IFERROR(VLOOKUP(E197,Groups!$A:$I,2,FALSE()),"Unassigned")</f>
        <v>Unassigned</v>
      </c>
      <c r="G197" s="86" t="str">
        <f>IFERROR(VLOOKUP(E197,Groups!$A:$I,4,FALSE()),"Direct Reports")</f>
        <v>Direct Reports</v>
      </c>
      <c r="H197" s="86" t="str">
        <f t="shared" si="1"/>
        <v>Excluded</v>
      </c>
      <c r="I197" s="86"/>
      <c r="J197" s="86"/>
      <c r="K197" s="86"/>
      <c r="L197" s="86"/>
      <c r="M197" s="86"/>
      <c r="N197" s="86"/>
      <c r="O197" s="86"/>
      <c r="P197" s="86" t="b">
        <f t="shared" si="3"/>
        <v>0</v>
      </c>
      <c r="Q197" s="86">
        <f>COUNTIF(Licenses!$A:$A,C197)</f>
        <v>0</v>
      </c>
      <c r="R197" s="86"/>
      <c r="S197" s="87"/>
      <c r="T197" s="2"/>
      <c r="U197" s="2"/>
      <c r="V197" s="88" t="s">
        <v>100</v>
      </c>
      <c r="W197" s="88" t="s">
        <v>101</v>
      </c>
      <c r="X197" s="2"/>
      <c r="Y197" s="2"/>
      <c r="Z197" s="2"/>
    </row>
    <row r="198" ht="15.75" customHeight="1">
      <c r="A198" s="86"/>
      <c r="B198" s="86"/>
      <c r="C198" s="86"/>
      <c r="D198" s="86" t="str">
        <f>IFERROR(VLOOKUP(E198,Groups!$A:$I,3,FALSE()),"Unassigned")</f>
        <v>Unassigned</v>
      </c>
      <c r="E198" s="86"/>
      <c r="F198" s="86" t="str">
        <f>IFERROR(VLOOKUP(E198,Groups!$A:$I,2,FALSE()),"Unassigned")</f>
        <v>Unassigned</v>
      </c>
      <c r="G198" s="86" t="str">
        <f>IFERROR(VLOOKUP(E198,Groups!$A:$I,4,FALSE()),"Direct Reports")</f>
        <v>Direct Reports</v>
      </c>
      <c r="H198" s="86" t="str">
        <f t="shared" si="1"/>
        <v>Excluded</v>
      </c>
      <c r="I198" s="86"/>
      <c r="J198" s="86"/>
      <c r="K198" s="86"/>
      <c r="L198" s="86"/>
      <c r="M198" s="86"/>
      <c r="N198" s="86"/>
      <c r="O198" s="86"/>
      <c r="P198" s="86" t="b">
        <f t="shared" si="3"/>
        <v>0</v>
      </c>
      <c r="Q198" s="86">
        <f>COUNTIF(Licenses!$A:$A,C198)</f>
        <v>0</v>
      </c>
      <c r="R198" s="86"/>
      <c r="S198" s="87"/>
      <c r="T198" s="2"/>
      <c r="U198" s="2"/>
      <c r="V198" s="88" t="s">
        <v>100</v>
      </c>
      <c r="W198" s="88" t="s">
        <v>101</v>
      </c>
      <c r="X198" s="2"/>
      <c r="Y198" s="2"/>
      <c r="Z198" s="2"/>
    </row>
    <row r="199" ht="15.75" customHeight="1">
      <c r="A199" s="86"/>
      <c r="B199" s="86"/>
      <c r="C199" s="86"/>
      <c r="D199" s="86" t="str">
        <f>IFERROR(VLOOKUP(E199,Groups!$A:$I,3,FALSE()),"Unassigned")</f>
        <v>Unassigned</v>
      </c>
      <c r="E199" s="86"/>
      <c r="F199" s="86" t="str">
        <f>IFERROR(VLOOKUP(E199,Groups!$A:$I,2,FALSE()),"Unassigned")</f>
        <v>Unassigned</v>
      </c>
      <c r="G199" s="86" t="str">
        <f>IFERROR(VLOOKUP(E199,Groups!$A:$I,4,FALSE()),"Direct Reports")</f>
        <v>Direct Reports</v>
      </c>
      <c r="H199" s="86" t="str">
        <f t="shared" si="1"/>
        <v>Excluded</v>
      </c>
      <c r="I199" s="86"/>
      <c r="J199" s="86"/>
      <c r="K199" s="86"/>
      <c r="L199" s="86"/>
      <c r="M199" s="86"/>
      <c r="N199" s="86"/>
      <c r="O199" s="86"/>
      <c r="P199" s="86" t="b">
        <f t="shared" si="3"/>
        <v>0</v>
      </c>
      <c r="Q199" s="86">
        <f>COUNTIF(Licenses!$A:$A,C199)</f>
        <v>0</v>
      </c>
      <c r="R199" s="86"/>
      <c r="S199" s="87"/>
      <c r="T199" s="2"/>
      <c r="U199" s="2"/>
      <c r="V199" s="88" t="s">
        <v>100</v>
      </c>
      <c r="W199" s="88" t="s">
        <v>101</v>
      </c>
      <c r="X199" s="2"/>
      <c r="Y199" s="2"/>
      <c r="Z199" s="2"/>
    </row>
    <row r="200" ht="15.75" customHeight="1">
      <c r="A200" s="86"/>
      <c r="B200" s="86"/>
      <c r="C200" s="86"/>
      <c r="D200" s="86" t="str">
        <f>IFERROR(VLOOKUP(E200,Groups!$A:$I,3,FALSE()),"Unassigned")</f>
        <v>Unassigned</v>
      </c>
      <c r="E200" s="86"/>
      <c r="F200" s="86" t="str">
        <f>IFERROR(VLOOKUP(E200,Groups!$A:$I,2,FALSE()),"Unassigned")</f>
        <v>Unassigned</v>
      </c>
      <c r="G200" s="86" t="str">
        <f>IFERROR(VLOOKUP(E200,Groups!$A:$I,4,FALSE()),"Direct Reports")</f>
        <v>Direct Reports</v>
      </c>
      <c r="H200" s="86" t="str">
        <f t="shared" si="1"/>
        <v>Excluded</v>
      </c>
      <c r="I200" s="86"/>
      <c r="J200" s="86"/>
      <c r="K200" s="86"/>
      <c r="L200" s="86"/>
      <c r="M200" s="86"/>
      <c r="N200" s="86"/>
      <c r="O200" s="86"/>
      <c r="P200" s="86" t="b">
        <f t="shared" si="3"/>
        <v>0</v>
      </c>
      <c r="Q200" s="86">
        <f>COUNTIF(Licenses!$A:$A,C200)</f>
        <v>0</v>
      </c>
      <c r="R200" s="86"/>
      <c r="S200" s="87"/>
      <c r="T200" s="2"/>
      <c r="U200" s="2"/>
      <c r="V200" s="88" t="s">
        <v>100</v>
      </c>
      <c r="W200" s="88" t="s">
        <v>101</v>
      </c>
      <c r="X200" s="2"/>
      <c r="Y200" s="2"/>
      <c r="Z200" s="2"/>
    </row>
    <row r="201" ht="15.75" customHeight="1">
      <c r="A201" s="86"/>
      <c r="B201" s="86"/>
      <c r="C201" s="86"/>
      <c r="D201" s="86" t="str">
        <f>IFERROR(VLOOKUP(E201,Groups!$A:$I,3,FALSE()),"Unassigned")</f>
        <v>Unassigned</v>
      </c>
      <c r="E201" s="86"/>
      <c r="F201" s="86" t="str">
        <f>IFERROR(VLOOKUP(E201,Groups!$A:$I,2,FALSE()),"Unassigned")</f>
        <v>Unassigned</v>
      </c>
      <c r="G201" s="86" t="str">
        <f>IFERROR(VLOOKUP(E201,Groups!$A:$I,4,FALSE()),"Direct Reports")</f>
        <v>Direct Reports</v>
      </c>
      <c r="H201" s="86" t="str">
        <f t="shared" si="1"/>
        <v>Excluded</v>
      </c>
      <c r="I201" s="86"/>
      <c r="J201" s="86"/>
      <c r="K201" s="86"/>
      <c r="L201" s="86"/>
      <c r="M201" s="86"/>
      <c r="N201" s="86"/>
      <c r="O201" s="86"/>
      <c r="P201" s="86" t="b">
        <f t="shared" si="3"/>
        <v>0</v>
      </c>
      <c r="Q201" s="86">
        <f>COUNTIF(Licenses!$A:$A,C201)</f>
        <v>0</v>
      </c>
      <c r="R201" s="86"/>
      <c r="S201" s="87"/>
      <c r="T201" s="2"/>
      <c r="U201" s="2"/>
      <c r="V201" s="88" t="s">
        <v>100</v>
      </c>
      <c r="W201" s="88" t="s">
        <v>101</v>
      </c>
      <c r="X201" s="2"/>
      <c r="Y201" s="2"/>
      <c r="Z201" s="2"/>
    </row>
    <row r="202" ht="15.75" customHeight="1">
      <c r="A202" s="86"/>
      <c r="B202" s="86"/>
      <c r="C202" s="86"/>
      <c r="D202" s="86" t="str">
        <f>IFERROR(VLOOKUP(E202,Groups!$A:$I,3,FALSE()),"Unassigned")</f>
        <v>Unassigned</v>
      </c>
      <c r="E202" s="86"/>
      <c r="F202" s="86" t="str">
        <f>IFERROR(VLOOKUP(E202,Groups!$A:$I,2,FALSE()),"Unassigned")</f>
        <v>Unassigned</v>
      </c>
      <c r="G202" s="86" t="str">
        <f>IFERROR(VLOOKUP(E202,Groups!$A:$I,4,FALSE()),"Direct Reports")</f>
        <v>Direct Reports</v>
      </c>
      <c r="H202" s="86" t="str">
        <f t="shared" si="1"/>
        <v>Excluded</v>
      </c>
      <c r="I202" s="86"/>
      <c r="J202" s="86"/>
      <c r="K202" s="86"/>
      <c r="L202" s="86"/>
      <c r="M202" s="86"/>
      <c r="N202" s="86"/>
      <c r="O202" s="86"/>
      <c r="P202" s="86" t="b">
        <f t="shared" si="3"/>
        <v>0</v>
      </c>
      <c r="Q202" s="86">
        <f>COUNTIF(Licenses!$A:$A,C202)</f>
        <v>0</v>
      </c>
      <c r="R202" s="86"/>
      <c r="S202" s="87"/>
      <c r="T202" s="2"/>
      <c r="U202" s="2"/>
      <c r="V202" s="88" t="s">
        <v>100</v>
      </c>
      <c r="W202" s="88" t="s">
        <v>101</v>
      </c>
      <c r="X202" s="2"/>
      <c r="Y202" s="2"/>
      <c r="Z202" s="2"/>
    </row>
    <row r="203" ht="15.75" customHeight="1">
      <c r="A203" s="86"/>
      <c r="B203" s="86"/>
      <c r="C203" s="86"/>
      <c r="D203" s="86" t="str">
        <f>IFERROR(VLOOKUP(E203,Groups!$A:$I,3,FALSE()),"Unassigned")</f>
        <v>Unassigned</v>
      </c>
      <c r="E203" s="86"/>
      <c r="F203" s="86" t="str">
        <f>IFERROR(VLOOKUP(E203,Groups!$A:$I,2,FALSE()),"Unassigned")</f>
        <v>Unassigned</v>
      </c>
      <c r="G203" s="86" t="str">
        <f>IFERROR(VLOOKUP(E203,Groups!$A:$I,4,FALSE()),"Direct Reports")</f>
        <v>Direct Reports</v>
      </c>
      <c r="H203" s="86" t="str">
        <f t="shared" si="1"/>
        <v>Excluded</v>
      </c>
      <c r="I203" s="86"/>
      <c r="J203" s="86"/>
      <c r="K203" s="86"/>
      <c r="L203" s="86"/>
      <c r="M203" s="86"/>
      <c r="N203" s="86"/>
      <c r="O203" s="86"/>
      <c r="P203" s="86" t="b">
        <f t="shared" si="3"/>
        <v>0</v>
      </c>
      <c r="Q203" s="86">
        <f>COUNTIF(Licenses!$A:$A,C203)</f>
        <v>0</v>
      </c>
      <c r="R203" s="86"/>
      <c r="S203" s="87"/>
      <c r="T203" s="2"/>
      <c r="U203" s="2"/>
      <c r="V203" s="88" t="s">
        <v>100</v>
      </c>
      <c r="W203" s="88" t="s">
        <v>101</v>
      </c>
      <c r="X203" s="2"/>
      <c r="Y203" s="2"/>
      <c r="Z203" s="2"/>
    </row>
    <row r="204" ht="15.75" customHeight="1">
      <c r="A204" s="86"/>
      <c r="B204" s="86"/>
      <c r="C204" s="86"/>
      <c r="D204" s="86" t="str">
        <f>IFERROR(VLOOKUP(E204,Groups!$A:$I,3,FALSE()),"Unassigned")</f>
        <v>Unassigned</v>
      </c>
      <c r="E204" s="86"/>
      <c r="F204" s="86" t="str">
        <f>IFERROR(VLOOKUP(E204,Groups!$A:$I,2,FALSE()),"Unassigned")</f>
        <v>Unassigned</v>
      </c>
      <c r="G204" s="86" t="str">
        <f>IFERROR(VLOOKUP(E204,Groups!$A:$I,4,FALSE()),"Direct Reports")</f>
        <v>Direct Reports</v>
      </c>
      <c r="H204" s="86" t="str">
        <f t="shared" si="1"/>
        <v>Excluded</v>
      </c>
      <c r="I204" s="86"/>
      <c r="J204" s="86"/>
      <c r="K204" s="86"/>
      <c r="L204" s="86"/>
      <c r="M204" s="86"/>
      <c r="N204" s="86"/>
      <c r="O204" s="86"/>
      <c r="P204" s="86" t="b">
        <f t="shared" si="3"/>
        <v>0</v>
      </c>
      <c r="Q204" s="86">
        <f>COUNTIF(Licenses!$A:$A,C204)</f>
        <v>0</v>
      </c>
      <c r="R204" s="86"/>
      <c r="S204" s="87"/>
      <c r="T204" s="2"/>
      <c r="U204" s="2"/>
      <c r="V204" s="88" t="s">
        <v>100</v>
      </c>
      <c r="W204" s="88" t="s">
        <v>101</v>
      </c>
      <c r="X204" s="2"/>
      <c r="Y204" s="2"/>
      <c r="Z204" s="2"/>
    </row>
    <row r="205" ht="15.75" customHeight="1">
      <c r="A205" s="86"/>
      <c r="B205" s="86"/>
      <c r="C205" s="86"/>
      <c r="D205" s="86" t="str">
        <f>IFERROR(VLOOKUP(E205,Groups!$A:$I,3,FALSE()),"Unassigned")</f>
        <v>Unassigned</v>
      </c>
      <c r="E205" s="86"/>
      <c r="F205" s="86" t="str">
        <f>IFERROR(VLOOKUP(E205,Groups!$A:$I,2,FALSE()),"Unassigned")</f>
        <v>Unassigned</v>
      </c>
      <c r="G205" s="86" t="str">
        <f>IFERROR(VLOOKUP(E205,Groups!$A:$I,4,FALSE()),"Direct Reports")</f>
        <v>Direct Reports</v>
      </c>
      <c r="H205" s="86" t="str">
        <f t="shared" si="1"/>
        <v>Excluded</v>
      </c>
      <c r="I205" s="86"/>
      <c r="J205" s="86"/>
      <c r="K205" s="86"/>
      <c r="L205" s="86"/>
      <c r="M205" s="86"/>
      <c r="N205" s="86"/>
      <c r="O205" s="86"/>
      <c r="P205" s="86" t="b">
        <f t="shared" si="3"/>
        <v>0</v>
      </c>
      <c r="Q205" s="86">
        <f>COUNTIF(Licenses!$A:$A,C205)</f>
        <v>0</v>
      </c>
      <c r="R205" s="86"/>
      <c r="S205" s="87"/>
      <c r="T205" s="2"/>
      <c r="U205" s="2"/>
      <c r="V205" s="88" t="s">
        <v>100</v>
      </c>
      <c r="W205" s="88" t="s">
        <v>101</v>
      </c>
      <c r="X205" s="2"/>
      <c r="Y205" s="2"/>
      <c r="Z205" s="2"/>
    </row>
    <row r="206" ht="15.75" customHeight="1">
      <c r="A206" s="86"/>
      <c r="B206" s="86"/>
      <c r="C206" s="86"/>
      <c r="D206" s="86" t="str">
        <f>IFERROR(VLOOKUP(E206,Groups!$A:$I,3,FALSE()),"Unassigned")</f>
        <v>Unassigned</v>
      </c>
      <c r="E206" s="86"/>
      <c r="F206" s="86" t="str">
        <f>IFERROR(VLOOKUP(E206,Groups!$A:$I,2,FALSE()),"Unassigned")</f>
        <v>Unassigned</v>
      </c>
      <c r="G206" s="86" t="str">
        <f>IFERROR(VLOOKUP(E206,Groups!$A:$I,4,FALSE()),"Direct Reports")</f>
        <v>Direct Reports</v>
      </c>
      <c r="H206" s="86" t="str">
        <f t="shared" si="1"/>
        <v>Excluded</v>
      </c>
      <c r="I206" s="86"/>
      <c r="J206" s="86"/>
      <c r="K206" s="86"/>
      <c r="L206" s="86"/>
      <c r="M206" s="86"/>
      <c r="N206" s="86"/>
      <c r="O206" s="86"/>
      <c r="P206" s="86" t="b">
        <f t="shared" si="3"/>
        <v>0</v>
      </c>
      <c r="Q206" s="86">
        <f>COUNTIF(Licenses!$A:$A,C206)</f>
        <v>0</v>
      </c>
      <c r="R206" s="86"/>
      <c r="S206" s="87"/>
      <c r="T206" s="2"/>
      <c r="U206" s="2"/>
      <c r="V206" s="88" t="s">
        <v>100</v>
      </c>
      <c r="W206" s="88" t="s">
        <v>101</v>
      </c>
      <c r="X206" s="2"/>
      <c r="Y206" s="2"/>
      <c r="Z206" s="2"/>
    </row>
    <row r="207" ht="15.75" customHeight="1">
      <c r="A207" s="86"/>
      <c r="B207" s="86"/>
      <c r="C207" s="86"/>
      <c r="D207" s="86" t="str">
        <f>IFERROR(VLOOKUP(E207,Groups!$A:$I,3,FALSE()),"Unassigned")</f>
        <v>Unassigned</v>
      </c>
      <c r="E207" s="86"/>
      <c r="F207" s="86" t="str">
        <f>IFERROR(VLOOKUP(E207,Groups!$A:$I,2,FALSE()),"Unassigned")</f>
        <v>Unassigned</v>
      </c>
      <c r="G207" s="86" t="str">
        <f>IFERROR(VLOOKUP(E207,Groups!$A:$I,4,FALSE()),"Direct Reports")</f>
        <v>Direct Reports</v>
      </c>
      <c r="H207" s="86" t="str">
        <f t="shared" si="1"/>
        <v>Excluded</v>
      </c>
      <c r="I207" s="86"/>
      <c r="J207" s="86"/>
      <c r="K207" s="86"/>
      <c r="L207" s="86"/>
      <c r="M207" s="86"/>
      <c r="N207" s="86"/>
      <c r="O207" s="86"/>
      <c r="P207" s="86" t="b">
        <f t="shared" si="3"/>
        <v>0</v>
      </c>
      <c r="Q207" s="86">
        <f>COUNTIF(Licenses!$A:$A,C207)</f>
        <v>0</v>
      </c>
      <c r="R207" s="86"/>
      <c r="S207" s="87"/>
      <c r="T207" s="2"/>
      <c r="U207" s="2"/>
      <c r="V207" s="88" t="s">
        <v>100</v>
      </c>
      <c r="W207" s="88" t="s">
        <v>101</v>
      </c>
      <c r="X207" s="2"/>
      <c r="Y207" s="2"/>
      <c r="Z207" s="2"/>
    </row>
    <row r="208" ht="15.75" customHeight="1">
      <c r="A208" s="86"/>
      <c r="B208" s="86"/>
      <c r="C208" s="86"/>
      <c r="D208" s="86" t="str">
        <f>IFERROR(VLOOKUP(E208,Groups!$A:$I,3,FALSE()),"Unassigned")</f>
        <v>Unassigned</v>
      </c>
      <c r="E208" s="86"/>
      <c r="F208" s="86" t="str">
        <f>IFERROR(VLOOKUP(E208,Groups!$A:$I,2,FALSE()),"Unassigned")</f>
        <v>Unassigned</v>
      </c>
      <c r="G208" s="86" t="str">
        <f>IFERROR(VLOOKUP(E208,Groups!$A:$I,4,FALSE()),"Direct Reports")</f>
        <v>Direct Reports</v>
      </c>
      <c r="H208" s="86" t="str">
        <f t="shared" si="1"/>
        <v>Excluded</v>
      </c>
      <c r="I208" s="86"/>
      <c r="J208" s="86"/>
      <c r="K208" s="86"/>
      <c r="L208" s="86"/>
      <c r="M208" s="86"/>
      <c r="N208" s="86"/>
      <c r="O208" s="86"/>
      <c r="P208" s="86" t="b">
        <f t="shared" si="3"/>
        <v>0</v>
      </c>
      <c r="Q208" s="86">
        <f>COUNTIF(Licenses!$A:$A,C208)</f>
        <v>0</v>
      </c>
      <c r="R208" s="86"/>
      <c r="S208" s="87"/>
      <c r="T208" s="2"/>
      <c r="U208" s="2"/>
      <c r="V208" s="88" t="s">
        <v>100</v>
      </c>
      <c r="W208" s="88" t="s">
        <v>101</v>
      </c>
      <c r="X208" s="2"/>
      <c r="Y208" s="2"/>
      <c r="Z208" s="2"/>
    </row>
    <row r="209" ht="15.75" customHeight="1">
      <c r="A209" s="86"/>
      <c r="B209" s="86"/>
      <c r="C209" s="86"/>
      <c r="D209" s="86" t="str">
        <f>IFERROR(VLOOKUP(E209,Groups!$A:$I,3,FALSE()),"Unassigned")</f>
        <v>Unassigned</v>
      </c>
      <c r="E209" s="86"/>
      <c r="F209" s="86" t="str">
        <f>IFERROR(VLOOKUP(E209,Groups!$A:$I,2,FALSE()),"Unassigned")</f>
        <v>Unassigned</v>
      </c>
      <c r="G209" s="86" t="str">
        <f>IFERROR(VLOOKUP(E209,Groups!$A:$I,4,FALSE()),"Direct Reports")</f>
        <v>Direct Reports</v>
      </c>
      <c r="H209" s="86" t="str">
        <f t="shared" si="1"/>
        <v>Excluded</v>
      </c>
      <c r="I209" s="86"/>
      <c r="J209" s="86"/>
      <c r="K209" s="86"/>
      <c r="L209" s="86"/>
      <c r="M209" s="86"/>
      <c r="N209" s="86"/>
      <c r="O209" s="86"/>
      <c r="P209" s="86" t="b">
        <f t="shared" si="3"/>
        <v>0</v>
      </c>
      <c r="Q209" s="86">
        <f>COUNTIF(Licenses!$A:$A,C209)</f>
        <v>0</v>
      </c>
      <c r="R209" s="86"/>
      <c r="S209" s="87"/>
      <c r="T209" s="2"/>
      <c r="U209" s="2"/>
      <c r="V209" s="88" t="s">
        <v>100</v>
      </c>
      <c r="W209" s="88" t="s">
        <v>101</v>
      </c>
      <c r="X209" s="2"/>
      <c r="Y209" s="2"/>
      <c r="Z209" s="2"/>
    </row>
    <row r="210" ht="15.75" customHeight="1">
      <c r="A210" s="86"/>
      <c r="B210" s="86"/>
      <c r="C210" s="86"/>
      <c r="D210" s="86" t="str">
        <f>IFERROR(VLOOKUP(E210,Groups!$A:$I,3,FALSE()),"Unassigned")</f>
        <v>Unassigned</v>
      </c>
      <c r="E210" s="86"/>
      <c r="F210" s="86" t="str">
        <f>IFERROR(VLOOKUP(E210,Groups!$A:$I,2,FALSE()),"Unassigned")</f>
        <v>Unassigned</v>
      </c>
      <c r="G210" s="86" t="str">
        <f>IFERROR(VLOOKUP(E210,Groups!$A:$I,4,FALSE()),"Direct Reports")</f>
        <v>Direct Reports</v>
      </c>
      <c r="H210" s="86" t="str">
        <f t="shared" si="1"/>
        <v>Excluded</v>
      </c>
      <c r="I210" s="86"/>
      <c r="J210" s="86"/>
      <c r="K210" s="86"/>
      <c r="L210" s="86"/>
      <c r="M210" s="86"/>
      <c r="N210" s="86"/>
      <c r="O210" s="86"/>
      <c r="P210" s="86" t="b">
        <f t="shared" si="3"/>
        <v>0</v>
      </c>
      <c r="Q210" s="86">
        <f>COUNTIF(Licenses!$A:$A,C210)</f>
        <v>0</v>
      </c>
      <c r="R210" s="86"/>
      <c r="S210" s="87"/>
      <c r="T210" s="2"/>
      <c r="U210" s="2"/>
      <c r="V210" s="88" t="s">
        <v>100</v>
      </c>
      <c r="W210" s="88" t="s">
        <v>101</v>
      </c>
      <c r="X210" s="2"/>
      <c r="Y210" s="2"/>
      <c r="Z210" s="2"/>
    </row>
    <row r="211" ht="15.75" customHeight="1">
      <c r="A211" s="86"/>
      <c r="B211" s="86"/>
      <c r="C211" s="86"/>
      <c r="D211" s="86" t="str">
        <f>IFERROR(VLOOKUP(E211,Groups!$A:$I,3,FALSE()),"Unassigned")</f>
        <v>Unassigned</v>
      </c>
      <c r="E211" s="86"/>
      <c r="F211" s="86" t="str">
        <f>IFERROR(VLOOKUP(E211,Groups!$A:$I,2,FALSE()),"Unassigned")</f>
        <v>Unassigned</v>
      </c>
      <c r="G211" s="86" t="str">
        <f>IFERROR(VLOOKUP(E211,Groups!$A:$I,4,FALSE()),"Direct Reports")</f>
        <v>Direct Reports</v>
      </c>
      <c r="H211" s="86" t="str">
        <f t="shared" si="1"/>
        <v>Excluded</v>
      </c>
      <c r="I211" s="86"/>
      <c r="J211" s="86"/>
      <c r="K211" s="86"/>
      <c r="L211" s="86"/>
      <c r="M211" s="86"/>
      <c r="N211" s="86"/>
      <c r="O211" s="86"/>
      <c r="P211" s="86" t="b">
        <f t="shared" si="3"/>
        <v>0</v>
      </c>
      <c r="Q211" s="86">
        <f>COUNTIF(Licenses!$A:$A,C211)</f>
        <v>0</v>
      </c>
      <c r="R211" s="86"/>
      <c r="S211" s="87"/>
      <c r="T211" s="2"/>
      <c r="U211" s="2"/>
      <c r="V211" s="88" t="s">
        <v>100</v>
      </c>
      <c r="W211" s="88" t="s">
        <v>101</v>
      </c>
      <c r="X211" s="2"/>
      <c r="Y211" s="2"/>
      <c r="Z211" s="2"/>
    </row>
    <row r="212" ht="15.75" customHeight="1">
      <c r="A212" s="86"/>
      <c r="B212" s="86"/>
      <c r="C212" s="86"/>
      <c r="D212" s="86" t="str">
        <f>IFERROR(VLOOKUP(E212,Groups!$A:$I,3,FALSE()),"Unassigned")</f>
        <v>Unassigned</v>
      </c>
      <c r="E212" s="86"/>
      <c r="F212" s="86" t="str">
        <f>IFERROR(VLOOKUP(E212,Groups!$A:$I,2,FALSE()),"Unassigned")</f>
        <v>Unassigned</v>
      </c>
      <c r="G212" s="86" t="str">
        <f>IFERROR(VLOOKUP(E212,Groups!$A:$I,4,FALSE()),"Direct Reports")</f>
        <v>Direct Reports</v>
      </c>
      <c r="H212" s="86" t="str">
        <f t="shared" si="1"/>
        <v>Excluded</v>
      </c>
      <c r="I212" s="86"/>
      <c r="J212" s="86"/>
      <c r="K212" s="86"/>
      <c r="L212" s="86"/>
      <c r="M212" s="86"/>
      <c r="N212" s="86"/>
      <c r="O212" s="86"/>
      <c r="P212" s="86" t="b">
        <f t="shared" si="3"/>
        <v>0</v>
      </c>
      <c r="Q212" s="86">
        <f>COUNTIF(Licenses!$A:$A,C212)</f>
        <v>0</v>
      </c>
      <c r="R212" s="86"/>
      <c r="S212" s="87"/>
      <c r="T212" s="2"/>
      <c r="U212" s="2"/>
      <c r="V212" s="88" t="s">
        <v>100</v>
      </c>
      <c r="W212" s="88" t="s">
        <v>101</v>
      </c>
      <c r="X212" s="2"/>
      <c r="Y212" s="2"/>
      <c r="Z212" s="2"/>
    </row>
    <row r="213" ht="15.75" customHeight="1">
      <c r="A213" s="86"/>
      <c r="B213" s="86"/>
      <c r="C213" s="86"/>
      <c r="D213" s="86" t="str">
        <f>IFERROR(VLOOKUP(E213,Groups!$A:$I,3,FALSE()),"Unassigned")</f>
        <v>Unassigned</v>
      </c>
      <c r="E213" s="86"/>
      <c r="F213" s="86" t="str">
        <f>IFERROR(VLOOKUP(E213,Groups!$A:$I,2,FALSE()),"Unassigned")</f>
        <v>Unassigned</v>
      </c>
      <c r="G213" s="86" t="str">
        <f>IFERROR(VLOOKUP(E213,Groups!$A:$I,4,FALSE()),"Direct Reports")</f>
        <v>Direct Reports</v>
      </c>
      <c r="H213" s="86" t="str">
        <f t="shared" si="1"/>
        <v>Excluded</v>
      </c>
      <c r="I213" s="86"/>
      <c r="J213" s="86"/>
      <c r="K213" s="86"/>
      <c r="L213" s="86"/>
      <c r="M213" s="86"/>
      <c r="N213" s="86"/>
      <c r="O213" s="86"/>
      <c r="P213" s="86" t="b">
        <f t="shared" si="3"/>
        <v>0</v>
      </c>
      <c r="Q213" s="86">
        <f>COUNTIF(Licenses!$A:$A,C213)</f>
        <v>0</v>
      </c>
      <c r="R213" s="86"/>
      <c r="S213" s="87"/>
      <c r="T213" s="2"/>
      <c r="U213" s="2"/>
      <c r="V213" s="88" t="s">
        <v>100</v>
      </c>
      <c r="W213" s="88" t="s">
        <v>101</v>
      </c>
      <c r="X213" s="2"/>
      <c r="Y213" s="2"/>
      <c r="Z213" s="2"/>
    </row>
    <row r="214" ht="15.75" customHeight="1">
      <c r="A214" s="86"/>
      <c r="B214" s="86"/>
      <c r="C214" s="86"/>
      <c r="D214" s="86" t="str">
        <f>IFERROR(VLOOKUP(E214,Groups!$A:$I,3,FALSE()),"Unassigned")</f>
        <v>Unassigned</v>
      </c>
      <c r="E214" s="86"/>
      <c r="F214" s="86" t="str">
        <f>IFERROR(VLOOKUP(E214,Groups!$A:$I,2,FALSE()),"Unassigned")</f>
        <v>Unassigned</v>
      </c>
      <c r="G214" s="86" t="str">
        <f>IFERROR(VLOOKUP(E214,Groups!$A:$I,4,FALSE()),"Direct Reports")</f>
        <v>Direct Reports</v>
      </c>
      <c r="H214" s="86" t="str">
        <f t="shared" si="1"/>
        <v>Excluded</v>
      </c>
      <c r="I214" s="86"/>
      <c r="J214" s="86"/>
      <c r="K214" s="86"/>
      <c r="L214" s="86"/>
      <c r="M214" s="86"/>
      <c r="N214" s="86"/>
      <c r="O214" s="86"/>
      <c r="P214" s="86" t="b">
        <f t="shared" si="3"/>
        <v>0</v>
      </c>
      <c r="Q214" s="86">
        <f>COUNTIF(Licenses!$A:$A,C214)</f>
        <v>0</v>
      </c>
      <c r="R214" s="86"/>
      <c r="S214" s="87"/>
      <c r="T214" s="2"/>
      <c r="U214" s="2"/>
      <c r="V214" s="88" t="s">
        <v>100</v>
      </c>
      <c r="W214" s="88" t="s">
        <v>101</v>
      </c>
      <c r="X214" s="2"/>
      <c r="Y214" s="2"/>
      <c r="Z214" s="2"/>
    </row>
    <row r="215" ht="15.75" customHeight="1">
      <c r="A215" s="86"/>
      <c r="B215" s="86"/>
      <c r="C215" s="86"/>
      <c r="D215" s="86" t="str">
        <f>IFERROR(VLOOKUP(E215,Groups!$A:$I,3,FALSE()),"Unassigned")</f>
        <v>Unassigned</v>
      </c>
      <c r="E215" s="86"/>
      <c r="F215" s="86" t="str">
        <f>IFERROR(VLOOKUP(E215,Groups!$A:$I,2,FALSE()),"Unassigned")</f>
        <v>Unassigned</v>
      </c>
      <c r="G215" s="86" t="str">
        <f>IFERROR(VLOOKUP(E215,Groups!$A:$I,4,FALSE()),"Direct Reports")</f>
        <v>Direct Reports</v>
      </c>
      <c r="H215" s="86" t="str">
        <f t="shared" si="1"/>
        <v>Excluded</v>
      </c>
      <c r="I215" s="86"/>
      <c r="J215" s="86"/>
      <c r="K215" s="86"/>
      <c r="L215" s="86"/>
      <c r="M215" s="86"/>
      <c r="N215" s="86"/>
      <c r="O215" s="86"/>
      <c r="P215" s="86" t="b">
        <f t="shared" si="3"/>
        <v>0</v>
      </c>
      <c r="Q215" s="86">
        <f>COUNTIF(Licenses!$A:$A,C215)</f>
        <v>0</v>
      </c>
      <c r="R215" s="86"/>
      <c r="S215" s="87"/>
      <c r="T215" s="2"/>
      <c r="U215" s="2"/>
      <c r="V215" s="88" t="s">
        <v>100</v>
      </c>
      <c r="W215" s="88" t="s">
        <v>101</v>
      </c>
      <c r="X215" s="2"/>
      <c r="Y215" s="2"/>
      <c r="Z215" s="2"/>
    </row>
    <row r="216" ht="15.75" customHeight="1">
      <c r="A216" s="86"/>
      <c r="B216" s="86"/>
      <c r="C216" s="86"/>
      <c r="D216" s="86" t="str">
        <f>IFERROR(VLOOKUP(E216,Groups!$A:$I,3,FALSE()),"Unassigned")</f>
        <v>Unassigned</v>
      </c>
      <c r="E216" s="86"/>
      <c r="F216" s="86" t="str">
        <f>IFERROR(VLOOKUP(E216,Groups!$A:$I,2,FALSE()),"Unassigned")</f>
        <v>Unassigned</v>
      </c>
      <c r="G216" s="86" t="str">
        <f>IFERROR(VLOOKUP(E216,Groups!$A:$I,4,FALSE()),"Direct Reports")</f>
        <v>Direct Reports</v>
      </c>
      <c r="H216" s="86" t="str">
        <f t="shared" si="1"/>
        <v>Excluded</v>
      </c>
      <c r="I216" s="86"/>
      <c r="J216" s="86"/>
      <c r="K216" s="86"/>
      <c r="L216" s="86"/>
      <c r="M216" s="86"/>
      <c r="N216" s="86"/>
      <c r="O216" s="86"/>
      <c r="P216" s="86" t="b">
        <f t="shared" si="3"/>
        <v>0</v>
      </c>
      <c r="Q216" s="86">
        <f>COUNTIF(Licenses!$A:$A,C216)</f>
        <v>0</v>
      </c>
      <c r="R216" s="86"/>
      <c r="S216" s="87"/>
      <c r="T216" s="2"/>
      <c r="U216" s="2"/>
      <c r="V216" s="88" t="s">
        <v>100</v>
      </c>
      <c r="W216" s="88" t="s">
        <v>101</v>
      </c>
      <c r="X216" s="2"/>
      <c r="Y216" s="2"/>
      <c r="Z216" s="2"/>
    </row>
    <row r="217" ht="15.75" customHeight="1">
      <c r="A217" s="86"/>
      <c r="B217" s="86"/>
      <c r="C217" s="86"/>
      <c r="D217" s="86" t="str">
        <f>IFERROR(VLOOKUP(E217,Groups!$A:$I,3,FALSE()),"Unassigned")</f>
        <v>Unassigned</v>
      </c>
      <c r="E217" s="86"/>
      <c r="F217" s="86" t="str">
        <f>IFERROR(VLOOKUP(E217,Groups!$A:$I,2,FALSE()),"Unassigned")</f>
        <v>Unassigned</v>
      </c>
      <c r="G217" s="86" t="str">
        <f>IFERROR(VLOOKUP(E217,Groups!$A:$I,4,FALSE()),"Direct Reports")</f>
        <v>Direct Reports</v>
      </c>
      <c r="H217" s="86" t="str">
        <f t="shared" si="1"/>
        <v>Excluded</v>
      </c>
      <c r="I217" s="86"/>
      <c r="J217" s="86"/>
      <c r="K217" s="86"/>
      <c r="L217" s="86"/>
      <c r="M217" s="86"/>
      <c r="N217" s="86"/>
      <c r="O217" s="86"/>
      <c r="P217" s="86" t="b">
        <f t="shared" si="3"/>
        <v>0</v>
      </c>
      <c r="Q217" s="86">
        <f>COUNTIF(Licenses!$A:$A,C217)</f>
        <v>0</v>
      </c>
      <c r="R217" s="86"/>
      <c r="S217" s="87"/>
      <c r="T217" s="2"/>
      <c r="U217" s="2"/>
      <c r="V217" s="88" t="s">
        <v>100</v>
      </c>
      <c r="W217" s="88" t="s">
        <v>101</v>
      </c>
      <c r="X217" s="2"/>
      <c r="Y217" s="2"/>
      <c r="Z217" s="2"/>
    </row>
    <row r="218" ht="15.75" customHeight="1">
      <c r="A218" s="86"/>
      <c r="B218" s="86"/>
      <c r="C218" s="86"/>
      <c r="D218" s="86" t="str">
        <f>IFERROR(VLOOKUP(E218,Groups!$A:$I,3,FALSE()),"Unassigned")</f>
        <v>Unassigned</v>
      </c>
      <c r="E218" s="86"/>
      <c r="F218" s="86" t="str">
        <f>IFERROR(VLOOKUP(E218,Groups!$A:$I,2,FALSE()),"Unassigned")</f>
        <v>Unassigned</v>
      </c>
      <c r="G218" s="86" t="str">
        <f>IFERROR(VLOOKUP(E218,Groups!$A:$I,4,FALSE()),"Direct Reports")</f>
        <v>Direct Reports</v>
      </c>
      <c r="H218" s="86" t="str">
        <f t="shared" si="1"/>
        <v>Excluded</v>
      </c>
      <c r="I218" s="86"/>
      <c r="J218" s="86"/>
      <c r="K218" s="86"/>
      <c r="L218" s="86"/>
      <c r="M218" s="86"/>
      <c r="N218" s="86"/>
      <c r="O218" s="86"/>
      <c r="P218" s="86" t="b">
        <f t="shared" si="3"/>
        <v>0</v>
      </c>
      <c r="Q218" s="86">
        <f>COUNTIF(Licenses!$A:$A,C218)</f>
        <v>0</v>
      </c>
      <c r="R218" s="86"/>
      <c r="S218" s="87"/>
      <c r="T218" s="2"/>
      <c r="U218" s="2"/>
      <c r="V218" s="88" t="s">
        <v>100</v>
      </c>
      <c r="W218" s="88" t="s">
        <v>101</v>
      </c>
      <c r="X218" s="2"/>
      <c r="Y218" s="2"/>
      <c r="Z218" s="2"/>
    </row>
    <row r="219" ht="15.75" customHeight="1">
      <c r="A219" s="86"/>
      <c r="B219" s="86"/>
      <c r="C219" s="86"/>
      <c r="D219" s="86" t="str">
        <f>IFERROR(VLOOKUP(E219,Groups!$A:$I,3,FALSE()),"Unassigned")</f>
        <v>Unassigned</v>
      </c>
      <c r="E219" s="86"/>
      <c r="F219" s="86" t="str">
        <f>IFERROR(VLOOKUP(E219,Groups!$A:$I,2,FALSE()),"Unassigned")</f>
        <v>Unassigned</v>
      </c>
      <c r="G219" s="86" t="str">
        <f>IFERROR(VLOOKUP(E219,Groups!$A:$I,4,FALSE()),"Direct Reports")</f>
        <v>Direct Reports</v>
      </c>
      <c r="H219" s="86" t="str">
        <f t="shared" si="1"/>
        <v>Excluded</v>
      </c>
      <c r="I219" s="86"/>
      <c r="J219" s="86"/>
      <c r="K219" s="86"/>
      <c r="L219" s="86"/>
      <c r="M219" s="86"/>
      <c r="N219" s="86"/>
      <c r="O219" s="86"/>
      <c r="P219" s="86" t="b">
        <f t="shared" si="3"/>
        <v>0</v>
      </c>
      <c r="Q219" s="86">
        <f>COUNTIF(Licenses!$A:$A,C219)</f>
        <v>0</v>
      </c>
      <c r="R219" s="86"/>
      <c r="S219" s="87"/>
      <c r="T219" s="2"/>
      <c r="U219" s="2"/>
      <c r="V219" s="88" t="s">
        <v>100</v>
      </c>
      <c r="W219" s="88" t="s">
        <v>101</v>
      </c>
      <c r="X219" s="2"/>
      <c r="Y219" s="2"/>
      <c r="Z219" s="2"/>
    </row>
    <row r="220" ht="15.75" customHeight="1">
      <c r="A220" s="86"/>
      <c r="B220" s="86"/>
      <c r="C220" s="86"/>
      <c r="D220" s="86" t="str">
        <f>IFERROR(VLOOKUP(E220,Groups!$A:$I,3,FALSE()),"Unassigned")</f>
        <v>Unassigned</v>
      </c>
      <c r="E220" s="86"/>
      <c r="F220" s="86" t="str">
        <f>IFERROR(VLOOKUP(E220,Groups!$A:$I,2,FALSE()),"Unassigned")</f>
        <v>Unassigned</v>
      </c>
      <c r="G220" s="86" t="str">
        <f>IFERROR(VLOOKUP(E220,Groups!$A:$I,4,FALSE()),"Direct Reports")</f>
        <v>Direct Reports</v>
      </c>
      <c r="H220" s="86" t="str">
        <f t="shared" si="1"/>
        <v>Excluded</v>
      </c>
      <c r="I220" s="86"/>
      <c r="J220" s="86"/>
      <c r="K220" s="86"/>
      <c r="L220" s="86"/>
      <c r="M220" s="86"/>
      <c r="N220" s="86"/>
      <c r="O220" s="86"/>
      <c r="P220" s="86" t="b">
        <f t="shared" si="3"/>
        <v>0</v>
      </c>
      <c r="Q220" s="86">
        <f>COUNTIF(Licenses!$A:$A,C220)</f>
        <v>0</v>
      </c>
      <c r="R220" s="86"/>
      <c r="S220" s="87"/>
      <c r="T220" s="2"/>
      <c r="U220" s="2"/>
      <c r="V220" s="88" t="s">
        <v>100</v>
      </c>
      <c r="W220" s="88" t="s">
        <v>101</v>
      </c>
      <c r="X220" s="2"/>
      <c r="Y220" s="2"/>
      <c r="Z220" s="2"/>
    </row>
    <row r="221" ht="15.75" customHeight="1">
      <c r="A221" s="86"/>
      <c r="B221" s="86"/>
      <c r="C221" s="86"/>
      <c r="D221" s="86" t="str">
        <f>IFERROR(VLOOKUP(E221,Groups!$A:$I,3,FALSE()),"Unassigned")</f>
        <v>Unassigned</v>
      </c>
      <c r="E221" s="86"/>
      <c r="F221" s="86" t="str">
        <f>IFERROR(VLOOKUP(E221,Groups!$A:$I,2,FALSE()),"Unassigned")</f>
        <v>Unassigned</v>
      </c>
      <c r="G221" s="86" t="str">
        <f>IFERROR(VLOOKUP(E221,Groups!$A:$I,4,FALSE()),"Direct Reports")</f>
        <v>Direct Reports</v>
      </c>
      <c r="H221" s="86" t="str">
        <f t="shared" si="1"/>
        <v>Excluded</v>
      </c>
      <c r="I221" s="86"/>
      <c r="J221" s="86"/>
      <c r="K221" s="86"/>
      <c r="L221" s="86"/>
      <c r="M221" s="86"/>
      <c r="N221" s="86"/>
      <c r="O221" s="86"/>
      <c r="P221" s="86" t="b">
        <f t="shared" si="3"/>
        <v>0</v>
      </c>
      <c r="Q221" s="86">
        <f>COUNTIF(Licenses!$A:$A,C221)</f>
        <v>0</v>
      </c>
      <c r="R221" s="86"/>
      <c r="S221" s="87"/>
      <c r="T221" s="2"/>
      <c r="U221" s="2"/>
      <c r="V221" s="88" t="s">
        <v>100</v>
      </c>
      <c r="W221" s="88" t="s">
        <v>101</v>
      </c>
      <c r="X221" s="2"/>
      <c r="Y221" s="2"/>
      <c r="Z221" s="2"/>
    </row>
    <row r="222" ht="15.75" customHeight="1">
      <c r="A222" s="86"/>
      <c r="B222" s="86"/>
      <c r="C222" s="86"/>
      <c r="D222" s="86" t="str">
        <f>IFERROR(VLOOKUP(E222,Groups!$A:$I,3,FALSE()),"Unassigned")</f>
        <v>Unassigned</v>
      </c>
      <c r="E222" s="86"/>
      <c r="F222" s="86" t="str">
        <f>IFERROR(VLOOKUP(E222,Groups!$A:$I,2,FALSE()),"Unassigned")</f>
        <v>Unassigned</v>
      </c>
      <c r="G222" s="86" t="str">
        <f>IFERROR(VLOOKUP(E222,Groups!$A:$I,4,FALSE()),"Direct Reports")</f>
        <v>Direct Reports</v>
      </c>
      <c r="H222" s="86" t="str">
        <f t="shared" si="1"/>
        <v>Excluded</v>
      </c>
      <c r="I222" s="86"/>
      <c r="J222" s="86"/>
      <c r="K222" s="86"/>
      <c r="L222" s="86"/>
      <c r="M222" s="86"/>
      <c r="N222" s="86"/>
      <c r="O222" s="86"/>
      <c r="P222" s="86" t="b">
        <f t="shared" si="3"/>
        <v>0</v>
      </c>
      <c r="Q222" s="86">
        <f>COUNTIF(Licenses!$A:$A,C222)</f>
        <v>0</v>
      </c>
      <c r="R222" s="86"/>
      <c r="S222" s="87"/>
      <c r="T222" s="2"/>
      <c r="U222" s="2"/>
      <c r="V222" s="88" t="s">
        <v>100</v>
      </c>
      <c r="W222" s="88" t="s">
        <v>101</v>
      </c>
      <c r="X222" s="2"/>
      <c r="Y222" s="2"/>
      <c r="Z222" s="2"/>
    </row>
    <row r="223" ht="15.75" customHeight="1">
      <c r="A223" s="86"/>
      <c r="B223" s="86"/>
      <c r="C223" s="86"/>
      <c r="D223" s="86" t="str">
        <f>IFERROR(VLOOKUP(E223,Groups!$A:$I,3,FALSE()),"Unassigned")</f>
        <v>Unassigned</v>
      </c>
      <c r="E223" s="86"/>
      <c r="F223" s="86" t="str">
        <f>IFERROR(VLOOKUP(E223,Groups!$A:$I,2,FALSE()),"Unassigned")</f>
        <v>Unassigned</v>
      </c>
      <c r="G223" s="86" t="str">
        <f>IFERROR(VLOOKUP(E223,Groups!$A:$I,4,FALSE()),"Direct Reports")</f>
        <v>Direct Reports</v>
      </c>
      <c r="H223" s="86" t="str">
        <f t="shared" si="1"/>
        <v>Excluded</v>
      </c>
      <c r="I223" s="86"/>
      <c r="J223" s="86"/>
      <c r="K223" s="86"/>
      <c r="L223" s="86"/>
      <c r="M223" s="86"/>
      <c r="N223" s="86"/>
      <c r="O223" s="86"/>
      <c r="P223" s="86" t="b">
        <f t="shared" si="3"/>
        <v>0</v>
      </c>
      <c r="Q223" s="86">
        <f>COUNTIF(Licenses!$A:$A,C223)</f>
        <v>0</v>
      </c>
      <c r="R223" s="86"/>
      <c r="S223" s="87"/>
      <c r="T223" s="2"/>
      <c r="U223" s="2"/>
      <c r="V223" s="88" t="s">
        <v>100</v>
      </c>
      <c r="W223" s="88" t="s">
        <v>101</v>
      </c>
      <c r="X223" s="2"/>
      <c r="Y223" s="2"/>
      <c r="Z223" s="2"/>
    </row>
    <row r="224" ht="15.75" customHeight="1">
      <c r="A224" s="86"/>
      <c r="B224" s="86"/>
      <c r="C224" s="86"/>
      <c r="D224" s="86" t="str">
        <f>IFERROR(VLOOKUP(E224,Groups!$A:$I,3,FALSE()),"Unassigned")</f>
        <v>Unassigned</v>
      </c>
      <c r="E224" s="86"/>
      <c r="F224" s="86" t="str">
        <f>IFERROR(VLOOKUP(E224,Groups!$A:$I,2,FALSE()),"Unassigned")</f>
        <v>Unassigned</v>
      </c>
      <c r="G224" s="86" t="str">
        <f>IFERROR(VLOOKUP(E224,Groups!$A:$I,4,FALSE()),"Direct Reports")</f>
        <v>Direct Reports</v>
      </c>
      <c r="H224" s="86" t="str">
        <f t="shared" si="1"/>
        <v>Excluded</v>
      </c>
      <c r="I224" s="86"/>
      <c r="J224" s="86"/>
      <c r="K224" s="86"/>
      <c r="L224" s="86"/>
      <c r="M224" s="86"/>
      <c r="N224" s="86"/>
      <c r="O224" s="86"/>
      <c r="P224" s="86" t="b">
        <f t="shared" si="3"/>
        <v>0</v>
      </c>
      <c r="Q224" s="86">
        <f>COUNTIF(Licenses!$A:$A,C224)</f>
        <v>0</v>
      </c>
      <c r="R224" s="86"/>
      <c r="S224" s="87"/>
      <c r="T224" s="2"/>
      <c r="U224" s="2"/>
      <c r="V224" s="88" t="s">
        <v>100</v>
      </c>
      <c r="W224" s="88" t="s">
        <v>101</v>
      </c>
      <c r="X224" s="2"/>
      <c r="Y224" s="2"/>
      <c r="Z224" s="2"/>
    </row>
    <row r="225" ht="15.75" customHeight="1">
      <c r="A225" s="86"/>
      <c r="B225" s="86"/>
      <c r="C225" s="86"/>
      <c r="D225" s="86" t="str">
        <f>IFERROR(VLOOKUP(E225,Groups!$A:$I,3,FALSE()),"Unassigned")</f>
        <v>Unassigned</v>
      </c>
      <c r="E225" s="86"/>
      <c r="F225" s="86" t="str">
        <f>IFERROR(VLOOKUP(E225,Groups!$A:$I,2,FALSE()),"Unassigned")</f>
        <v>Unassigned</v>
      </c>
      <c r="G225" s="86" t="str">
        <f>IFERROR(VLOOKUP(E225,Groups!$A:$I,4,FALSE()),"Direct Reports")</f>
        <v>Direct Reports</v>
      </c>
      <c r="H225" s="86" t="str">
        <f t="shared" si="1"/>
        <v>Excluded</v>
      </c>
      <c r="I225" s="86"/>
      <c r="J225" s="86"/>
      <c r="K225" s="86"/>
      <c r="L225" s="86"/>
      <c r="M225" s="86"/>
      <c r="N225" s="86"/>
      <c r="O225" s="86"/>
      <c r="P225" s="86" t="b">
        <f t="shared" si="3"/>
        <v>0</v>
      </c>
      <c r="Q225" s="86">
        <f>COUNTIF(Licenses!$A:$A,C225)</f>
        <v>0</v>
      </c>
      <c r="R225" s="86"/>
      <c r="S225" s="87"/>
      <c r="T225" s="2"/>
      <c r="U225" s="2"/>
      <c r="V225" s="88" t="s">
        <v>100</v>
      </c>
      <c r="W225" s="88" t="s">
        <v>101</v>
      </c>
      <c r="X225" s="2"/>
      <c r="Y225" s="2"/>
      <c r="Z225" s="2"/>
    </row>
    <row r="226" ht="15.75" customHeight="1">
      <c r="A226" s="86"/>
      <c r="B226" s="86"/>
      <c r="C226" s="86"/>
      <c r="D226" s="86" t="str">
        <f>IFERROR(VLOOKUP(E226,Groups!$A:$I,3,FALSE()),"Unassigned")</f>
        <v>Unassigned</v>
      </c>
      <c r="E226" s="86"/>
      <c r="F226" s="86" t="str">
        <f>IFERROR(VLOOKUP(E226,Groups!$A:$I,2,FALSE()),"Unassigned")</f>
        <v>Unassigned</v>
      </c>
      <c r="G226" s="86" t="str">
        <f>IFERROR(VLOOKUP(E226,Groups!$A:$I,4,FALSE()),"Direct Reports")</f>
        <v>Direct Reports</v>
      </c>
      <c r="H226" s="86" t="str">
        <f t="shared" si="1"/>
        <v>Excluded</v>
      </c>
      <c r="I226" s="86"/>
      <c r="J226" s="86"/>
      <c r="K226" s="86"/>
      <c r="L226" s="86"/>
      <c r="M226" s="86"/>
      <c r="N226" s="86"/>
      <c r="O226" s="86"/>
      <c r="P226" s="86" t="b">
        <f t="shared" si="3"/>
        <v>0</v>
      </c>
      <c r="Q226" s="86">
        <f>COUNTIF(Licenses!$A:$A,C226)</f>
        <v>0</v>
      </c>
      <c r="R226" s="86"/>
      <c r="S226" s="87"/>
      <c r="T226" s="2"/>
      <c r="U226" s="2"/>
      <c r="V226" s="88" t="s">
        <v>100</v>
      </c>
      <c r="W226" s="88" t="s">
        <v>101</v>
      </c>
      <c r="X226" s="2"/>
      <c r="Y226" s="2"/>
      <c r="Z226" s="2"/>
    </row>
    <row r="227" ht="15.75" customHeight="1">
      <c r="A227" s="86"/>
      <c r="B227" s="86"/>
      <c r="C227" s="86"/>
      <c r="D227" s="86" t="str">
        <f>IFERROR(VLOOKUP(E227,Groups!$A:$I,3,FALSE()),"Unassigned")</f>
        <v>Unassigned</v>
      </c>
      <c r="E227" s="86"/>
      <c r="F227" s="86" t="str">
        <f>IFERROR(VLOOKUP(E227,Groups!$A:$I,2,FALSE()),"Unassigned")</f>
        <v>Unassigned</v>
      </c>
      <c r="G227" s="86" t="str">
        <f>IFERROR(VLOOKUP(E227,Groups!$A:$I,4,FALSE()),"Direct Reports")</f>
        <v>Direct Reports</v>
      </c>
      <c r="H227" s="86" t="str">
        <f t="shared" si="1"/>
        <v>Excluded</v>
      </c>
      <c r="I227" s="86"/>
      <c r="J227" s="86"/>
      <c r="K227" s="86"/>
      <c r="L227" s="86"/>
      <c r="M227" s="86"/>
      <c r="N227" s="86"/>
      <c r="O227" s="86"/>
      <c r="P227" s="86" t="b">
        <f t="shared" si="3"/>
        <v>0</v>
      </c>
      <c r="Q227" s="86">
        <f>COUNTIF(Licenses!$A:$A,C227)</f>
        <v>0</v>
      </c>
      <c r="R227" s="86"/>
      <c r="S227" s="87"/>
      <c r="T227" s="2"/>
      <c r="U227" s="2"/>
      <c r="V227" s="88" t="s">
        <v>100</v>
      </c>
      <c r="W227" s="88" t="s">
        <v>101</v>
      </c>
      <c r="X227" s="2"/>
      <c r="Y227" s="2"/>
      <c r="Z227" s="2"/>
    </row>
    <row r="228" ht="15.75" customHeight="1">
      <c r="A228" s="86"/>
      <c r="B228" s="86"/>
      <c r="C228" s="86"/>
      <c r="D228" s="86" t="str">
        <f>IFERROR(VLOOKUP(E228,Groups!$A:$I,3,FALSE()),"Unassigned")</f>
        <v>Unassigned</v>
      </c>
      <c r="E228" s="86"/>
      <c r="F228" s="86" t="str">
        <f>IFERROR(VLOOKUP(E228,Groups!$A:$I,2,FALSE()),"Unassigned")</f>
        <v>Unassigned</v>
      </c>
      <c r="G228" s="86" t="str">
        <f>IFERROR(VLOOKUP(E228,Groups!$A:$I,4,FALSE()),"Direct Reports")</f>
        <v>Direct Reports</v>
      </c>
      <c r="H228" s="86" t="str">
        <f t="shared" si="1"/>
        <v>Excluded</v>
      </c>
      <c r="I228" s="86"/>
      <c r="J228" s="86"/>
      <c r="K228" s="86"/>
      <c r="L228" s="86"/>
      <c r="M228" s="86"/>
      <c r="N228" s="86"/>
      <c r="O228" s="86"/>
      <c r="P228" s="86" t="b">
        <f t="shared" si="3"/>
        <v>0</v>
      </c>
      <c r="Q228" s="86">
        <f>COUNTIF(Licenses!$A:$A,C228)</f>
        <v>0</v>
      </c>
      <c r="R228" s="86"/>
      <c r="S228" s="87"/>
      <c r="T228" s="2"/>
      <c r="U228" s="2"/>
      <c r="V228" s="88" t="s">
        <v>100</v>
      </c>
      <c r="W228" s="88" t="s">
        <v>101</v>
      </c>
      <c r="X228" s="2"/>
      <c r="Y228" s="2"/>
      <c r="Z228" s="2"/>
    </row>
    <row r="229" ht="15.75" customHeight="1">
      <c r="A229" s="86"/>
      <c r="B229" s="86"/>
      <c r="C229" s="86"/>
      <c r="D229" s="86" t="str">
        <f>IFERROR(VLOOKUP(E229,Groups!$A:$I,3,FALSE()),"Unassigned")</f>
        <v>Unassigned</v>
      </c>
      <c r="E229" s="86"/>
      <c r="F229" s="86" t="str">
        <f>IFERROR(VLOOKUP(E229,Groups!$A:$I,2,FALSE()),"Unassigned")</f>
        <v>Unassigned</v>
      </c>
      <c r="G229" s="86" t="str">
        <f>IFERROR(VLOOKUP(E229,Groups!$A:$I,4,FALSE()),"Direct Reports")</f>
        <v>Direct Reports</v>
      </c>
      <c r="H229" s="86" t="str">
        <f t="shared" si="1"/>
        <v>Excluded</v>
      </c>
      <c r="I229" s="86"/>
      <c r="J229" s="86"/>
      <c r="K229" s="86"/>
      <c r="L229" s="86"/>
      <c r="M229" s="86"/>
      <c r="N229" s="86"/>
      <c r="O229" s="86"/>
      <c r="P229" s="86" t="b">
        <f t="shared" si="3"/>
        <v>0</v>
      </c>
      <c r="Q229" s="86">
        <f>COUNTIF(Licenses!$A:$A,C229)</f>
        <v>0</v>
      </c>
      <c r="R229" s="86"/>
      <c r="S229" s="87"/>
      <c r="T229" s="2"/>
      <c r="U229" s="2"/>
      <c r="V229" s="88" t="s">
        <v>100</v>
      </c>
      <c r="W229" s="88" t="s">
        <v>101</v>
      </c>
      <c r="X229" s="2"/>
      <c r="Y229" s="2"/>
      <c r="Z229" s="2"/>
    </row>
    <row r="230" ht="15.75" customHeight="1">
      <c r="A230" s="86"/>
      <c r="B230" s="86"/>
      <c r="C230" s="86"/>
      <c r="D230" s="86" t="str">
        <f>IFERROR(VLOOKUP(E230,Groups!$A:$I,3,FALSE()),"Unassigned")</f>
        <v>Unassigned</v>
      </c>
      <c r="E230" s="86"/>
      <c r="F230" s="86" t="str">
        <f>IFERROR(VLOOKUP(E230,Groups!$A:$I,2,FALSE()),"Unassigned")</f>
        <v>Unassigned</v>
      </c>
      <c r="G230" s="86" t="str">
        <f>IFERROR(VLOOKUP(E230,Groups!$A:$I,4,FALSE()),"Direct Reports")</f>
        <v>Direct Reports</v>
      </c>
      <c r="H230" s="86" t="str">
        <f t="shared" si="1"/>
        <v>Excluded</v>
      </c>
      <c r="I230" s="86"/>
      <c r="J230" s="86"/>
      <c r="K230" s="86"/>
      <c r="L230" s="86"/>
      <c r="M230" s="86"/>
      <c r="N230" s="86"/>
      <c r="O230" s="86"/>
      <c r="P230" s="86" t="b">
        <f t="shared" si="3"/>
        <v>0</v>
      </c>
      <c r="Q230" s="86">
        <f>COUNTIF(Licenses!$A:$A,C230)</f>
        <v>0</v>
      </c>
      <c r="R230" s="86"/>
      <c r="S230" s="87"/>
      <c r="T230" s="2"/>
      <c r="U230" s="2"/>
      <c r="V230" s="88" t="s">
        <v>100</v>
      </c>
      <c r="W230" s="88" t="s">
        <v>101</v>
      </c>
      <c r="X230" s="2"/>
      <c r="Y230" s="2"/>
      <c r="Z230" s="2"/>
    </row>
    <row r="231" ht="15.75" customHeight="1">
      <c r="A231" s="86"/>
      <c r="B231" s="86"/>
      <c r="C231" s="86"/>
      <c r="D231" s="86" t="str">
        <f>IFERROR(VLOOKUP(E231,Groups!$A:$I,3,FALSE()),"Unassigned")</f>
        <v>Unassigned</v>
      </c>
      <c r="E231" s="86"/>
      <c r="F231" s="86" t="str">
        <f>IFERROR(VLOOKUP(E231,Groups!$A:$I,2,FALSE()),"Unassigned")</f>
        <v>Unassigned</v>
      </c>
      <c r="G231" s="86" t="str">
        <f>IFERROR(VLOOKUP(E231,Groups!$A:$I,4,FALSE()),"Direct Reports")</f>
        <v>Direct Reports</v>
      </c>
      <c r="H231" s="86" t="str">
        <f t="shared" si="1"/>
        <v>Excluded</v>
      </c>
      <c r="I231" s="86"/>
      <c r="J231" s="86"/>
      <c r="K231" s="86"/>
      <c r="L231" s="86"/>
      <c r="M231" s="86"/>
      <c r="N231" s="86"/>
      <c r="O231" s="86"/>
      <c r="P231" s="86" t="b">
        <f t="shared" si="3"/>
        <v>0</v>
      </c>
      <c r="Q231" s="86">
        <f>COUNTIF(Licenses!$A:$A,C231)</f>
        <v>0</v>
      </c>
      <c r="R231" s="86"/>
      <c r="S231" s="87"/>
      <c r="T231" s="2"/>
      <c r="U231" s="2"/>
      <c r="V231" s="88" t="s">
        <v>100</v>
      </c>
      <c r="W231" s="88" t="s">
        <v>101</v>
      </c>
      <c r="X231" s="2"/>
      <c r="Y231" s="2"/>
      <c r="Z231" s="2"/>
    </row>
    <row r="232" ht="15.75" customHeight="1">
      <c r="A232" s="86"/>
      <c r="B232" s="86"/>
      <c r="C232" s="86"/>
      <c r="D232" s="86" t="str">
        <f>IFERROR(VLOOKUP(E232,Groups!$A:$I,3,FALSE()),"Unassigned")</f>
        <v>Unassigned</v>
      </c>
      <c r="E232" s="86"/>
      <c r="F232" s="86" t="str">
        <f>IFERROR(VLOOKUP(E232,Groups!$A:$I,2,FALSE()),"Unassigned")</f>
        <v>Unassigned</v>
      </c>
      <c r="G232" s="86" t="str">
        <f>IFERROR(VLOOKUP(E232,Groups!$A:$I,4,FALSE()),"Direct Reports")</f>
        <v>Direct Reports</v>
      </c>
      <c r="H232" s="86" t="str">
        <f t="shared" si="1"/>
        <v>Excluded</v>
      </c>
      <c r="I232" s="86"/>
      <c r="J232" s="86"/>
      <c r="K232" s="86"/>
      <c r="L232" s="86"/>
      <c r="M232" s="86"/>
      <c r="N232" s="86"/>
      <c r="O232" s="86"/>
      <c r="P232" s="86" t="b">
        <f t="shared" si="3"/>
        <v>0</v>
      </c>
      <c r="Q232" s="86">
        <f>COUNTIF(Licenses!$A:$A,C232)</f>
        <v>0</v>
      </c>
      <c r="R232" s="86"/>
      <c r="S232" s="87"/>
      <c r="T232" s="2"/>
      <c r="U232" s="2"/>
      <c r="V232" s="88" t="s">
        <v>100</v>
      </c>
      <c r="W232" s="88" t="s">
        <v>101</v>
      </c>
      <c r="X232" s="2"/>
      <c r="Y232" s="2"/>
      <c r="Z232" s="2"/>
    </row>
    <row r="233" ht="15.75" customHeight="1">
      <c r="A233" s="86"/>
      <c r="B233" s="86"/>
      <c r="C233" s="86"/>
      <c r="D233" s="86" t="str">
        <f>IFERROR(VLOOKUP(E233,Groups!$A:$I,3,FALSE()),"Unassigned")</f>
        <v>Unassigned</v>
      </c>
      <c r="E233" s="86"/>
      <c r="F233" s="86" t="str">
        <f>IFERROR(VLOOKUP(E233,Groups!$A:$I,2,FALSE()),"Unassigned")</f>
        <v>Unassigned</v>
      </c>
      <c r="G233" s="86" t="str">
        <f>IFERROR(VLOOKUP(E233,Groups!$A:$I,4,FALSE()),"Direct Reports")</f>
        <v>Direct Reports</v>
      </c>
      <c r="H233" s="86" t="str">
        <f t="shared" si="1"/>
        <v>Excluded</v>
      </c>
      <c r="I233" s="86"/>
      <c r="J233" s="86"/>
      <c r="K233" s="86"/>
      <c r="L233" s="86"/>
      <c r="M233" s="86"/>
      <c r="N233" s="86"/>
      <c r="O233" s="86"/>
      <c r="P233" s="86" t="b">
        <f t="shared" si="3"/>
        <v>0</v>
      </c>
      <c r="Q233" s="86">
        <f>COUNTIF(Licenses!$A:$A,C233)</f>
        <v>0</v>
      </c>
      <c r="R233" s="86"/>
      <c r="S233" s="87"/>
      <c r="T233" s="2"/>
      <c r="U233" s="2"/>
      <c r="V233" s="88" t="s">
        <v>100</v>
      </c>
      <c r="W233" s="88" t="s">
        <v>101</v>
      </c>
      <c r="X233" s="2"/>
      <c r="Y233" s="2"/>
      <c r="Z233" s="2"/>
    </row>
    <row r="234" ht="15.75" customHeight="1">
      <c r="A234" s="86"/>
      <c r="B234" s="86"/>
      <c r="C234" s="86"/>
      <c r="D234" s="86" t="str">
        <f>IFERROR(VLOOKUP(E234,Groups!$A:$I,3,FALSE()),"Unassigned")</f>
        <v>Unassigned</v>
      </c>
      <c r="E234" s="86"/>
      <c r="F234" s="86" t="str">
        <f>IFERROR(VLOOKUP(E234,Groups!$A:$I,2,FALSE()),"Unassigned")</f>
        <v>Unassigned</v>
      </c>
      <c r="G234" s="86" t="str">
        <f>IFERROR(VLOOKUP(E234,Groups!$A:$I,4,FALSE()),"Direct Reports")</f>
        <v>Direct Reports</v>
      </c>
      <c r="H234" s="86" t="str">
        <f t="shared" si="1"/>
        <v>Excluded</v>
      </c>
      <c r="I234" s="86"/>
      <c r="J234" s="86"/>
      <c r="K234" s="86"/>
      <c r="L234" s="86"/>
      <c r="M234" s="86"/>
      <c r="N234" s="86"/>
      <c r="O234" s="86"/>
      <c r="P234" s="86" t="b">
        <f t="shared" si="3"/>
        <v>0</v>
      </c>
      <c r="Q234" s="86">
        <f>COUNTIF(Licenses!$A:$A,C234)</f>
        <v>0</v>
      </c>
      <c r="R234" s="86"/>
      <c r="S234" s="87"/>
      <c r="T234" s="2"/>
      <c r="U234" s="2"/>
      <c r="V234" s="88" t="s">
        <v>100</v>
      </c>
      <c r="W234" s="88" t="s">
        <v>101</v>
      </c>
      <c r="X234" s="2"/>
      <c r="Y234" s="2"/>
      <c r="Z234" s="2"/>
    </row>
    <row r="235" ht="15.75" customHeight="1">
      <c r="A235" s="86"/>
      <c r="B235" s="86"/>
      <c r="C235" s="86"/>
      <c r="D235" s="86" t="str">
        <f>IFERROR(VLOOKUP(E235,Groups!$A:$I,3,FALSE()),"Unassigned")</f>
        <v>Unassigned</v>
      </c>
      <c r="E235" s="86"/>
      <c r="F235" s="86" t="str">
        <f>IFERROR(VLOOKUP(E235,Groups!$A:$I,2,FALSE()),"Unassigned")</f>
        <v>Unassigned</v>
      </c>
      <c r="G235" s="86" t="str">
        <f>IFERROR(VLOOKUP(E235,Groups!$A:$I,4,FALSE()),"Direct Reports")</f>
        <v>Direct Reports</v>
      </c>
      <c r="H235" s="86" t="str">
        <f t="shared" si="1"/>
        <v>Excluded</v>
      </c>
      <c r="I235" s="86"/>
      <c r="J235" s="86"/>
      <c r="K235" s="86"/>
      <c r="L235" s="86"/>
      <c r="M235" s="86"/>
      <c r="N235" s="86"/>
      <c r="O235" s="86"/>
      <c r="P235" s="86" t="b">
        <f t="shared" si="3"/>
        <v>0</v>
      </c>
      <c r="Q235" s="86">
        <f>COUNTIF(Licenses!$A:$A,C235)</f>
        <v>0</v>
      </c>
      <c r="R235" s="86"/>
      <c r="S235" s="87"/>
      <c r="T235" s="2"/>
      <c r="U235" s="2"/>
      <c r="V235" s="88" t="s">
        <v>100</v>
      </c>
      <c r="W235" s="88" t="s">
        <v>101</v>
      </c>
      <c r="X235" s="2"/>
      <c r="Y235" s="2"/>
      <c r="Z235" s="2"/>
    </row>
    <row r="236" ht="15.75" customHeight="1">
      <c r="A236" s="86"/>
      <c r="B236" s="86"/>
      <c r="C236" s="86"/>
      <c r="D236" s="86" t="str">
        <f>IFERROR(VLOOKUP(E236,Groups!$A:$I,3,FALSE()),"Unassigned")</f>
        <v>Unassigned</v>
      </c>
      <c r="E236" s="86"/>
      <c r="F236" s="86" t="str">
        <f>IFERROR(VLOOKUP(E236,Groups!$A:$I,2,FALSE()),"Unassigned")</f>
        <v>Unassigned</v>
      </c>
      <c r="G236" s="86" t="str">
        <f>IFERROR(VLOOKUP(E236,Groups!$A:$I,4,FALSE()),"Direct Reports")</f>
        <v>Direct Reports</v>
      </c>
      <c r="H236" s="86" t="str">
        <f t="shared" si="1"/>
        <v>Excluded</v>
      </c>
      <c r="I236" s="86"/>
      <c r="J236" s="86"/>
      <c r="K236" s="86"/>
      <c r="L236" s="86"/>
      <c r="M236" s="86"/>
      <c r="N236" s="86"/>
      <c r="O236" s="86"/>
      <c r="P236" s="86" t="b">
        <f t="shared" si="3"/>
        <v>0</v>
      </c>
      <c r="Q236" s="86">
        <f>COUNTIF(Licenses!$A:$A,C236)</f>
        <v>0</v>
      </c>
      <c r="R236" s="86"/>
      <c r="S236" s="87"/>
      <c r="T236" s="2"/>
      <c r="U236" s="2"/>
      <c r="V236" s="88" t="s">
        <v>100</v>
      </c>
      <c r="W236" s="88" t="s">
        <v>101</v>
      </c>
      <c r="X236" s="2"/>
      <c r="Y236" s="2"/>
      <c r="Z236" s="2"/>
    </row>
    <row r="237" ht="15.75" customHeight="1">
      <c r="A237" s="86"/>
      <c r="B237" s="86"/>
      <c r="C237" s="86"/>
      <c r="D237" s="86" t="str">
        <f>IFERROR(VLOOKUP(E237,Groups!$A:$I,3,FALSE()),"Unassigned")</f>
        <v>Unassigned</v>
      </c>
      <c r="E237" s="86"/>
      <c r="F237" s="86" t="str">
        <f>IFERROR(VLOOKUP(E237,Groups!$A:$I,2,FALSE()),"Unassigned")</f>
        <v>Unassigned</v>
      </c>
      <c r="G237" s="86" t="str">
        <f>IFERROR(VLOOKUP(E237,Groups!$A:$I,4,FALSE()),"Direct Reports")</f>
        <v>Direct Reports</v>
      </c>
      <c r="H237" s="86" t="str">
        <f t="shared" si="1"/>
        <v>Excluded</v>
      </c>
      <c r="I237" s="86"/>
      <c r="J237" s="86"/>
      <c r="K237" s="86"/>
      <c r="L237" s="86"/>
      <c r="M237" s="86"/>
      <c r="N237" s="86"/>
      <c r="O237" s="86"/>
      <c r="P237" s="86" t="b">
        <f t="shared" si="3"/>
        <v>0</v>
      </c>
      <c r="Q237" s="86">
        <f>COUNTIF(Licenses!$A:$A,C237)</f>
        <v>0</v>
      </c>
      <c r="R237" s="86"/>
      <c r="S237" s="87"/>
      <c r="T237" s="2"/>
      <c r="U237" s="2"/>
      <c r="V237" s="88" t="s">
        <v>100</v>
      </c>
      <c r="W237" s="88" t="s">
        <v>101</v>
      </c>
      <c r="X237" s="2"/>
      <c r="Y237" s="2"/>
      <c r="Z237" s="2"/>
    </row>
    <row r="238" ht="15.75" customHeight="1">
      <c r="A238" s="86"/>
      <c r="B238" s="86"/>
      <c r="C238" s="86"/>
      <c r="D238" s="86" t="str">
        <f>IFERROR(VLOOKUP(E238,Groups!$A:$I,3,FALSE()),"Unassigned")</f>
        <v>Unassigned</v>
      </c>
      <c r="E238" s="86"/>
      <c r="F238" s="86" t="str">
        <f>IFERROR(VLOOKUP(E238,Groups!$A:$I,2,FALSE()),"Unassigned")</f>
        <v>Unassigned</v>
      </c>
      <c r="G238" s="86" t="str">
        <f>IFERROR(VLOOKUP(E238,Groups!$A:$I,4,FALSE()),"Direct Reports")</f>
        <v>Direct Reports</v>
      </c>
      <c r="H238" s="86" t="str">
        <f t="shared" si="1"/>
        <v>Excluded</v>
      </c>
      <c r="I238" s="86"/>
      <c r="J238" s="86"/>
      <c r="K238" s="86"/>
      <c r="L238" s="86"/>
      <c r="M238" s="86"/>
      <c r="N238" s="86"/>
      <c r="O238" s="86"/>
      <c r="P238" s="86" t="b">
        <f t="shared" si="3"/>
        <v>0</v>
      </c>
      <c r="Q238" s="86">
        <f>COUNTIF(Licenses!$A:$A,C238)</f>
        <v>0</v>
      </c>
      <c r="R238" s="86"/>
      <c r="S238" s="87"/>
      <c r="T238" s="2"/>
      <c r="U238" s="2"/>
      <c r="V238" s="88" t="s">
        <v>100</v>
      </c>
      <c r="W238" s="88" t="s">
        <v>101</v>
      </c>
      <c r="X238" s="2"/>
      <c r="Y238" s="2"/>
      <c r="Z238" s="2"/>
    </row>
    <row r="239" ht="15.75" customHeight="1">
      <c r="A239" s="86"/>
      <c r="B239" s="86"/>
      <c r="C239" s="86"/>
      <c r="D239" s="86" t="str">
        <f>IFERROR(VLOOKUP(E239,Groups!$A:$I,3,FALSE()),"Unassigned")</f>
        <v>Unassigned</v>
      </c>
      <c r="E239" s="86"/>
      <c r="F239" s="86" t="str">
        <f>IFERROR(VLOOKUP(E239,Groups!$A:$I,2,FALSE()),"Unassigned")</f>
        <v>Unassigned</v>
      </c>
      <c r="G239" s="86" t="str">
        <f>IFERROR(VLOOKUP(E239,Groups!$A:$I,4,FALSE()),"Direct Reports")</f>
        <v>Direct Reports</v>
      </c>
      <c r="H239" s="86" t="str">
        <f t="shared" si="1"/>
        <v>Excluded</v>
      </c>
      <c r="I239" s="86"/>
      <c r="J239" s="86"/>
      <c r="K239" s="86"/>
      <c r="L239" s="86"/>
      <c r="M239" s="86"/>
      <c r="N239" s="86"/>
      <c r="O239" s="86"/>
      <c r="P239" s="86" t="b">
        <f t="shared" si="3"/>
        <v>0</v>
      </c>
      <c r="Q239" s="86">
        <f>COUNTIF(Licenses!$A:$A,C239)</f>
        <v>0</v>
      </c>
      <c r="R239" s="86"/>
      <c r="S239" s="87"/>
      <c r="T239" s="2"/>
      <c r="U239" s="2"/>
      <c r="V239" s="88" t="s">
        <v>100</v>
      </c>
      <c r="W239" s="88" t="s">
        <v>101</v>
      </c>
      <c r="X239" s="2"/>
      <c r="Y239" s="2"/>
      <c r="Z239" s="2"/>
    </row>
    <row r="240" ht="15.75" customHeight="1">
      <c r="A240" s="86"/>
      <c r="B240" s="86"/>
      <c r="C240" s="86"/>
      <c r="D240" s="86" t="str">
        <f>IFERROR(VLOOKUP(E240,Groups!$A:$I,3,FALSE()),"Unassigned")</f>
        <v>Unassigned</v>
      </c>
      <c r="E240" s="86"/>
      <c r="F240" s="86" t="str">
        <f>IFERROR(VLOOKUP(E240,Groups!$A:$I,2,FALSE()),"Unassigned")</f>
        <v>Unassigned</v>
      </c>
      <c r="G240" s="86" t="str">
        <f>IFERROR(VLOOKUP(E240,Groups!$A:$I,4,FALSE()),"Direct Reports")</f>
        <v>Direct Reports</v>
      </c>
      <c r="H240" s="86" t="str">
        <f t="shared" si="1"/>
        <v>Excluded</v>
      </c>
      <c r="I240" s="86"/>
      <c r="J240" s="86"/>
      <c r="K240" s="86"/>
      <c r="L240" s="86"/>
      <c r="M240" s="86"/>
      <c r="N240" s="86"/>
      <c r="O240" s="86"/>
      <c r="P240" s="86" t="b">
        <f t="shared" si="3"/>
        <v>0</v>
      </c>
      <c r="Q240" s="86">
        <f>COUNTIF(Licenses!$A:$A,C240)</f>
        <v>0</v>
      </c>
      <c r="R240" s="86"/>
      <c r="S240" s="87"/>
      <c r="T240" s="2"/>
      <c r="U240" s="2"/>
      <c r="V240" s="88" t="s">
        <v>100</v>
      </c>
      <c r="W240" s="88" t="s">
        <v>101</v>
      </c>
      <c r="X240" s="2"/>
      <c r="Y240" s="2"/>
      <c r="Z240" s="2"/>
    </row>
    <row r="241" ht="15.75" customHeight="1">
      <c r="A241" s="86"/>
      <c r="B241" s="86"/>
      <c r="C241" s="86"/>
      <c r="D241" s="86" t="str">
        <f>IFERROR(VLOOKUP(E241,Groups!$A:$I,3,FALSE()),"Unassigned")</f>
        <v>Unassigned</v>
      </c>
      <c r="E241" s="86"/>
      <c r="F241" s="86" t="str">
        <f>IFERROR(VLOOKUP(E241,Groups!$A:$I,2,FALSE()),"Unassigned")</f>
        <v>Unassigned</v>
      </c>
      <c r="G241" s="86" t="str">
        <f>IFERROR(VLOOKUP(E241,Groups!$A:$I,4,FALSE()),"Direct Reports")</f>
        <v>Direct Reports</v>
      </c>
      <c r="H241" s="86" t="str">
        <f t="shared" si="1"/>
        <v>Excluded</v>
      </c>
      <c r="I241" s="86"/>
      <c r="J241" s="86"/>
      <c r="K241" s="86"/>
      <c r="L241" s="86"/>
      <c r="M241" s="86"/>
      <c r="N241" s="86"/>
      <c r="O241" s="86"/>
      <c r="P241" s="86" t="b">
        <f t="shared" si="3"/>
        <v>0</v>
      </c>
      <c r="Q241" s="86">
        <f>COUNTIF(Licenses!$A:$A,C241)</f>
        <v>0</v>
      </c>
      <c r="R241" s="86"/>
      <c r="S241" s="87"/>
      <c r="T241" s="2"/>
      <c r="U241" s="2"/>
      <c r="V241" s="88" t="s">
        <v>100</v>
      </c>
      <c r="W241" s="88" t="s">
        <v>101</v>
      </c>
      <c r="X241" s="2"/>
      <c r="Y241" s="2"/>
      <c r="Z241" s="2"/>
    </row>
    <row r="242" ht="15.75" customHeight="1">
      <c r="A242" s="86"/>
      <c r="B242" s="86"/>
      <c r="C242" s="86"/>
      <c r="D242" s="86" t="str">
        <f>IFERROR(VLOOKUP(E242,Groups!$A:$I,3,FALSE()),"Unassigned")</f>
        <v>Unassigned</v>
      </c>
      <c r="E242" s="86"/>
      <c r="F242" s="86" t="str">
        <f>IFERROR(VLOOKUP(E242,Groups!$A:$I,2,FALSE()),"Unassigned")</f>
        <v>Unassigned</v>
      </c>
      <c r="G242" s="86" t="str">
        <f>IFERROR(VLOOKUP(E242,Groups!$A:$I,4,FALSE()),"Direct Reports")</f>
        <v>Direct Reports</v>
      </c>
      <c r="H242" s="86" t="str">
        <f t="shared" si="1"/>
        <v>Excluded</v>
      </c>
      <c r="I242" s="86"/>
      <c r="J242" s="86"/>
      <c r="K242" s="86"/>
      <c r="L242" s="86"/>
      <c r="M242" s="86"/>
      <c r="N242" s="86"/>
      <c r="O242" s="86"/>
      <c r="P242" s="86" t="b">
        <f t="shared" si="3"/>
        <v>0</v>
      </c>
      <c r="Q242" s="86">
        <f>COUNTIF(Licenses!$A:$A,C242)</f>
        <v>0</v>
      </c>
      <c r="R242" s="86"/>
      <c r="S242" s="87"/>
      <c r="T242" s="2"/>
      <c r="U242" s="2"/>
      <c r="V242" s="88" t="s">
        <v>100</v>
      </c>
      <c r="W242" s="88" t="s">
        <v>101</v>
      </c>
      <c r="X242" s="2"/>
      <c r="Y242" s="2"/>
      <c r="Z242" s="2"/>
    </row>
    <row r="243" ht="15.75" customHeight="1">
      <c r="A243" s="86"/>
      <c r="B243" s="86"/>
      <c r="C243" s="86"/>
      <c r="D243" s="86" t="str">
        <f>IFERROR(VLOOKUP(E243,Groups!$A:$I,3,FALSE()),"Unassigned")</f>
        <v>Unassigned</v>
      </c>
      <c r="E243" s="86"/>
      <c r="F243" s="86" t="str">
        <f>IFERROR(VLOOKUP(E243,Groups!$A:$I,2,FALSE()),"Unassigned")</f>
        <v>Unassigned</v>
      </c>
      <c r="G243" s="86" t="str">
        <f>IFERROR(VLOOKUP(E243,Groups!$A:$I,4,FALSE()),"Direct Reports")</f>
        <v>Direct Reports</v>
      </c>
      <c r="H243" s="86" t="str">
        <f t="shared" si="1"/>
        <v>Excluded</v>
      </c>
      <c r="I243" s="86"/>
      <c r="J243" s="86"/>
      <c r="K243" s="86"/>
      <c r="L243" s="86"/>
      <c r="M243" s="86"/>
      <c r="N243" s="86"/>
      <c r="O243" s="86"/>
      <c r="P243" s="86" t="b">
        <f t="shared" si="3"/>
        <v>0</v>
      </c>
      <c r="Q243" s="86">
        <f>COUNTIF(Licenses!$A:$A,C243)</f>
        <v>0</v>
      </c>
      <c r="R243" s="86"/>
      <c r="S243" s="87"/>
      <c r="T243" s="2"/>
      <c r="U243" s="2"/>
      <c r="V243" s="88" t="s">
        <v>100</v>
      </c>
      <c r="W243" s="88" t="s">
        <v>101</v>
      </c>
      <c r="X243" s="2"/>
      <c r="Y243" s="2"/>
      <c r="Z243" s="2"/>
    </row>
    <row r="244" ht="15.75" customHeight="1">
      <c r="A244" s="86"/>
      <c r="B244" s="86"/>
      <c r="C244" s="86"/>
      <c r="D244" s="86" t="str">
        <f>IFERROR(VLOOKUP(E244,Groups!$A:$I,3,FALSE()),"Unassigned")</f>
        <v>Unassigned</v>
      </c>
      <c r="E244" s="86"/>
      <c r="F244" s="86" t="str">
        <f>IFERROR(VLOOKUP(E244,Groups!$A:$I,2,FALSE()),"Unassigned")</f>
        <v>Unassigned</v>
      </c>
      <c r="G244" s="86" t="str">
        <f>IFERROR(VLOOKUP(E244,Groups!$A:$I,4,FALSE()),"Direct Reports")</f>
        <v>Direct Reports</v>
      </c>
      <c r="H244" s="86" t="str">
        <f t="shared" si="1"/>
        <v>Excluded</v>
      </c>
      <c r="I244" s="86"/>
      <c r="J244" s="86"/>
      <c r="K244" s="86"/>
      <c r="L244" s="86"/>
      <c r="M244" s="86"/>
      <c r="N244" s="86"/>
      <c r="O244" s="86"/>
      <c r="P244" s="86" t="b">
        <f t="shared" si="3"/>
        <v>0</v>
      </c>
      <c r="Q244" s="86">
        <f>COUNTIF(Licenses!$A:$A,C244)</f>
        <v>0</v>
      </c>
      <c r="R244" s="86"/>
      <c r="S244" s="87"/>
      <c r="T244" s="2"/>
      <c r="U244" s="2"/>
      <c r="V244" s="88" t="s">
        <v>100</v>
      </c>
      <c r="W244" s="88" t="s">
        <v>101</v>
      </c>
      <c r="X244" s="2"/>
      <c r="Y244" s="2"/>
      <c r="Z244" s="2"/>
    </row>
    <row r="245" ht="15.75" customHeight="1">
      <c r="A245" s="86"/>
      <c r="B245" s="86"/>
      <c r="C245" s="86"/>
      <c r="D245" s="86" t="str">
        <f>IFERROR(VLOOKUP(E245,Groups!$A:$I,3,FALSE()),"Unassigned")</f>
        <v>Unassigned</v>
      </c>
      <c r="E245" s="86"/>
      <c r="F245" s="86" t="str">
        <f>IFERROR(VLOOKUP(E245,Groups!$A:$I,2,FALSE()),"Unassigned")</f>
        <v>Unassigned</v>
      </c>
      <c r="G245" s="86" t="str">
        <f>IFERROR(VLOOKUP(E245,Groups!$A:$I,4,FALSE()),"Direct Reports")</f>
        <v>Direct Reports</v>
      </c>
      <c r="H245" s="86" t="str">
        <f t="shared" si="1"/>
        <v>Excluded</v>
      </c>
      <c r="I245" s="86"/>
      <c r="J245" s="86"/>
      <c r="K245" s="86"/>
      <c r="L245" s="86"/>
      <c r="M245" s="86"/>
      <c r="N245" s="86"/>
      <c r="O245" s="86"/>
      <c r="P245" s="86" t="b">
        <f t="shared" si="3"/>
        <v>0</v>
      </c>
      <c r="Q245" s="86">
        <f>COUNTIF(Licenses!$A:$A,C245)</f>
        <v>0</v>
      </c>
      <c r="R245" s="86"/>
      <c r="S245" s="87"/>
      <c r="T245" s="2"/>
      <c r="U245" s="2"/>
      <c r="V245" s="88" t="s">
        <v>100</v>
      </c>
      <c r="W245" s="88" t="s">
        <v>101</v>
      </c>
      <c r="X245" s="2"/>
      <c r="Y245" s="2"/>
      <c r="Z245" s="2"/>
    </row>
    <row r="246" ht="15.75" customHeight="1">
      <c r="A246" s="86"/>
      <c r="B246" s="86"/>
      <c r="C246" s="86"/>
      <c r="D246" s="86" t="str">
        <f>IFERROR(VLOOKUP(E246,Groups!$A:$I,3,FALSE()),"Unassigned")</f>
        <v>Unassigned</v>
      </c>
      <c r="E246" s="86"/>
      <c r="F246" s="86" t="str">
        <f>IFERROR(VLOOKUP(E246,Groups!$A:$I,2,FALSE()),"Unassigned")</f>
        <v>Unassigned</v>
      </c>
      <c r="G246" s="86" t="str">
        <f>IFERROR(VLOOKUP(E246,Groups!$A:$I,4,FALSE()),"Direct Reports")</f>
        <v>Direct Reports</v>
      </c>
      <c r="H246" s="86" t="str">
        <f t="shared" si="1"/>
        <v>Excluded</v>
      </c>
      <c r="I246" s="86"/>
      <c r="J246" s="86"/>
      <c r="K246" s="86"/>
      <c r="L246" s="86"/>
      <c r="M246" s="86"/>
      <c r="N246" s="86"/>
      <c r="O246" s="86"/>
      <c r="P246" s="86" t="b">
        <f t="shared" si="3"/>
        <v>0</v>
      </c>
      <c r="Q246" s="86">
        <f>COUNTIF(Licenses!$A:$A,C246)</f>
        <v>0</v>
      </c>
      <c r="R246" s="86"/>
      <c r="S246" s="87"/>
      <c r="T246" s="2"/>
      <c r="U246" s="2"/>
      <c r="V246" s="88" t="s">
        <v>100</v>
      </c>
      <c r="W246" s="88" t="s">
        <v>101</v>
      </c>
      <c r="X246" s="2"/>
      <c r="Y246" s="2"/>
      <c r="Z246" s="2"/>
    </row>
    <row r="247" ht="15.75" customHeight="1">
      <c r="A247" s="86"/>
      <c r="B247" s="86"/>
      <c r="C247" s="86"/>
      <c r="D247" s="86" t="str">
        <f>IFERROR(VLOOKUP(E247,Groups!$A:$I,3,FALSE()),"Unassigned")</f>
        <v>Unassigned</v>
      </c>
      <c r="E247" s="86"/>
      <c r="F247" s="86" t="str">
        <f>IFERROR(VLOOKUP(E247,Groups!$A:$I,2,FALSE()),"Unassigned")</f>
        <v>Unassigned</v>
      </c>
      <c r="G247" s="86" t="str">
        <f>IFERROR(VLOOKUP(E247,Groups!$A:$I,4,FALSE()),"Direct Reports")</f>
        <v>Direct Reports</v>
      </c>
      <c r="H247" s="86" t="str">
        <f t="shared" si="1"/>
        <v>Excluded</v>
      </c>
      <c r="I247" s="86"/>
      <c r="J247" s="86"/>
      <c r="K247" s="86"/>
      <c r="L247" s="86"/>
      <c r="M247" s="86"/>
      <c r="N247" s="86"/>
      <c r="O247" s="86"/>
      <c r="P247" s="86" t="b">
        <f t="shared" si="3"/>
        <v>0</v>
      </c>
      <c r="Q247" s="86">
        <f>COUNTIF(Licenses!$A:$A,C247)</f>
        <v>0</v>
      </c>
      <c r="R247" s="86"/>
      <c r="S247" s="87"/>
      <c r="T247" s="2"/>
      <c r="U247" s="2"/>
      <c r="V247" s="88" t="s">
        <v>100</v>
      </c>
      <c r="W247" s="88" t="s">
        <v>101</v>
      </c>
      <c r="X247" s="2"/>
      <c r="Y247" s="2"/>
      <c r="Z247" s="2"/>
    </row>
    <row r="248" ht="15.75" customHeight="1">
      <c r="A248" s="86"/>
      <c r="B248" s="86"/>
      <c r="C248" s="86"/>
      <c r="D248" s="86" t="str">
        <f>IFERROR(VLOOKUP(E248,Groups!$A:$I,3,FALSE()),"Unassigned")</f>
        <v>Unassigned</v>
      </c>
      <c r="E248" s="86"/>
      <c r="F248" s="86" t="str">
        <f>IFERROR(VLOOKUP(E248,Groups!$A:$I,2,FALSE()),"Unassigned")</f>
        <v>Unassigned</v>
      </c>
      <c r="G248" s="86" t="str">
        <f>IFERROR(VLOOKUP(E248,Groups!$A:$I,4,FALSE()),"Direct Reports")</f>
        <v>Direct Reports</v>
      </c>
      <c r="H248" s="86" t="str">
        <f t="shared" si="1"/>
        <v>Excluded</v>
      </c>
      <c r="I248" s="86"/>
      <c r="J248" s="86"/>
      <c r="K248" s="86"/>
      <c r="L248" s="86"/>
      <c r="M248" s="86"/>
      <c r="N248" s="86"/>
      <c r="O248" s="86"/>
      <c r="P248" s="86" t="b">
        <f t="shared" si="3"/>
        <v>0</v>
      </c>
      <c r="Q248" s="86">
        <f>COUNTIF(Licenses!$A:$A,C248)</f>
        <v>0</v>
      </c>
      <c r="R248" s="86"/>
      <c r="S248" s="87"/>
      <c r="T248" s="2"/>
      <c r="U248" s="2"/>
      <c r="V248" s="88" t="s">
        <v>100</v>
      </c>
      <c r="W248" s="88" t="s">
        <v>101</v>
      </c>
      <c r="X248" s="2"/>
      <c r="Y248" s="2"/>
      <c r="Z248" s="2"/>
    </row>
    <row r="249" ht="15.75" customHeight="1">
      <c r="A249" s="86"/>
      <c r="B249" s="86"/>
      <c r="C249" s="86"/>
      <c r="D249" s="86" t="str">
        <f>IFERROR(VLOOKUP(E249,Groups!$A:$I,3,FALSE()),"Unassigned")</f>
        <v>Unassigned</v>
      </c>
      <c r="E249" s="86"/>
      <c r="F249" s="86" t="str">
        <f>IFERROR(VLOOKUP(E249,Groups!$A:$I,2,FALSE()),"Unassigned")</f>
        <v>Unassigned</v>
      </c>
      <c r="G249" s="86" t="str">
        <f>IFERROR(VLOOKUP(E249,Groups!$A:$I,4,FALSE()),"Direct Reports")</f>
        <v>Direct Reports</v>
      </c>
      <c r="H249" s="86" t="str">
        <f t="shared" si="1"/>
        <v>Excluded</v>
      </c>
      <c r="I249" s="86"/>
      <c r="J249" s="86"/>
      <c r="K249" s="86"/>
      <c r="L249" s="86"/>
      <c r="M249" s="86"/>
      <c r="N249" s="86"/>
      <c r="O249" s="86"/>
      <c r="P249" s="86" t="b">
        <f t="shared" si="3"/>
        <v>0</v>
      </c>
      <c r="Q249" s="86">
        <f>COUNTIF(Licenses!$A:$A,C249)</f>
        <v>0</v>
      </c>
      <c r="R249" s="86"/>
      <c r="S249" s="87"/>
      <c r="T249" s="2"/>
      <c r="U249" s="2"/>
      <c r="V249" s="88" t="s">
        <v>100</v>
      </c>
      <c r="W249" s="88" t="s">
        <v>101</v>
      </c>
      <c r="X249" s="2"/>
      <c r="Y249" s="2"/>
      <c r="Z249" s="2"/>
    </row>
    <row r="250" ht="15.75" customHeight="1">
      <c r="A250" s="86"/>
      <c r="B250" s="86"/>
      <c r="C250" s="86"/>
      <c r="D250" s="86" t="str">
        <f>IFERROR(VLOOKUP(E250,Groups!$A:$I,3,FALSE()),"Unassigned")</f>
        <v>Unassigned</v>
      </c>
      <c r="E250" s="86"/>
      <c r="F250" s="86" t="str">
        <f>IFERROR(VLOOKUP(E250,Groups!$A:$I,2,FALSE()),"Unassigned")</f>
        <v>Unassigned</v>
      </c>
      <c r="G250" s="86" t="str">
        <f>IFERROR(VLOOKUP(E250,Groups!$A:$I,4,FALSE()),"Direct Reports")</f>
        <v>Direct Reports</v>
      </c>
      <c r="H250" s="86" t="str">
        <f t="shared" si="1"/>
        <v>Excluded</v>
      </c>
      <c r="I250" s="86"/>
      <c r="J250" s="86"/>
      <c r="K250" s="86"/>
      <c r="L250" s="86"/>
      <c r="M250" s="86"/>
      <c r="N250" s="86"/>
      <c r="O250" s="86"/>
      <c r="P250" s="86" t="b">
        <f t="shared" si="3"/>
        <v>0</v>
      </c>
      <c r="Q250" s="86">
        <f>COUNTIF(Licenses!$A:$A,C250)</f>
        <v>0</v>
      </c>
      <c r="R250" s="86"/>
      <c r="S250" s="87"/>
      <c r="T250" s="2"/>
      <c r="U250" s="2"/>
      <c r="V250" s="88" t="s">
        <v>100</v>
      </c>
      <c r="W250" s="88" t="s">
        <v>101</v>
      </c>
      <c r="X250" s="2"/>
      <c r="Y250" s="2"/>
      <c r="Z250" s="2"/>
    </row>
    <row r="251" ht="15.75" customHeight="1">
      <c r="A251" s="86"/>
      <c r="B251" s="86"/>
      <c r="C251" s="86"/>
      <c r="D251" s="86" t="str">
        <f>IFERROR(VLOOKUP(E251,Groups!$A:$I,3,FALSE()),"Unassigned")</f>
        <v>Unassigned</v>
      </c>
      <c r="E251" s="86"/>
      <c r="F251" s="86" t="str">
        <f>IFERROR(VLOOKUP(E251,Groups!$A:$I,2,FALSE()),"Unassigned")</f>
        <v>Unassigned</v>
      </c>
      <c r="G251" s="86" t="str">
        <f>IFERROR(VLOOKUP(E251,Groups!$A:$I,4,FALSE()),"Direct Reports")</f>
        <v>Direct Reports</v>
      </c>
      <c r="H251" s="86" t="str">
        <f t="shared" si="1"/>
        <v>Excluded</v>
      </c>
      <c r="I251" s="86"/>
      <c r="J251" s="86"/>
      <c r="K251" s="86"/>
      <c r="L251" s="86"/>
      <c r="M251" s="86"/>
      <c r="N251" s="86"/>
      <c r="O251" s="86"/>
      <c r="P251" s="86" t="b">
        <f t="shared" si="3"/>
        <v>0</v>
      </c>
      <c r="Q251" s="86">
        <f>COUNTIF(Licenses!$A:$A,C251)</f>
        <v>0</v>
      </c>
      <c r="R251" s="86"/>
      <c r="S251" s="87"/>
      <c r="T251" s="2"/>
      <c r="U251" s="2"/>
      <c r="V251" s="88" t="s">
        <v>100</v>
      </c>
      <c r="W251" s="88" t="s">
        <v>101</v>
      </c>
      <c r="X251" s="2"/>
      <c r="Y251" s="2"/>
      <c r="Z251" s="2"/>
    </row>
    <row r="252" ht="15.75" customHeight="1">
      <c r="A252" s="86"/>
      <c r="B252" s="86"/>
      <c r="C252" s="86"/>
      <c r="D252" s="86" t="str">
        <f>IFERROR(VLOOKUP(E252,Groups!$A:$I,3,FALSE()),"Unassigned")</f>
        <v>Unassigned</v>
      </c>
      <c r="E252" s="86"/>
      <c r="F252" s="86" t="str">
        <f>IFERROR(VLOOKUP(E252,Groups!$A:$I,2,FALSE()),"Unassigned")</f>
        <v>Unassigned</v>
      </c>
      <c r="G252" s="86" t="str">
        <f>IFERROR(VLOOKUP(E252,Groups!$A:$I,4,FALSE()),"Direct Reports")</f>
        <v>Direct Reports</v>
      </c>
      <c r="H252" s="86" t="str">
        <f t="shared" si="1"/>
        <v>Excluded</v>
      </c>
      <c r="I252" s="86"/>
      <c r="J252" s="86"/>
      <c r="K252" s="86"/>
      <c r="L252" s="86"/>
      <c r="M252" s="86"/>
      <c r="N252" s="86"/>
      <c r="O252" s="86"/>
      <c r="P252" s="86" t="b">
        <f t="shared" si="3"/>
        <v>0</v>
      </c>
      <c r="Q252" s="86">
        <f>COUNTIF(Licenses!$A:$A,C252)</f>
        <v>0</v>
      </c>
      <c r="R252" s="86"/>
      <c r="S252" s="87"/>
      <c r="T252" s="2"/>
      <c r="U252" s="2"/>
      <c r="V252" s="88" t="s">
        <v>100</v>
      </c>
      <c r="W252" s="88" t="s">
        <v>101</v>
      </c>
      <c r="X252" s="2"/>
      <c r="Y252" s="2"/>
      <c r="Z252" s="2"/>
    </row>
    <row r="253" ht="15.75" customHeight="1">
      <c r="A253" s="86"/>
      <c r="B253" s="86"/>
      <c r="C253" s="86"/>
      <c r="D253" s="86" t="str">
        <f>IFERROR(VLOOKUP(E253,Groups!$A:$I,3,FALSE()),"Unassigned")</f>
        <v>Unassigned</v>
      </c>
      <c r="E253" s="86"/>
      <c r="F253" s="86" t="str">
        <f>IFERROR(VLOOKUP(E253,Groups!$A:$I,2,FALSE()),"Unassigned")</f>
        <v>Unassigned</v>
      </c>
      <c r="G253" s="86" t="str">
        <f>IFERROR(VLOOKUP(E253,Groups!$A:$I,4,FALSE()),"Direct Reports")</f>
        <v>Direct Reports</v>
      </c>
      <c r="H253" s="86" t="str">
        <f t="shared" si="1"/>
        <v>Excluded</v>
      </c>
      <c r="I253" s="86"/>
      <c r="J253" s="86"/>
      <c r="K253" s="86"/>
      <c r="L253" s="86"/>
      <c r="M253" s="86"/>
      <c r="N253" s="86"/>
      <c r="O253" s="86"/>
      <c r="P253" s="86" t="b">
        <f t="shared" si="3"/>
        <v>0</v>
      </c>
      <c r="Q253" s="86">
        <f>COUNTIF(Licenses!$A:$A,C253)</f>
        <v>0</v>
      </c>
      <c r="R253" s="86"/>
      <c r="S253" s="87"/>
      <c r="T253" s="2"/>
      <c r="U253" s="2"/>
      <c r="V253" s="88" t="s">
        <v>100</v>
      </c>
      <c r="W253" s="88" t="s">
        <v>101</v>
      </c>
      <c r="X253" s="2"/>
      <c r="Y253" s="2"/>
      <c r="Z253" s="2"/>
    </row>
    <row r="254" ht="15.75" customHeight="1">
      <c r="A254" s="86"/>
      <c r="B254" s="86"/>
      <c r="C254" s="86"/>
      <c r="D254" s="86" t="str">
        <f>IFERROR(VLOOKUP(E254,Groups!$A:$I,3,FALSE()),"Unassigned")</f>
        <v>Unassigned</v>
      </c>
      <c r="E254" s="86"/>
      <c r="F254" s="86" t="str">
        <f>IFERROR(VLOOKUP(E254,Groups!$A:$I,2,FALSE()),"Unassigned")</f>
        <v>Unassigned</v>
      </c>
      <c r="G254" s="86" t="str">
        <f>IFERROR(VLOOKUP(E254,Groups!$A:$I,4,FALSE()),"Direct Reports")</f>
        <v>Direct Reports</v>
      </c>
      <c r="H254" s="86" t="str">
        <f t="shared" si="1"/>
        <v>Excluded</v>
      </c>
      <c r="I254" s="86"/>
      <c r="J254" s="86"/>
      <c r="K254" s="86"/>
      <c r="L254" s="86"/>
      <c r="M254" s="86"/>
      <c r="N254" s="86"/>
      <c r="O254" s="86"/>
      <c r="P254" s="86" t="b">
        <f t="shared" si="3"/>
        <v>0</v>
      </c>
      <c r="Q254" s="86">
        <f>COUNTIF(Licenses!$A:$A,C254)</f>
        <v>0</v>
      </c>
      <c r="R254" s="86"/>
      <c r="S254" s="87"/>
      <c r="T254" s="2"/>
      <c r="U254" s="2"/>
      <c r="V254" s="88" t="s">
        <v>100</v>
      </c>
      <c r="W254" s="88" t="s">
        <v>101</v>
      </c>
      <c r="X254" s="2"/>
      <c r="Y254" s="2"/>
      <c r="Z254" s="2"/>
    </row>
    <row r="255" ht="15.75" customHeight="1">
      <c r="A255" s="86"/>
      <c r="B255" s="86"/>
      <c r="C255" s="86"/>
      <c r="D255" s="86" t="str">
        <f>IFERROR(VLOOKUP(E255,Groups!$A:$I,3,FALSE()),"Unassigned")</f>
        <v>Unassigned</v>
      </c>
      <c r="E255" s="86"/>
      <c r="F255" s="86" t="str">
        <f>IFERROR(VLOOKUP(E255,Groups!$A:$I,2,FALSE()),"Unassigned")</f>
        <v>Unassigned</v>
      </c>
      <c r="G255" s="86" t="str">
        <f>IFERROR(VLOOKUP(E255,Groups!$A:$I,4,FALSE()),"Direct Reports")</f>
        <v>Direct Reports</v>
      </c>
      <c r="H255" s="86" t="str">
        <f t="shared" si="1"/>
        <v>Excluded</v>
      </c>
      <c r="I255" s="86"/>
      <c r="J255" s="86"/>
      <c r="K255" s="86"/>
      <c r="L255" s="86"/>
      <c r="M255" s="86"/>
      <c r="N255" s="86"/>
      <c r="O255" s="86"/>
      <c r="P255" s="86" t="b">
        <f t="shared" si="3"/>
        <v>0</v>
      </c>
      <c r="Q255" s="86">
        <f>COUNTIF(Licenses!$A:$A,C255)</f>
        <v>0</v>
      </c>
      <c r="R255" s="86"/>
      <c r="S255" s="87"/>
      <c r="T255" s="2"/>
      <c r="U255" s="2"/>
      <c r="V255" s="88" t="s">
        <v>100</v>
      </c>
      <c r="W255" s="88" t="s">
        <v>101</v>
      </c>
      <c r="X255" s="2"/>
      <c r="Y255" s="2"/>
      <c r="Z255" s="2"/>
    </row>
    <row r="256" ht="15.75" customHeight="1">
      <c r="A256" s="86"/>
      <c r="B256" s="86"/>
      <c r="C256" s="86"/>
      <c r="D256" s="86" t="str">
        <f>IFERROR(VLOOKUP(E256,Groups!$A:$I,3,FALSE()),"Unassigned")</f>
        <v>Unassigned</v>
      </c>
      <c r="E256" s="86"/>
      <c r="F256" s="86" t="str">
        <f>IFERROR(VLOOKUP(E256,Groups!$A:$I,2,FALSE()),"Unassigned")</f>
        <v>Unassigned</v>
      </c>
      <c r="G256" s="86" t="str">
        <f>IFERROR(VLOOKUP(E256,Groups!$A:$I,4,FALSE()),"Direct Reports")</f>
        <v>Direct Reports</v>
      </c>
      <c r="H256" s="86" t="str">
        <f t="shared" si="1"/>
        <v>Excluded</v>
      </c>
      <c r="I256" s="86"/>
      <c r="J256" s="86"/>
      <c r="K256" s="86"/>
      <c r="L256" s="86"/>
      <c r="M256" s="86"/>
      <c r="N256" s="86"/>
      <c r="O256" s="86"/>
      <c r="P256" s="86" t="b">
        <f t="shared" si="3"/>
        <v>0</v>
      </c>
      <c r="Q256" s="86">
        <f>COUNTIF(Licenses!$A:$A,C256)</f>
        <v>0</v>
      </c>
      <c r="R256" s="86"/>
      <c r="S256" s="87"/>
      <c r="T256" s="2"/>
      <c r="U256" s="2"/>
      <c r="V256" s="88" t="s">
        <v>100</v>
      </c>
      <c r="W256" s="88" t="s">
        <v>101</v>
      </c>
      <c r="X256" s="2"/>
      <c r="Y256" s="2"/>
      <c r="Z256" s="2"/>
    </row>
    <row r="257" ht="15.75" customHeight="1">
      <c r="A257" s="86"/>
      <c r="B257" s="86"/>
      <c r="C257" s="86"/>
      <c r="D257" s="86" t="str">
        <f>IFERROR(VLOOKUP(E257,Groups!$A:$I,3,FALSE()),"Unassigned")</f>
        <v>Unassigned</v>
      </c>
      <c r="E257" s="86"/>
      <c r="F257" s="86" t="str">
        <f>IFERROR(VLOOKUP(E257,Groups!$A:$I,2,FALSE()),"Unassigned")</f>
        <v>Unassigned</v>
      </c>
      <c r="G257" s="86" t="str">
        <f>IFERROR(VLOOKUP(E257,Groups!$A:$I,4,FALSE()),"Direct Reports")</f>
        <v>Direct Reports</v>
      </c>
      <c r="H257" s="86" t="str">
        <f t="shared" si="1"/>
        <v>Excluded</v>
      </c>
      <c r="I257" s="86"/>
      <c r="J257" s="86"/>
      <c r="K257" s="86"/>
      <c r="L257" s="86"/>
      <c r="M257" s="86"/>
      <c r="N257" s="86"/>
      <c r="O257" s="86"/>
      <c r="P257" s="86" t="b">
        <f t="shared" si="3"/>
        <v>0</v>
      </c>
      <c r="Q257" s="86">
        <f>COUNTIF(Licenses!$A:$A,C257)</f>
        <v>0</v>
      </c>
      <c r="R257" s="86"/>
      <c r="S257" s="87"/>
      <c r="T257" s="2"/>
      <c r="U257" s="2"/>
      <c r="V257" s="88" t="s">
        <v>100</v>
      </c>
      <c r="W257" s="88" t="s">
        <v>101</v>
      </c>
      <c r="X257" s="2"/>
      <c r="Y257" s="2"/>
      <c r="Z257" s="2"/>
    </row>
    <row r="258" ht="15.75" customHeight="1">
      <c r="A258" s="86"/>
      <c r="B258" s="86"/>
      <c r="C258" s="86"/>
      <c r="D258" s="86" t="str">
        <f>IFERROR(VLOOKUP(E258,Groups!$A:$I,3,FALSE()),"Unassigned")</f>
        <v>Unassigned</v>
      </c>
      <c r="E258" s="86"/>
      <c r="F258" s="86" t="str">
        <f>IFERROR(VLOOKUP(E258,Groups!$A:$I,2,FALSE()),"Unassigned")</f>
        <v>Unassigned</v>
      </c>
      <c r="G258" s="86" t="str">
        <f>IFERROR(VLOOKUP(E258,Groups!$A:$I,4,FALSE()),"Direct Reports")</f>
        <v>Direct Reports</v>
      </c>
      <c r="H258" s="86" t="str">
        <f t="shared" si="1"/>
        <v>Excluded</v>
      </c>
      <c r="I258" s="86"/>
      <c r="J258" s="86"/>
      <c r="K258" s="86"/>
      <c r="L258" s="86"/>
      <c r="M258" s="86"/>
      <c r="N258" s="86"/>
      <c r="O258" s="86"/>
      <c r="P258" s="86" t="b">
        <f t="shared" si="3"/>
        <v>0</v>
      </c>
      <c r="Q258" s="86">
        <f>COUNTIF(Licenses!$A:$A,C258)</f>
        <v>0</v>
      </c>
      <c r="R258" s="86"/>
      <c r="S258" s="87"/>
      <c r="T258" s="2"/>
      <c r="U258" s="2"/>
      <c r="V258" s="88" t="s">
        <v>100</v>
      </c>
      <c r="W258" s="88" t="s">
        <v>101</v>
      </c>
      <c r="X258" s="2"/>
      <c r="Y258" s="2"/>
      <c r="Z258" s="2"/>
    </row>
    <row r="259" ht="15.75" customHeight="1">
      <c r="A259" s="86"/>
      <c r="B259" s="86"/>
      <c r="C259" s="86"/>
      <c r="D259" s="86" t="str">
        <f>IFERROR(VLOOKUP(E259,Groups!$A:$I,3,FALSE()),"Unassigned")</f>
        <v>Unassigned</v>
      </c>
      <c r="E259" s="86"/>
      <c r="F259" s="86" t="str">
        <f>IFERROR(VLOOKUP(E259,Groups!$A:$I,2,FALSE()),"Unassigned")</f>
        <v>Unassigned</v>
      </c>
      <c r="G259" s="86" t="str">
        <f>IFERROR(VLOOKUP(E259,Groups!$A:$I,4,FALSE()),"Direct Reports")</f>
        <v>Direct Reports</v>
      </c>
      <c r="H259" s="86" t="str">
        <f t="shared" si="1"/>
        <v>Excluded</v>
      </c>
      <c r="I259" s="86"/>
      <c r="J259" s="86"/>
      <c r="K259" s="86"/>
      <c r="L259" s="86"/>
      <c r="M259" s="86"/>
      <c r="N259" s="86"/>
      <c r="O259" s="86"/>
      <c r="P259" s="86" t="b">
        <f t="shared" si="3"/>
        <v>0</v>
      </c>
      <c r="Q259" s="86">
        <f>COUNTIF(Licenses!$A:$A,C259)</f>
        <v>0</v>
      </c>
      <c r="R259" s="86"/>
      <c r="S259" s="87"/>
      <c r="T259" s="2"/>
      <c r="U259" s="2"/>
      <c r="V259" s="88" t="s">
        <v>100</v>
      </c>
      <c r="W259" s="88" t="s">
        <v>101</v>
      </c>
      <c r="X259" s="2"/>
      <c r="Y259" s="2"/>
      <c r="Z259" s="2"/>
    </row>
    <row r="260" ht="15.75" customHeight="1">
      <c r="A260" s="86"/>
      <c r="B260" s="86"/>
      <c r="C260" s="86"/>
      <c r="D260" s="86" t="str">
        <f>IFERROR(VLOOKUP(E260,Groups!$A:$I,3,FALSE()),"Unassigned")</f>
        <v>Unassigned</v>
      </c>
      <c r="E260" s="86"/>
      <c r="F260" s="86" t="str">
        <f>IFERROR(VLOOKUP(E260,Groups!$A:$I,2,FALSE()),"Unassigned")</f>
        <v>Unassigned</v>
      </c>
      <c r="G260" s="86" t="str">
        <f>IFERROR(VLOOKUP(E260,Groups!$A:$I,4,FALSE()),"Direct Reports")</f>
        <v>Direct Reports</v>
      </c>
      <c r="H260" s="86" t="str">
        <f t="shared" si="1"/>
        <v>Excluded</v>
      </c>
      <c r="I260" s="86"/>
      <c r="J260" s="86"/>
      <c r="K260" s="86"/>
      <c r="L260" s="86"/>
      <c r="M260" s="86"/>
      <c r="N260" s="86"/>
      <c r="O260" s="86"/>
      <c r="P260" s="86" t="b">
        <f t="shared" si="3"/>
        <v>0</v>
      </c>
      <c r="Q260" s="86">
        <f>COUNTIF(Licenses!$A:$A,C260)</f>
        <v>0</v>
      </c>
      <c r="R260" s="86"/>
      <c r="S260" s="87"/>
      <c r="T260" s="2"/>
      <c r="U260" s="2"/>
      <c r="V260" s="88" t="s">
        <v>100</v>
      </c>
      <c r="W260" s="88" t="s">
        <v>101</v>
      </c>
      <c r="X260" s="2"/>
      <c r="Y260" s="2"/>
      <c r="Z260" s="2"/>
    </row>
    <row r="261" ht="15.75" customHeight="1">
      <c r="A261" s="86"/>
      <c r="B261" s="86"/>
      <c r="C261" s="86"/>
      <c r="D261" s="86" t="str">
        <f>IFERROR(VLOOKUP(E261,Groups!$A:$I,3,FALSE()),"Unassigned")</f>
        <v>Unassigned</v>
      </c>
      <c r="E261" s="86"/>
      <c r="F261" s="86" t="str">
        <f>IFERROR(VLOOKUP(E261,Groups!$A:$I,2,FALSE()),"Unassigned")</f>
        <v>Unassigned</v>
      </c>
      <c r="G261" s="86" t="str">
        <f>IFERROR(VLOOKUP(E261,Groups!$A:$I,4,FALSE()),"Direct Reports")</f>
        <v>Direct Reports</v>
      </c>
      <c r="H261" s="86" t="str">
        <f t="shared" si="1"/>
        <v>Excluded</v>
      </c>
      <c r="I261" s="86"/>
      <c r="J261" s="86"/>
      <c r="K261" s="86"/>
      <c r="L261" s="86"/>
      <c r="M261" s="86"/>
      <c r="N261" s="86"/>
      <c r="O261" s="86"/>
      <c r="P261" s="86" t="b">
        <f t="shared" si="3"/>
        <v>0</v>
      </c>
      <c r="Q261" s="86">
        <f>COUNTIF(Licenses!$A:$A,C261)</f>
        <v>0</v>
      </c>
      <c r="R261" s="86"/>
      <c r="S261" s="87"/>
      <c r="T261" s="2"/>
      <c r="U261" s="2"/>
      <c r="V261" s="88" t="s">
        <v>100</v>
      </c>
      <c r="W261" s="88" t="s">
        <v>101</v>
      </c>
      <c r="X261" s="2"/>
      <c r="Y261" s="2"/>
      <c r="Z261" s="2"/>
    </row>
    <row r="262" ht="15.75" customHeight="1">
      <c r="A262" s="86"/>
      <c r="B262" s="86"/>
      <c r="C262" s="86"/>
      <c r="D262" s="86" t="str">
        <f>IFERROR(VLOOKUP(E262,Groups!$A:$I,3,FALSE()),"Unassigned")</f>
        <v>Unassigned</v>
      </c>
      <c r="E262" s="86"/>
      <c r="F262" s="86" t="str">
        <f>IFERROR(VLOOKUP(E262,Groups!$A:$I,2,FALSE()),"Unassigned")</f>
        <v>Unassigned</v>
      </c>
      <c r="G262" s="86" t="str">
        <f>IFERROR(VLOOKUP(E262,Groups!$A:$I,4,FALSE()),"Direct Reports")</f>
        <v>Direct Reports</v>
      </c>
      <c r="H262" s="86" t="str">
        <f t="shared" si="1"/>
        <v>Excluded</v>
      </c>
      <c r="I262" s="86"/>
      <c r="J262" s="86"/>
      <c r="K262" s="86"/>
      <c r="L262" s="86"/>
      <c r="M262" s="86"/>
      <c r="N262" s="86"/>
      <c r="O262" s="86"/>
      <c r="P262" s="86" t="b">
        <f t="shared" si="3"/>
        <v>0</v>
      </c>
      <c r="Q262" s="86">
        <f>COUNTIF(Licenses!$A:$A,C262)</f>
        <v>0</v>
      </c>
      <c r="R262" s="86"/>
      <c r="S262" s="87"/>
      <c r="T262" s="2"/>
      <c r="U262" s="2"/>
      <c r="V262" s="88" t="s">
        <v>100</v>
      </c>
      <c r="W262" s="88" t="s">
        <v>101</v>
      </c>
      <c r="X262" s="2"/>
      <c r="Y262" s="2"/>
      <c r="Z262" s="2"/>
    </row>
    <row r="263" ht="15.75" customHeight="1">
      <c r="A263" s="86"/>
      <c r="B263" s="86"/>
      <c r="C263" s="86"/>
      <c r="D263" s="86" t="str">
        <f>IFERROR(VLOOKUP(E263,Groups!$A:$I,3,FALSE()),"Unassigned")</f>
        <v>Unassigned</v>
      </c>
      <c r="E263" s="86"/>
      <c r="F263" s="86" t="str">
        <f>IFERROR(VLOOKUP(E263,Groups!$A:$I,2,FALSE()),"Unassigned")</f>
        <v>Unassigned</v>
      </c>
      <c r="G263" s="86" t="str">
        <f>IFERROR(VLOOKUP(E263,Groups!$A:$I,4,FALSE()),"Direct Reports")</f>
        <v>Direct Reports</v>
      </c>
      <c r="H263" s="86" t="str">
        <f t="shared" si="1"/>
        <v>Excluded</v>
      </c>
      <c r="I263" s="86"/>
      <c r="J263" s="86"/>
      <c r="K263" s="86"/>
      <c r="L263" s="86"/>
      <c r="M263" s="86"/>
      <c r="N263" s="86"/>
      <c r="O263" s="86"/>
      <c r="P263" s="86" t="b">
        <f t="shared" si="3"/>
        <v>0</v>
      </c>
      <c r="Q263" s="86">
        <f>COUNTIF(Licenses!$A:$A,C263)</f>
        <v>0</v>
      </c>
      <c r="R263" s="86"/>
      <c r="S263" s="87"/>
      <c r="T263" s="2"/>
      <c r="U263" s="2"/>
      <c r="V263" s="88" t="s">
        <v>100</v>
      </c>
      <c r="W263" s="88" t="s">
        <v>101</v>
      </c>
      <c r="X263" s="2"/>
      <c r="Y263" s="2"/>
      <c r="Z263" s="2"/>
    </row>
    <row r="264" ht="15.75" customHeight="1">
      <c r="A264" s="86"/>
      <c r="B264" s="86"/>
      <c r="C264" s="86"/>
      <c r="D264" s="86" t="str">
        <f>IFERROR(VLOOKUP(E264,Groups!$A:$I,3,FALSE()),"Unassigned")</f>
        <v>Unassigned</v>
      </c>
      <c r="E264" s="86"/>
      <c r="F264" s="86" t="str">
        <f>IFERROR(VLOOKUP(E264,Groups!$A:$I,2,FALSE()),"Unassigned")</f>
        <v>Unassigned</v>
      </c>
      <c r="G264" s="86" t="str">
        <f>IFERROR(VLOOKUP(E264,Groups!$A:$I,4,FALSE()),"Direct Reports")</f>
        <v>Direct Reports</v>
      </c>
      <c r="H264" s="86" t="str">
        <f t="shared" si="1"/>
        <v>Excluded</v>
      </c>
      <c r="I264" s="86"/>
      <c r="J264" s="86"/>
      <c r="K264" s="86"/>
      <c r="L264" s="86"/>
      <c r="M264" s="86"/>
      <c r="N264" s="86"/>
      <c r="O264" s="86"/>
      <c r="P264" s="86" t="b">
        <f t="shared" si="3"/>
        <v>0</v>
      </c>
      <c r="Q264" s="86">
        <f>COUNTIF(Licenses!$A:$A,C264)</f>
        <v>0</v>
      </c>
      <c r="R264" s="86"/>
      <c r="S264" s="87"/>
      <c r="T264" s="2"/>
      <c r="U264" s="2"/>
      <c r="V264" s="88" t="s">
        <v>100</v>
      </c>
      <c r="W264" s="88" t="s">
        <v>101</v>
      </c>
      <c r="X264" s="2"/>
      <c r="Y264" s="2"/>
      <c r="Z264" s="2"/>
    </row>
    <row r="265" ht="15.75" customHeight="1">
      <c r="A265" s="86"/>
      <c r="B265" s="86"/>
      <c r="C265" s="86"/>
      <c r="D265" s="86" t="str">
        <f>IFERROR(VLOOKUP(E265,Groups!$A:$I,3,FALSE()),"Unassigned")</f>
        <v>Unassigned</v>
      </c>
      <c r="E265" s="86"/>
      <c r="F265" s="86" t="str">
        <f>IFERROR(VLOOKUP(E265,Groups!$A:$I,2,FALSE()),"Unassigned")</f>
        <v>Unassigned</v>
      </c>
      <c r="G265" s="86" t="str">
        <f>IFERROR(VLOOKUP(E265,Groups!$A:$I,4,FALSE()),"Direct Reports")</f>
        <v>Direct Reports</v>
      </c>
      <c r="H265" s="86" t="str">
        <f t="shared" si="1"/>
        <v>Excluded</v>
      </c>
      <c r="I265" s="86"/>
      <c r="J265" s="86"/>
      <c r="K265" s="86"/>
      <c r="L265" s="86"/>
      <c r="M265" s="86"/>
      <c r="N265" s="86"/>
      <c r="O265" s="86"/>
      <c r="P265" s="86" t="b">
        <f t="shared" si="3"/>
        <v>0</v>
      </c>
      <c r="Q265" s="86">
        <f>COUNTIF(Licenses!$A:$A,C265)</f>
        <v>0</v>
      </c>
      <c r="R265" s="86"/>
      <c r="S265" s="87"/>
      <c r="T265" s="2"/>
      <c r="U265" s="2"/>
      <c r="V265" s="88" t="s">
        <v>100</v>
      </c>
      <c r="W265" s="88" t="s">
        <v>101</v>
      </c>
      <c r="X265" s="2"/>
      <c r="Y265" s="2"/>
      <c r="Z265" s="2"/>
    </row>
    <row r="266" ht="15.75" customHeight="1">
      <c r="A266" s="86"/>
      <c r="B266" s="86"/>
      <c r="C266" s="86"/>
      <c r="D266" s="86" t="str">
        <f>IFERROR(VLOOKUP(E266,Groups!$A:$I,3,FALSE()),"Unassigned")</f>
        <v>Unassigned</v>
      </c>
      <c r="E266" s="86"/>
      <c r="F266" s="86" t="str">
        <f>IFERROR(VLOOKUP(E266,Groups!$A:$I,2,FALSE()),"Unassigned")</f>
        <v>Unassigned</v>
      </c>
      <c r="G266" s="86" t="str">
        <f>IFERROR(VLOOKUP(E266,Groups!$A:$I,4,FALSE()),"Direct Reports")</f>
        <v>Direct Reports</v>
      </c>
      <c r="H266" s="86" t="str">
        <f t="shared" si="1"/>
        <v>Excluded</v>
      </c>
      <c r="I266" s="86"/>
      <c r="J266" s="86"/>
      <c r="K266" s="86"/>
      <c r="L266" s="86"/>
      <c r="M266" s="86"/>
      <c r="N266" s="86"/>
      <c r="O266" s="86"/>
      <c r="P266" s="86" t="b">
        <f t="shared" si="3"/>
        <v>0</v>
      </c>
      <c r="Q266" s="86">
        <f>COUNTIF(Licenses!$A:$A,C266)</f>
        <v>0</v>
      </c>
      <c r="R266" s="86"/>
      <c r="S266" s="87"/>
      <c r="T266" s="2"/>
      <c r="U266" s="2"/>
      <c r="V266" s="88" t="s">
        <v>100</v>
      </c>
      <c r="W266" s="88" t="s">
        <v>101</v>
      </c>
      <c r="X266" s="2"/>
      <c r="Y266" s="2"/>
      <c r="Z266" s="2"/>
    </row>
    <row r="267" ht="15.75" customHeight="1">
      <c r="A267" s="86"/>
      <c r="B267" s="86"/>
      <c r="C267" s="86"/>
      <c r="D267" s="86" t="str">
        <f>IFERROR(VLOOKUP(E267,Groups!$A:$I,3,FALSE()),"Unassigned")</f>
        <v>Unassigned</v>
      </c>
      <c r="E267" s="86"/>
      <c r="F267" s="86" t="str">
        <f>IFERROR(VLOOKUP(E267,Groups!$A:$I,2,FALSE()),"Unassigned")</f>
        <v>Unassigned</v>
      </c>
      <c r="G267" s="86" t="str">
        <f>IFERROR(VLOOKUP(E267,Groups!$A:$I,4,FALSE()),"Direct Reports")</f>
        <v>Direct Reports</v>
      </c>
      <c r="H267" s="86" t="str">
        <f t="shared" si="1"/>
        <v>Excluded</v>
      </c>
      <c r="I267" s="86"/>
      <c r="J267" s="86"/>
      <c r="K267" s="86"/>
      <c r="L267" s="86"/>
      <c r="M267" s="86"/>
      <c r="N267" s="86"/>
      <c r="O267" s="86"/>
      <c r="P267" s="86" t="b">
        <f t="shared" si="3"/>
        <v>0</v>
      </c>
      <c r="Q267" s="86">
        <f>COUNTIF(Licenses!$A:$A,C267)</f>
        <v>0</v>
      </c>
      <c r="R267" s="86"/>
      <c r="S267" s="87"/>
      <c r="T267" s="2"/>
      <c r="U267" s="2"/>
      <c r="V267" s="88" t="s">
        <v>100</v>
      </c>
      <c r="W267" s="88" t="s">
        <v>101</v>
      </c>
      <c r="X267" s="2"/>
      <c r="Y267" s="2"/>
      <c r="Z267" s="2"/>
    </row>
    <row r="268" ht="15.75" customHeight="1">
      <c r="A268" s="86"/>
      <c r="B268" s="86"/>
      <c r="C268" s="86"/>
      <c r="D268" s="86" t="str">
        <f>IFERROR(VLOOKUP(E268,Groups!$A:$I,3,FALSE()),"Unassigned")</f>
        <v>Unassigned</v>
      </c>
      <c r="E268" s="86"/>
      <c r="F268" s="86" t="str">
        <f>IFERROR(VLOOKUP(E268,Groups!$A:$I,2,FALSE()),"Unassigned")</f>
        <v>Unassigned</v>
      </c>
      <c r="G268" s="86" t="str">
        <f>IFERROR(VLOOKUP(E268,Groups!$A:$I,4,FALSE()),"Direct Reports")</f>
        <v>Direct Reports</v>
      </c>
      <c r="H268" s="86" t="str">
        <f t="shared" si="1"/>
        <v>Excluded</v>
      </c>
      <c r="I268" s="86"/>
      <c r="J268" s="86"/>
      <c r="K268" s="86"/>
      <c r="L268" s="86"/>
      <c r="M268" s="86"/>
      <c r="N268" s="86"/>
      <c r="O268" s="86"/>
      <c r="P268" s="86" t="b">
        <f t="shared" si="3"/>
        <v>0</v>
      </c>
      <c r="Q268" s="86">
        <f>COUNTIF(Licenses!$A:$A,C268)</f>
        <v>0</v>
      </c>
      <c r="R268" s="86"/>
      <c r="S268" s="87"/>
      <c r="T268" s="2"/>
      <c r="U268" s="2"/>
      <c r="V268" s="88" t="s">
        <v>100</v>
      </c>
      <c r="W268" s="88" t="s">
        <v>101</v>
      </c>
      <c r="X268" s="2"/>
      <c r="Y268" s="2"/>
      <c r="Z268" s="2"/>
    </row>
    <row r="269" ht="15.75" customHeight="1">
      <c r="A269" s="86"/>
      <c r="B269" s="86"/>
      <c r="C269" s="86"/>
      <c r="D269" s="86" t="str">
        <f>IFERROR(VLOOKUP(E269,Groups!$A:$I,3,FALSE()),"Unassigned")</f>
        <v>Unassigned</v>
      </c>
      <c r="E269" s="86"/>
      <c r="F269" s="86" t="str">
        <f>IFERROR(VLOOKUP(E269,Groups!$A:$I,2,FALSE()),"Unassigned")</f>
        <v>Unassigned</v>
      </c>
      <c r="G269" s="86" t="str">
        <f>IFERROR(VLOOKUP(E269,Groups!$A:$I,4,FALSE()),"Direct Reports")</f>
        <v>Direct Reports</v>
      </c>
      <c r="H269" s="86" t="str">
        <f t="shared" si="1"/>
        <v>Excluded</v>
      </c>
      <c r="I269" s="86"/>
      <c r="J269" s="86"/>
      <c r="K269" s="86"/>
      <c r="L269" s="86"/>
      <c r="M269" s="86"/>
      <c r="N269" s="86"/>
      <c r="O269" s="86"/>
      <c r="P269" s="86" t="b">
        <f t="shared" si="3"/>
        <v>0</v>
      </c>
      <c r="Q269" s="86">
        <f>COUNTIF(Licenses!$A:$A,C269)</f>
        <v>0</v>
      </c>
      <c r="R269" s="86"/>
      <c r="S269" s="87"/>
      <c r="T269" s="2"/>
      <c r="U269" s="2"/>
      <c r="V269" s="88" t="s">
        <v>100</v>
      </c>
      <c r="W269" s="88" t="s">
        <v>101</v>
      </c>
      <c r="X269" s="2"/>
      <c r="Y269" s="2"/>
      <c r="Z269" s="2"/>
    </row>
    <row r="270" ht="15.75" customHeight="1">
      <c r="A270" s="86"/>
      <c r="B270" s="86"/>
      <c r="C270" s="86"/>
      <c r="D270" s="86" t="str">
        <f>IFERROR(VLOOKUP(E270,Groups!$A:$I,3,FALSE()),"Unassigned")</f>
        <v>Unassigned</v>
      </c>
      <c r="E270" s="86"/>
      <c r="F270" s="86" t="str">
        <f>IFERROR(VLOOKUP(E270,Groups!$A:$I,2,FALSE()),"Unassigned")</f>
        <v>Unassigned</v>
      </c>
      <c r="G270" s="86" t="str">
        <f>IFERROR(VLOOKUP(E270,Groups!$A:$I,4,FALSE()),"Direct Reports")</f>
        <v>Direct Reports</v>
      </c>
      <c r="H270" s="86" t="str">
        <f t="shared" si="1"/>
        <v>Excluded</v>
      </c>
      <c r="I270" s="86"/>
      <c r="J270" s="86"/>
      <c r="K270" s="86"/>
      <c r="L270" s="86"/>
      <c r="M270" s="86"/>
      <c r="N270" s="86"/>
      <c r="O270" s="86"/>
      <c r="P270" s="86" t="b">
        <f t="shared" si="3"/>
        <v>0</v>
      </c>
      <c r="Q270" s="86">
        <f>COUNTIF(Licenses!$A:$A,C270)</f>
        <v>0</v>
      </c>
      <c r="R270" s="86"/>
      <c r="S270" s="87"/>
      <c r="T270" s="2"/>
      <c r="U270" s="2"/>
      <c r="V270" s="88" t="s">
        <v>100</v>
      </c>
      <c r="W270" s="88" t="s">
        <v>101</v>
      </c>
      <c r="X270" s="2"/>
      <c r="Y270" s="2"/>
      <c r="Z270" s="2"/>
    </row>
    <row r="271" ht="15.75" customHeight="1">
      <c r="A271" s="86"/>
      <c r="B271" s="86"/>
      <c r="C271" s="86"/>
      <c r="D271" s="86" t="str">
        <f>IFERROR(VLOOKUP(E271,Groups!$A:$I,3,FALSE()),"Unassigned")</f>
        <v>Unassigned</v>
      </c>
      <c r="E271" s="86"/>
      <c r="F271" s="86" t="str">
        <f>IFERROR(VLOOKUP(E271,Groups!$A:$I,2,FALSE()),"Unassigned")</f>
        <v>Unassigned</v>
      </c>
      <c r="G271" s="86" t="str">
        <f>IFERROR(VLOOKUP(E271,Groups!$A:$I,4,FALSE()),"Direct Reports")</f>
        <v>Direct Reports</v>
      </c>
      <c r="H271" s="86" t="str">
        <f t="shared" si="1"/>
        <v>Excluded</v>
      </c>
      <c r="I271" s="86"/>
      <c r="J271" s="86"/>
      <c r="K271" s="86"/>
      <c r="L271" s="86"/>
      <c r="M271" s="86"/>
      <c r="N271" s="86"/>
      <c r="O271" s="86"/>
      <c r="P271" s="86" t="b">
        <f t="shared" si="3"/>
        <v>0</v>
      </c>
      <c r="Q271" s="86">
        <f>COUNTIF(Licenses!$A:$A,C271)</f>
        <v>0</v>
      </c>
      <c r="R271" s="86"/>
      <c r="S271" s="87"/>
      <c r="T271" s="2"/>
      <c r="U271" s="2"/>
      <c r="V271" s="88" t="s">
        <v>100</v>
      </c>
      <c r="W271" s="88" t="s">
        <v>101</v>
      </c>
      <c r="X271" s="2"/>
      <c r="Y271" s="2"/>
      <c r="Z271" s="2"/>
    </row>
    <row r="272" ht="15.75" customHeight="1">
      <c r="A272" s="86"/>
      <c r="B272" s="86"/>
      <c r="C272" s="86"/>
      <c r="D272" s="86" t="str">
        <f>IFERROR(VLOOKUP(E272,Groups!$A:$I,3,FALSE()),"Unassigned")</f>
        <v>Unassigned</v>
      </c>
      <c r="E272" s="86"/>
      <c r="F272" s="86" t="str">
        <f>IFERROR(VLOOKUP(E272,Groups!$A:$I,2,FALSE()),"Unassigned")</f>
        <v>Unassigned</v>
      </c>
      <c r="G272" s="86" t="str">
        <f>IFERROR(VLOOKUP(E272,Groups!$A:$I,4,FALSE()),"Direct Reports")</f>
        <v>Direct Reports</v>
      </c>
      <c r="H272" s="86" t="str">
        <f t="shared" si="1"/>
        <v>Excluded</v>
      </c>
      <c r="I272" s="86"/>
      <c r="J272" s="86"/>
      <c r="K272" s="86"/>
      <c r="L272" s="86"/>
      <c r="M272" s="86"/>
      <c r="N272" s="86"/>
      <c r="O272" s="86"/>
      <c r="P272" s="86" t="b">
        <f t="shared" si="3"/>
        <v>0</v>
      </c>
      <c r="Q272" s="86">
        <f>COUNTIF(Licenses!$A:$A,C272)</f>
        <v>0</v>
      </c>
      <c r="R272" s="86"/>
      <c r="S272" s="87"/>
      <c r="T272" s="2"/>
      <c r="U272" s="2"/>
      <c r="V272" s="88" t="s">
        <v>100</v>
      </c>
      <c r="W272" s="88" t="s">
        <v>101</v>
      </c>
      <c r="X272" s="2"/>
      <c r="Y272" s="2"/>
      <c r="Z272" s="2"/>
    </row>
    <row r="273" ht="15.75" customHeight="1">
      <c r="A273" s="86"/>
      <c r="B273" s="86"/>
      <c r="C273" s="86"/>
      <c r="D273" s="86" t="str">
        <f>IFERROR(VLOOKUP(E273,Groups!$A:$I,3,FALSE()),"Unassigned")</f>
        <v>Unassigned</v>
      </c>
      <c r="E273" s="86"/>
      <c r="F273" s="86" t="str">
        <f>IFERROR(VLOOKUP(E273,Groups!$A:$I,2,FALSE()),"Unassigned")</f>
        <v>Unassigned</v>
      </c>
      <c r="G273" s="86" t="str">
        <f>IFERROR(VLOOKUP(E273,Groups!$A:$I,4,FALSE()),"Direct Reports")</f>
        <v>Direct Reports</v>
      </c>
      <c r="H273" s="86" t="str">
        <f t="shared" si="1"/>
        <v>Excluded</v>
      </c>
      <c r="I273" s="86"/>
      <c r="J273" s="86"/>
      <c r="K273" s="86"/>
      <c r="L273" s="86"/>
      <c r="M273" s="86"/>
      <c r="N273" s="86"/>
      <c r="O273" s="86"/>
      <c r="P273" s="86" t="b">
        <f t="shared" si="3"/>
        <v>0</v>
      </c>
      <c r="Q273" s="86">
        <f>COUNTIF(Licenses!$A:$A,C273)</f>
        <v>0</v>
      </c>
      <c r="R273" s="86"/>
      <c r="S273" s="87"/>
      <c r="T273" s="2"/>
      <c r="U273" s="2"/>
      <c r="V273" s="88" t="s">
        <v>100</v>
      </c>
      <c r="W273" s="88" t="s">
        <v>101</v>
      </c>
      <c r="X273" s="2"/>
      <c r="Y273" s="2"/>
      <c r="Z273" s="2"/>
    </row>
    <row r="274" ht="15.75" customHeight="1">
      <c r="A274" s="86"/>
      <c r="B274" s="86"/>
      <c r="C274" s="86"/>
      <c r="D274" s="86" t="str">
        <f>IFERROR(VLOOKUP(E274,Groups!$A:$I,3,FALSE()),"Unassigned")</f>
        <v>Unassigned</v>
      </c>
      <c r="E274" s="86"/>
      <c r="F274" s="86" t="str">
        <f>IFERROR(VLOOKUP(E274,Groups!$A:$I,2,FALSE()),"Unassigned")</f>
        <v>Unassigned</v>
      </c>
      <c r="G274" s="86" t="str">
        <f>IFERROR(VLOOKUP(E274,Groups!$A:$I,4,FALSE()),"Direct Reports")</f>
        <v>Direct Reports</v>
      </c>
      <c r="H274" s="86" t="str">
        <f t="shared" si="1"/>
        <v>Excluded</v>
      </c>
      <c r="I274" s="86"/>
      <c r="J274" s="86"/>
      <c r="K274" s="86"/>
      <c r="L274" s="86"/>
      <c r="M274" s="86"/>
      <c r="N274" s="86"/>
      <c r="O274" s="86"/>
      <c r="P274" s="86" t="b">
        <f t="shared" si="3"/>
        <v>0</v>
      </c>
      <c r="Q274" s="86">
        <f>COUNTIF(Licenses!$A:$A,C274)</f>
        <v>0</v>
      </c>
      <c r="R274" s="86"/>
      <c r="S274" s="87"/>
      <c r="T274" s="2"/>
      <c r="U274" s="2"/>
      <c r="V274" s="88" t="s">
        <v>100</v>
      </c>
      <c r="W274" s="88" t="s">
        <v>101</v>
      </c>
      <c r="X274" s="2"/>
      <c r="Y274" s="2"/>
      <c r="Z274" s="2"/>
    </row>
    <row r="275" ht="15.75" customHeight="1">
      <c r="A275" s="86"/>
      <c r="B275" s="86"/>
      <c r="C275" s="86"/>
      <c r="D275" s="86" t="str">
        <f>IFERROR(VLOOKUP(E275,Groups!$A:$I,3,FALSE()),"Unassigned")</f>
        <v>Unassigned</v>
      </c>
      <c r="E275" s="86"/>
      <c r="F275" s="86" t="str">
        <f>IFERROR(VLOOKUP(E275,Groups!$A:$I,2,FALSE()),"Unassigned")</f>
        <v>Unassigned</v>
      </c>
      <c r="G275" s="86" t="str">
        <f>IFERROR(VLOOKUP(E275,Groups!$A:$I,4,FALSE()),"Direct Reports")</f>
        <v>Direct Reports</v>
      </c>
      <c r="H275" s="86" t="str">
        <f t="shared" si="1"/>
        <v>Excluded</v>
      </c>
      <c r="I275" s="86"/>
      <c r="J275" s="86"/>
      <c r="K275" s="86"/>
      <c r="L275" s="86"/>
      <c r="M275" s="86"/>
      <c r="N275" s="86"/>
      <c r="O275" s="86"/>
      <c r="P275" s="86" t="b">
        <f t="shared" si="3"/>
        <v>0</v>
      </c>
      <c r="Q275" s="86">
        <f>COUNTIF(Licenses!$A:$A,C275)</f>
        <v>0</v>
      </c>
      <c r="R275" s="86"/>
      <c r="S275" s="87"/>
      <c r="T275" s="2"/>
      <c r="U275" s="2"/>
      <c r="V275" s="88" t="s">
        <v>100</v>
      </c>
      <c r="W275" s="88" t="s">
        <v>101</v>
      </c>
      <c r="X275" s="2"/>
      <c r="Y275" s="2"/>
      <c r="Z275" s="2"/>
    </row>
    <row r="276" ht="15.75" customHeight="1">
      <c r="A276" s="86"/>
      <c r="B276" s="86"/>
      <c r="C276" s="86"/>
      <c r="D276" s="86" t="str">
        <f>IFERROR(VLOOKUP(E276,Groups!$A:$I,3,FALSE()),"Unassigned")</f>
        <v>Unassigned</v>
      </c>
      <c r="E276" s="86"/>
      <c r="F276" s="86" t="str">
        <f>IFERROR(VLOOKUP(E276,Groups!$A:$I,2,FALSE()),"Unassigned")</f>
        <v>Unassigned</v>
      </c>
      <c r="G276" s="86" t="str">
        <f>IFERROR(VLOOKUP(E276,Groups!$A:$I,4,FALSE()),"Direct Reports")</f>
        <v>Direct Reports</v>
      </c>
      <c r="H276" s="86" t="str">
        <f t="shared" si="1"/>
        <v>Excluded</v>
      </c>
      <c r="I276" s="86"/>
      <c r="J276" s="86"/>
      <c r="K276" s="86"/>
      <c r="L276" s="86"/>
      <c r="M276" s="86"/>
      <c r="N276" s="86"/>
      <c r="O276" s="86"/>
      <c r="P276" s="86" t="b">
        <f t="shared" si="3"/>
        <v>0</v>
      </c>
      <c r="Q276" s="86">
        <f>COUNTIF(Licenses!$A:$A,C276)</f>
        <v>0</v>
      </c>
      <c r="R276" s="86"/>
      <c r="S276" s="87"/>
      <c r="T276" s="2"/>
      <c r="U276" s="2"/>
      <c r="V276" s="88" t="s">
        <v>100</v>
      </c>
      <c r="W276" s="88" t="s">
        <v>101</v>
      </c>
      <c r="X276" s="2"/>
      <c r="Y276" s="2"/>
      <c r="Z276" s="2"/>
    </row>
    <row r="277" ht="15.75" customHeight="1">
      <c r="A277" s="86"/>
      <c r="B277" s="86"/>
      <c r="C277" s="86"/>
      <c r="D277" s="86" t="str">
        <f>IFERROR(VLOOKUP(E277,Groups!$A:$I,3,FALSE()),"Unassigned")</f>
        <v>Unassigned</v>
      </c>
      <c r="E277" s="86"/>
      <c r="F277" s="86" t="str">
        <f>IFERROR(VLOOKUP(E277,Groups!$A:$I,2,FALSE()),"Unassigned")</f>
        <v>Unassigned</v>
      </c>
      <c r="G277" s="86" t="str">
        <f>IFERROR(VLOOKUP(E277,Groups!$A:$I,4,FALSE()),"Direct Reports")</f>
        <v>Direct Reports</v>
      </c>
      <c r="H277" s="86" t="str">
        <f t="shared" si="1"/>
        <v>Excluded</v>
      </c>
      <c r="I277" s="86"/>
      <c r="J277" s="86"/>
      <c r="K277" s="86"/>
      <c r="L277" s="86"/>
      <c r="M277" s="86"/>
      <c r="N277" s="86"/>
      <c r="O277" s="86"/>
      <c r="P277" s="86" t="b">
        <f t="shared" si="3"/>
        <v>0</v>
      </c>
      <c r="Q277" s="86">
        <f>COUNTIF(Licenses!$A:$A,C277)</f>
        <v>0</v>
      </c>
      <c r="R277" s="86"/>
      <c r="S277" s="87"/>
      <c r="T277" s="2"/>
      <c r="U277" s="2"/>
      <c r="V277" s="88" t="s">
        <v>100</v>
      </c>
      <c r="W277" s="88" t="s">
        <v>101</v>
      </c>
      <c r="X277" s="2"/>
      <c r="Y277" s="2"/>
      <c r="Z277" s="2"/>
    </row>
    <row r="278" ht="15.75" customHeight="1">
      <c r="A278" s="86"/>
      <c r="B278" s="86"/>
      <c r="C278" s="86"/>
      <c r="D278" s="86" t="str">
        <f>IFERROR(VLOOKUP(E278,Groups!$A:$I,3,FALSE()),"Unassigned")</f>
        <v>Unassigned</v>
      </c>
      <c r="E278" s="86"/>
      <c r="F278" s="86" t="str">
        <f>IFERROR(VLOOKUP(E278,Groups!$A:$I,2,FALSE()),"Unassigned")</f>
        <v>Unassigned</v>
      </c>
      <c r="G278" s="86" t="str">
        <f>IFERROR(VLOOKUP(E278,Groups!$A:$I,4,FALSE()),"Direct Reports")</f>
        <v>Direct Reports</v>
      </c>
      <c r="H278" s="86" t="str">
        <f t="shared" si="1"/>
        <v>Excluded</v>
      </c>
      <c r="I278" s="86"/>
      <c r="J278" s="86"/>
      <c r="K278" s="86"/>
      <c r="L278" s="86"/>
      <c r="M278" s="86"/>
      <c r="N278" s="86"/>
      <c r="O278" s="86"/>
      <c r="P278" s="86" t="b">
        <f t="shared" si="3"/>
        <v>0</v>
      </c>
      <c r="Q278" s="86">
        <f>COUNTIF(Licenses!$A:$A,C278)</f>
        <v>0</v>
      </c>
      <c r="R278" s="86"/>
      <c r="S278" s="87"/>
      <c r="T278" s="2"/>
      <c r="U278" s="2"/>
      <c r="V278" s="88" t="s">
        <v>100</v>
      </c>
      <c r="W278" s="88" t="s">
        <v>101</v>
      </c>
      <c r="X278" s="2"/>
      <c r="Y278" s="2"/>
      <c r="Z278" s="2"/>
    </row>
    <row r="279" ht="15.75" customHeight="1">
      <c r="A279" s="86"/>
      <c r="B279" s="86"/>
      <c r="C279" s="86"/>
      <c r="D279" s="86" t="str">
        <f>IFERROR(VLOOKUP(E279,Groups!$A:$I,3,FALSE()),"Unassigned")</f>
        <v>Unassigned</v>
      </c>
      <c r="E279" s="86"/>
      <c r="F279" s="86" t="str">
        <f>IFERROR(VLOOKUP(E279,Groups!$A:$I,2,FALSE()),"Unassigned")</f>
        <v>Unassigned</v>
      </c>
      <c r="G279" s="86" t="str">
        <f>IFERROR(VLOOKUP(E279,Groups!$A:$I,4,FALSE()),"Direct Reports")</f>
        <v>Direct Reports</v>
      </c>
      <c r="H279" s="86" t="str">
        <f t="shared" si="1"/>
        <v>Excluded</v>
      </c>
      <c r="I279" s="86"/>
      <c r="J279" s="86"/>
      <c r="K279" s="86"/>
      <c r="L279" s="86"/>
      <c r="M279" s="86"/>
      <c r="N279" s="86"/>
      <c r="O279" s="86"/>
      <c r="P279" s="86" t="b">
        <f t="shared" si="3"/>
        <v>0</v>
      </c>
      <c r="Q279" s="86">
        <f>COUNTIF(Licenses!$A:$A,C279)</f>
        <v>0</v>
      </c>
      <c r="R279" s="86"/>
      <c r="S279" s="87"/>
      <c r="T279" s="2"/>
      <c r="U279" s="2"/>
      <c r="V279" s="88" t="s">
        <v>100</v>
      </c>
      <c r="W279" s="88" t="s">
        <v>101</v>
      </c>
      <c r="X279" s="2"/>
      <c r="Y279" s="2"/>
      <c r="Z279" s="2"/>
    </row>
    <row r="280" ht="15.75" customHeight="1">
      <c r="A280" s="86"/>
      <c r="B280" s="86"/>
      <c r="C280" s="86"/>
      <c r="D280" s="86" t="str">
        <f>IFERROR(VLOOKUP(E280,Groups!$A:$I,3,FALSE()),"Unassigned")</f>
        <v>Unassigned</v>
      </c>
      <c r="E280" s="86"/>
      <c r="F280" s="86" t="str">
        <f>IFERROR(VLOOKUP(E280,Groups!$A:$I,2,FALSE()),"Unassigned")</f>
        <v>Unassigned</v>
      </c>
      <c r="G280" s="86" t="str">
        <f>IFERROR(VLOOKUP(E280,Groups!$A:$I,4,FALSE()),"Direct Reports")</f>
        <v>Direct Reports</v>
      </c>
      <c r="H280" s="86" t="str">
        <f t="shared" si="1"/>
        <v>Excluded</v>
      </c>
      <c r="I280" s="86"/>
      <c r="J280" s="86"/>
      <c r="K280" s="86"/>
      <c r="L280" s="86"/>
      <c r="M280" s="86"/>
      <c r="N280" s="86"/>
      <c r="O280" s="86"/>
      <c r="P280" s="86" t="b">
        <f t="shared" si="3"/>
        <v>0</v>
      </c>
      <c r="Q280" s="86">
        <f>COUNTIF(Licenses!$A:$A,C280)</f>
        <v>0</v>
      </c>
      <c r="R280" s="86"/>
      <c r="S280" s="87"/>
      <c r="T280" s="2"/>
      <c r="U280" s="2"/>
      <c r="V280" s="88" t="s">
        <v>100</v>
      </c>
      <c r="W280" s="88" t="s">
        <v>101</v>
      </c>
      <c r="X280" s="2"/>
      <c r="Y280" s="2"/>
      <c r="Z280" s="2"/>
    </row>
    <row r="281" ht="15.75" customHeight="1">
      <c r="A281" s="86"/>
      <c r="B281" s="86"/>
      <c r="C281" s="86"/>
      <c r="D281" s="86" t="str">
        <f>IFERROR(VLOOKUP(E281,Groups!$A:$I,3,FALSE()),"Unassigned")</f>
        <v>Unassigned</v>
      </c>
      <c r="E281" s="86"/>
      <c r="F281" s="86" t="str">
        <f>IFERROR(VLOOKUP(E281,Groups!$A:$I,2,FALSE()),"Unassigned")</f>
        <v>Unassigned</v>
      </c>
      <c r="G281" s="86" t="str">
        <f>IFERROR(VLOOKUP(E281,Groups!$A:$I,4,FALSE()),"Direct Reports")</f>
        <v>Direct Reports</v>
      </c>
      <c r="H281" s="86" t="str">
        <f t="shared" si="1"/>
        <v>Excluded</v>
      </c>
      <c r="I281" s="86"/>
      <c r="J281" s="86"/>
      <c r="K281" s="86"/>
      <c r="L281" s="86"/>
      <c r="M281" s="86"/>
      <c r="N281" s="86"/>
      <c r="O281" s="86"/>
      <c r="P281" s="86" t="b">
        <f t="shared" si="3"/>
        <v>0</v>
      </c>
      <c r="Q281" s="86">
        <f>COUNTIF(Licenses!$A:$A,C281)</f>
        <v>0</v>
      </c>
      <c r="R281" s="86"/>
      <c r="S281" s="87"/>
      <c r="T281" s="2"/>
      <c r="U281" s="2"/>
      <c r="V281" s="88" t="s">
        <v>100</v>
      </c>
      <c r="W281" s="88" t="s">
        <v>101</v>
      </c>
      <c r="X281" s="2"/>
      <c r="Y281" s="2"/>
      <c r="Z281" s="2"/>
    </row>
    <row r="282" ht="15.75" customHeight="1">
      <c r="A282" s="86"/>
      <c r="B282" s="86"/>
      <c r="C282" s="86"/>
      <c r="D282" s="86" t="str">
        <f>IFERROR(VLOOKUP(E282,Groups!$A:$I,3,FALSE()),"Unassigned")</f>
        <v>Unassigned</v>
      </c>
      <c r="E282" s="86"/>
      <c r="F282" s="86" t="str">
        <f>IFERROR(VLOOKUP(E282,Groups!$A:$I,2,FALSE()),"Unassigned")</f>
        <v>Unassigned</v>
      </c>
      <c r="G282" s="86" t="str">
        <f>IFERROR(VLOOKUP(E282,Groups!$A:$I,4,FALSE()),"Direct Reports")</f>
        <v>Direct Reports</v>
      </c>
      <c r="H282" s="86" t="str">
        <f t="shared" si="1"/>
        <v>Excluded</v>
      </c>
      <c r="I282" s="86"/>
      <c r="J282" s="86"/>
      <c r="K282" s="86"/>
      <c r="L282" s="86"/>
      <c r="M282" s="86"/>
      <c r="N282" s="86"/>
      <c r="O282" s="86"/>
      <c r="P282" s="86" t="b">
        <f t="shared" si="3"/>
        <v>0</v>
      </c>
      <c r="Q282" s="86">
        <f>COUNTIF(Licenses!$A:$A,C282)</f>
        <v>0</v>
      </c>
      <c r="R282" s="86"/>
      <c r="S282" s="87"/>
      <c r="T282" s="2"/>
      <c r="U282" s="2"/>
      <c r="V282" s="88" t="s">
        <v>100</v>
      </c>
      <c r="W282" s="88" t="s">
        <v>101</v>
      </c>
      <c r="X282" s="2"/>
      <c r="Y282" s="2"/>
      <c r="Z282" s="2"/>
    </row>
    <row r="283" ht="15.75" customHeight="1">
      <c r="A283" s="86"/>
      <c r="B283" s="86"/>
      <c r="C283" s="86"/>
      <c r="D283" s="86" t="str">
        <f>IFERROR(VLOOKUP(E283,Groups!$A:$I,3,FALSE()),"Unassigned")</f>
        <v>Unassigned</v>
      </c>
      <c r="E283" s="86"/>
      <c r="F283" s="86" t="str">
        <f>IFERROR(VLOOKUP(E283,Groups!$A:$I,2,FALSE()),"Unassigned")</f>
        <v>Unassigned</v>
      </c>
      <c r="G283" s="86" t="str">
        <f>IFERROR(VLOOKUP(E283,Groups!$A:$I,4,FALSE()),"Direct Reports")</f>
        <v>Direct Reports</v>
      </c>
      <c r="H283" s="86" t="str">
        <f t="shared" si="1"/>
        <v>Excluded</v>
      </c>
      <c r="I283" s="86"/>
      <c r="J283" s="86"/>
      <c r="K283" s="86"/>
      <c r="L283" s="86"/>
      <c r="M283" s="86"/>
      <c r="N283" s="86"/>
      <c r="O283" s="86"/>
      <c r="P283" s="86" t="b">
        <f t="shared" si="3"/>
        <v>0</v>
      </c>
      <c r="Q283" s="86">
        <f>COUNTIF(Licenses!$A:$A,C283)</f>
        <v>0</v>
      </c>
      <c r="R283" s="86"/>
      <c r="S283" s="87"/>
      <c r="T283" s="2"/>
      <c r="U283" s="2"/>
      <c r="V283" s="88" t="s">
        <v>100</v>
      </c>
      <c r="W283" s="88" t="s">
        <v>101</v>
      </c>
      <c r="X283" s="2"/>
      <c r="Y283" s="2"/>
      <c r="Z283" s="2"/>
    </row>
    <row r="284" ht="15.75" customHeight="1">
      <c r="A284" s="86"/>
      <c r="B284" s="86"/>
      <c r="C284" s="86"/>
      <c r="D284" s="86" t="str">
        <f>IFERROR(VLOOKUP(E284,Groups!$A:$I,3,FALSE()),"Unassigned")</f>
        <v>Unassigned</v>
      </c>
      <c r="E284" s="86"/>
      <c r="F284" s="86" t="str">
        <f>IFERROR(VLOOKUP(E284,Groups!$A:$I,2,FALSE()),"Unassigned")</f>
        <v>Unassigned</v>
      </c>
      <c r="G284" s="86" t="str">
        <f>IFERROR(VLOOKUP(E284,Groups!$A:$I,4,FALSE()),"Direct Reports")</f>
        <v>Direct Reports</v>
      </c>
      <c r="H284" s="86" t="str">
        <f t="shared" si="1"/>
        <v>Excluded</v>
      </c>
      <c r="I284" s="86"/>
      <c r="J284" s="86"/>
      <c r="K284" s="86"/>
      <c r="L284" s="86"/>
      <c r="M284" s="86"/>
      <c r="N284" s="86"/>
      <c r="O284" s="86"/>
      <c r="P284" s="86" t="b">
        <f t="shared" si="3"/>
        <v>0</v>
      </c>
      <c r="Q284" s="86">
        <f>COUNTIF(Licenses!$A:$A,C284)</f>
        <v>0</v>
      </c>
      <c r="R284" s="86"/>
      <c r="S284" s="87"/>
      <c r="T284" s="2"/>
      <c r="U284" s="2"/>
      <c r="V284" s="88" t="s">
        <v>100</v>
      </c>
      <c r="W284" s="88" t="s">
        <v>101</v>
      </c>
      <c r="X284" s="2"/>
      <c r="Y284" s="2"/>
      <c r="Z284" s="2"/>
    </row>
    <row r="285" ht="15.75" customHeight="1">
      <c r="A285" s="86"/>
      <c r="B285" s="86"/>
      <c r="C285" s="86"/>
      <c r="D285" s="86" t="str">
        <f>IFERROR(VLOOKUP(E285,Groups!$A:$I,3,FALSE()),"Unassigned")</f>
        <v>Unassigned</v>
      </c>
      <c r="E285" s="86"/>
      <c r="F285" s="86" t="str">
        <f>IFERROR(VLOOKUP(E285,Groups!$A:$I,2,FALSE()),"Unassigned")</f>
        <v>Unassigned</v>
      </c>
      <c r="G285" s="86" t="str">
        <f>IFERROR(VLOOKUP(E285,Groups!$A:$I,4,FALSE()),"Direct Reports")</f>
        <v>Direct Reports</v>
      </c>
      <c r="H285" s="86" t="str">
        <f t="shared" si="1"/>
        <v>Excluded</v>
      </c>
      <c r="I285" s="86"/>
      <c r="J285" s="86"/>
      <c r="K285" s="86"/>
      <c r="L285" s="86"/>
      <c r="M285" s="86"/>
      <c r="N285" s="86"/>
      <c r="O285" s="86"/>
      <c r="P285" s="86" t="b">
        <f t="shared" si="3"/>
        <v>0</v>
      </c>
      <c r="Q285" s="86">
        <f>COUNTIF(Licenses!$A:$A,C285)</f>
        <v>0</v>
      </c>
      <c r="R285" s="86"/>
      <c r="S285" s="87"/>
      <c r="T285" s="2"/>
      <c r="U285" s="2"/>
      <c r="V285" s="88" t="s">
        <v>100</v>
      </c>
      <c r="W285" s="88" t="s">
        <v>101</v>
      </c>
      <c r="X285" s="2"/>
      <c r="Y285" s="2"/>
      <c r="Z285" s="2"/>
    </row>
    <row r="286" ht="15.75" customHeight="1">
      <c r="A286" s="86"/>
      <c r="B286" s="86"/>
      <c r="C286" s="86"/>
      <c r="D286" s="86" t="str">
        <f>IFERROR(VLOOKUP(E286,Groups!$A:$I,3,FALSE()),"Unassigned")</f>
        <v>Unassigned</v>
      </c>
      <c r="E286" s="86"/>
      <c r="F286" s="86" t="str">
        <f>IFERROR(VLOOKUP(E286,Groups!$A:$I,2,FALSE()),"Unassigned")</f>
        <v>Unassigned</v>
      </c>
      <c r="G286" s="86" t="str">
        <f>IFERROR(VLOOKUP(E286,Groups!$A:$I,4,FALSE()),"Direct Reports")</f>
        <v>Direct Reports</v>
      </c>
      <c r="H286" s="86" t="str">
        <f t="shared" si="1"/>
        <v>Excluded</v>
      </c>
      <c r="I286" s="86"/>
      <c r="J286" s="86"/>
      <c r="K286" s="86"/>
      <c r="L286" s="86"/>
      <c r="M286" s="86"/>
      <c r="N286" s="86"/>
      <c r="O286" s="86"/>
      <c r="P286" s="86" t="b">
        <f t="shared" si="3"/>
        <v>0</v>
      </c>
      <c r="Q286" s="86">
        <f>COUNTIF(Licenses!$A:$A,C286)</f>
        <v>0</v>
      </c>
      <c r="R286" s="86"/>
      <c r="S286" s="87"/>
      <c r="T286" s="2"/>
      <c r="U286" s="2"/>
      <c r="V286" s="88" t="s">
        <v>100</v>
      </c>
      <c r="W286" s="88" t="s">
        <v>101</v>
      </c>
      <c r="X286" s="2"/>
      <c r="Y286" s="2"/>
      <c r="Z286" s="2"/>
    </row>
    <row r="287" ht="15.75" customHeight="1">
      <c r="A287" s="86"/>
      <c r="B287" s="86"/>
      <c r="C287" s="86"/>
      <c r="D287" s="86" t="str">
        <f>IFERROR(VLOOKUP(E287,Groups!$A:$I,3,FALSE()),"Unassigned")</f>
        <v>Unassigned</v>
      </c>
      <c r="E287" s="86"/>
      <c r="F287" s="86" t="str">
        <f>IFERROR(VLOOKUP(E287,Groups!$A:$I,2,FALSE()),"Unassigned")</f>
        <v>Unassigned</v>
      </c>
      <c r="G287" s="86" t="str">
        <f>IFERROR(VLOOKUP(E287,Groups!$A:$I,4,FALSE()),"Direct Reports")</f>
        <v>Direct Reports</v>
      </c>
      <c r="H287" s="86" t="str">
        <f t="shared" si="1"/>
        <v>Excluded</v>
      </c>
      <c r="I287" s="86"/>
      <c r="J287" s="86"/>
      <c r="K287" s="86"/>
      <c r="L287" s="86"/>
      <c r="M287" s="86"/>
      <c r="N287" s="86"/>
      <c r="O287" s="86"/>
      <c r="P287" s="86" t="b">
        <f t="shared" si="3"/>
        <v>0</v>
      </c>
      <c r="Q287" s="86">
        <f>COUNTIF(Licenses!$A:$A,C287)</f>
        <v>0</v>
      </c>
      <c r="R287" s="86"/>
      <c r="S287" s="87"/>
      <c r="T287" s="2"/>
      <c r="U287" s="2"/>
      <c r="V287" s="88" t="s">
        <v>100</v>
      </c>
      <c r="W287" s="88" t="s">
        <v>101</v>
      </c>
      <c r="X287" s="2"/>
      <c r="Y287" s="2"/>
      <c r="Z287" s="2"/>
    </row>
    <row r="288" ht="15.75" customHeight="1">
      <c r="A288" s="86"/>
      <c r="B288" s="86"/>
      <c r="C288" s="86"/>
      <c r="D288" s="86" t="str">
        <f>IFERROR(VLOOKUP(E288,Groups!$A:$I,3,FALSE()),"Unassigned")</f>
        <v>Unassigned</v>
      </c>
      <c r="E288" s="86"/>
      <c r="F288" s="86" t="str">
        <f>IFERROR(VLOOKUP(E288,Groups!$A:$I,2,FALSE()),"Unassigned")</f>
        <v>Unassigned</v>
      </c>
      <c r="G288" s="86" t="str">
        <f>IFERROR(VLOOKUP(E288,Groups!$A:$I,4,FALSE()),"Direct Reports")</f>
        <v>Direct Reports</v>
      </c>
      <c r="H288" s="86" t="str">
        <f t="shared" si="1"/>
        <v>Excluded</v>
      </c>
      <c r="I288" s="86"/>
      <c r="J288" s="86"/>
      <c r="K288" s="86"/>
      <c r="L288" s="86"/>
      <c r="M288" s="86"/>
      <c r="N288" s="86"/>
      <c r="O288" s="86"/>
      <c r="P288" s="86" t="b">
        <f t="shared" si="3"/>
        <v>0</v>
      </c>
      <c r="Q288" s="86">
        <f>COUNTIF(Licenses!$A:$A,C288)</f>
        <v>0</v>
      </c>
      <c r="R288" s="86"/>
      <c r="S288" s="87"/>
      <c r="T288" s="2"/>
      <c r="U288" s="2"/>
      <c r="V288" s="88" t="s">
        <v>100</v>
      </c>
      <c r="W288" s="88" t="s">
        <v>101</v>
      </c>
      <c r="X288" s="2"/>
      <c r="Y288" s="2"/>
      <c r="Z288" s="2"/>
    </row>
    <row r="289" ht="15.75" customHeight="1">
      <c r="A289" s="86"/>
      <c r="B289" s="86"/>
      <c r="C289" s="86"/>
      <c r="D289" s="86" t="str">
        <f>IFERROR(VLOOKUP(E289,Groups!$A:$I,3,FALSE()),"Unassigned")</f>
        <v>Unassigned</v>
      </c>
      <c r="E289" s="86"/>
      <c r="F289" s="86" t="str">
        <f>IFERROR(VLOOKUP(E289,Groups!$A:$I,2,FALSE()),"Unassigned")</f>
        <v>Unassigned</v>
      </c>
      <c r="G289" s="86" t="str">
        <f>IFERROR(VLOOKUP(E289,Groups!$A:$I,4,FALSE()),"Direct Reports")</f>
        <v>Direct Reports</v>
      </c>
      <c r="H289" s="86" t="str">
        <f t="shared" si="1"/>
        <v>Excluded</v>
      </c>
      <c r="I289" s="86"/>
      <c r="J289" s="86"/>
      <c r="K289" s="86"/>
      <c r="L289" s="86"/>
      <c r="M289" s="86"/>
      <c r="N289" s="86"/>
      <c r="O289" s="86"/>
      <c r="P289" s="86" t="b">
        <f t="shared" si="3"/>
        <v>0</v>
      </c>
      <c r="Q289" s="86">
        <f>COUNTIF(Licenses!$A:$A,C289)</f>
        <v>0</v>
      </c>
      <c r="R289" s="86"/>
      <c r="S289" s="87"/>
      <c r="T289" s="2"/>
      <c r="U289" s="2"/>
      <c r="V289" s="88" t="s">
        <v>100</v>
      </c>
      <c r="W289" s="88" t="s">
        <v>101</v>
      </c>
      <c r="X289" s="2"/>
      <c r="Y289" s="2"/>
      <c r="Z289" s="2"/>
    </row>
    <row r="290" ht="15.75" customHeight="1">
      <c r="A290" s="86"/>
      <c r="B290" s="86"/>
      <c r="C290" s="86"/>
      <c r="D290" s="86" t="str">
        <f>IFERROR(VLOOKUP(E290,Groups!$A:$I,3,FALSE()),"Unassigned")</f>
        <v>Unassigned</v>
      </c>
      <c r="E290" s="86"/>
      <c r="F290" s="86" t="str">
        <f>IFERROR(VLOOKUP(E290,Groups!$A:$I,2,FALSE()),"Unassigned")</f>
        <v>Unassigned</v>
      </c>
      <c r="G290" s="86" t="str">
        <f>IFERROR(VLOOKUP(E290,Groups!$A:$I,4,FALSE()),"Direct Reports")</f>
        <v>Direct Reports</v>
      </c>
      <c r="H290" s="86" t="str">
        <f t="shared" si="1"/>
        <v>Excluded</v>
      </c>
      <c r="I290" s="86"/>
      <c r="J290" s="86"/>
      <c r="K290" s="86"/>
      <c r="L290" s="86"/>
      <c r="M290" s="86"/>
      <c r="N290" s="86"/>
      <c r="O290" s="86"/>
      <c r="P290" s="86" t="b">
        <f t="shared" si="3"/>
        <v>0</v>
      </c>
      <c r="Q290" s="86">
        <f>COUNTIF(Licenses!$A:$A,C290)</f>
        <v>0</v>
      </c>
      <c r="R290" s="86"/>
      <c r="S290" s="87"/>
      <c r="T290" s="2"/>
      <c r="U290" s="2"/>
      <c r="V290" s="88" t="s">
        <v>100</v>
      </c>
      <c r="W290" s="88" t="s">
        <v>101</v>
      </c>
      <c r="X290" s="2"/>
      <c r="Y290" s="2"/>
      <c r="Z290" s="2"/>
    </row>
    <row r="291" ht="15.75" customHeight="1">
      <c r="A291" s="86"/>
      <c r="B291" s="86"/>
      <c r="C291" s="86"/>
      <c r="D291" s="86" t="str">
        <f>IFERROR(VLOOKUP(E291,Groups!$A:$I,3,FALSE()),"Unassigned")</f>
        <v>Unassigned</v>
      </c>
      <c r="E291" s="86"/>
      <c r="F291" s="86" t="str">
        <f>IFERROR(VLOOKUP(E291,Groups!$A:$I,2,FALSE()),"Unassigned")</f>
        <v>Unassigned</v>
      </c>
      <c r="G291" s="86" t="str">
        <f>IFERROR(VLOOKUP(E291,Groups!$A:$I,4,FALSE()),"Direct Reports")</f>
        <v>Direct Reports</v>
      </c>
      <c r="H291" s="86" t="str">
        <f t="shared" si="1"/>
        <v>Excluded</v>
      </c>
      <c r="I291" s="86"/>
      <c r="J291" s="86"/>
      <c r="K291" s="86"/>
      <c r="L291" s="86"/>
      <c r="M291" s="86"/>
      <c r="N291" s="86"/>
      <c r="O291" s="86"/>
      <c r="P291" s="86" t="b">
        <f t="shared" si="3"/>
        <v>0</v>
      </c>
      <c r="Q291" s="86">
        <f>COUNTIF(Licenses!$A:$A,C291)</f>
        <v>0</v>
      </c>
      <c r="R291" s="86"/>
      <c r="S291" s="87"/>
      <c r="T291" s="2"/>
      <c r="U291" s="2"/>
      <c r="V291" s="88" t="s">
        <v>100</v>
      </c>
      <c r="W291" s="88" t="s">
        <v>101</v>
      </c>
      <c r="X291" s="2"/>
      <c r="Y291" s="2"/>
      <c r="Z291" s="2"/>
    </row>
    <row r="292" ht="15.75" customHeight="1">
      <c r="A292" s="86"/>
      <c r="B292" s="86"/>
      <c r="C292" s="86"/>
      <c r="D292" s="86" t="str">
        <f>IFERROR(VLOOKUP(E292,Groups!$A:$I,3,FALSE()),"Unassigned")</f>
        <v>Unassigned</v>
      </c>
      <c r="E292" s="86"/>
      <c r="F292" s="86" t="str">
        <f>IFERROR(VLOOKUP(E292,Groups!$A:$I,2,FALSE()),"Unassigned")</f>
        <v>Unassigned</v>
      </c>
      <c r="G292" s="86" t="str">
        <f>IFERROR(VLOOKUP(E292,Groups!$A:$I,4,FALSE()),"Direct Reports")</f>
        <v>Direct Reports</v>
      </c>
      <c r="H292" s="86" t="str">
        <f t="shared" si="1"/>
        <v>Excluded</v>
      </c>
      <c r="I292" s="86"/>
      <c r="J292" s="86"/>
      <c r="K292" s="86"/>
      <c r="L292" s="86"/>
      <c r="M292" s="86"/>
      <c r="N292" s="86"/>
      <c r="O292" s="86"/>
      <c r="P292" s="86" t="b">
        <f t="shared" si="3"/>
        <v>0</v>
      </c>
      <c r="Q292" s="86">
        <f>COUNTIF(Licenses!$A:$A,C292)</f>
        <v>0</v>
      </c>
      <c r="R292" s="86"/>
      <c r="S292" s="87"/>
      <c r="T292" s="2"/>
      <c r="U292" s="2"/>
      <c r="V292" s="88" t="s">
        <v>100</v>
      </c>
      <c r="W292" s="88" t="s">
        <v>101</v>
      </c>
      <c r="X292" s="2"/>
      <c r="Y292" s="2"/>
      <c r="Z292" s="2"/>
    </row>
    <row r="293" ht="15.75" customHeight="1">
      <c r="A293" s="86"/>
      <c r="B293" s="86"/>
      <c r="C293" s="86"/>
      <c r="D293" s="86" t="str">
        <f>IFERROR(VLOOKUP(E293,Groups!$A:$I,3,FALSE()),"Unassigned")</f>
        <v>Unassigned</v>
      </c>
      <c r="E293" s="86"/>
      <c r="F293" s="86" t="str">
        <f>IFERROR(VLOOKUP(E293,Groups!$A:$I,2,FALSE()),"Unassigned")</f>
        <v>Unassigned</v>
      </c>
      <c r="G293" s="86" t="str">
        <f>IFERROR(VLOOKUP(E293,Groups!$A:$I,4,FALSE()),"Direct Reports")</f>
        <v>Direct Reports</v>
      </c>
      <c r="H293" s="86" t="str">
        <f t="shared" si="1"/>
        <v>Excluded</v>
      </c>
      <c r="I293" s="86"/>
      <c r="J293" s="86"/>
      <c r="K293" s="86"/>
      <c r="L293" s="86"/>
      <c r="M293" s="86"/>
      <c r="N293" s="86"/>
      <c r="O293" s="86"/>
      <c r="P293" s="86" t="b">
        <f t="shared" si="3"/>
        <v>0</v>
      </c>
      <c r="Q293" s="86">
        <f>COUNTIF(Licenses!$A:$A,C293)</f>
        <v>0</v>
      </c>
      <c r="R293" s="86"/>
      <c r="S293" s="87"/>
      <c r="T293" s="2"/>
      <c r="U293" s="2"/>
      <c r="V293" s="88" t="s">
        <v>100</v>
      </c>
      <c r="W293" s="88" t="s">
        <v>101</v>
      </c>
      <c r="X293" s="2"/>
      <c r="Y293" s="2"/>
      <c r="Z293" s="2"/>
    </row>
    <row r="294" ht="15.75" customHeight="1">
      <c r="A294" s="86"/>
      <c r="B294" s="86"/>
      <c r="C294" s="86"/>
      <c r="D294" s="86" t="str">
        <f>IFERROR(VLOOKUP(E294,Groups!$A:$I,3,FALSE()),"Unassigned")</f>
        <v>Unassigned</v>
      </c>
      <c r="E294" s="86"/>
      <c r="F294" s="86" t="str">
        <f>IFERROR(VLOOKUP(E294,Groups!$A:$I,2,FALSE()),"Unassigned")</f>
        <v>Unassigned</v>
      </c>
      <c r="G294" s="86" t="str">
        <f>IFERROR(VLOOKUP(E294,Groups!$A:$I,4,FALSE()),"Direct Reports")</f>
        <v>Direct Reports</v>
      </c>
      <c r="H294" s="86" t="str">
        <f t="shared" si="1"/>
        <v>Excluded</v>
      </c>
      <c r="I294" s="86"/>
      <c r="J294" s="86"/>
      <c r="K294" s="86"/>
      <c r="L294" s="86"/>
      <c r="M294" s="86"/>
      <c r="N294" s="86"/>
      <c r="O294" s="86"/>
      <c r="P294" s="86" t="b">
        <f t="shared" si="3"/>
        <v>0</v>
      </c>
      <c r="Q294" s="86">
        <f>COUNTIF(Licenses!$A:$A,C294)</f>
        <v>0</v>
      </c>
      <c r="R294" s="86"/>
      <c r="S294" s="87"/>
      <c r="T294" s="2"/>
      <c r="U294" s="2"/>
      <c r="V294" s="88" t="s">
        <v>100</v>
      </c>
      <c r="W294" s="88" t="s">
        <v>101</v>
      </c>
      <c r="X294" s="2"/>
      <c r="Y294" s="2"/>
      <c r="Z294" s="2"/>
    </row>
    <row r="295" ht="15.75" customHeight="1">
      <c r="A295" s="86"/>
      <c r="B295" s="86"/>
      <c r="C295" s="86"/>
      <c r="D295" s="86" t="str">
        <f>IFERROR(VLOOKUP(E295,Groups!$A:$I,3,FALSE()),"Unassigned")</f>
        <v>Unassigned</v>
      </c>
      <c r="E295" s="86"/>
      <c r="F295" s="86" t="str">
        <f>IFERROR(VLOOKUP(E295,Groups!$A:$I,2,FALSE()),"Unassigned")</f>
        <v>Unassigned</v>
      </c>
      <c r="G295" s="86" t="str">
        <f>IFERROR(VLOOKUP(E295,Groups!$A:$I,4,FALSE()),"Direct Reports")</f>
        <v>Direct Reports</v>
      </c>
      <c r="H295" s="86" t="str">
        <f t="shared" si="1"/>
        <v>Excluded</v>
      </c>
      <c r="I295" s="86"/>
      <c r="J295" s="86"/>
      <c r="K295" s="86"/>
      <c r="L295" s="86"/>
      <c r="M295" s="86"/>
      <c r="N295" s="86"/>
      <c r="O295" s="86"/>
      <c r="P295" s="86" t="b">
        <f t="shared" si="3"/>
        <v>0</v>
      </c>
      <c r="Q295" s="86">
        <f>COUNTIF(Licenses!$A:$A,C295)</f>
        <v>0</v>
      </c>
      <c r="R295" s="86"/>
      <c r="S295" s="87"/>
      <c r="T295" s="2"/>
      <c r="U295" s="2"/>
      <c r="V295" s="88" t="s">
        <v>100</v>
      </c>
      <c r="W295" s="88" t="s">
        <v>101</v>
      </c>
      <c r="X295" s="2"/>
      <c r="Y295" s="2"/>
      <c r="Z295" s="2"/>
    </row>
    <row r="296" ht="15.75" customHeight="1">
      <c r="A296" s="86"/>
      <c r="B296" s="86"/>
      <c r="C296" s="86"/>
      <c r="D296" s="86" t="str">
        <f>IFERROR(VLOOKUP(E296,Groups!$A:$I,3,FALSE()),"Unassigned")</f>
        <v>Unassigned</v>
      </c>
      <c r="E296" s="86"/>
      <c r="F296" s="86" t="str">
        <f>IFERROR(VLOOKUP(E296,Groups!$A:$I,2,FALSE()),"Unassigned")</f>
        <v>Unassigned</v>
      </c>
      <c r="G296" s="86" t="str">
        <f>IFERROR(VLOOKUP(E296,Groups!$A:$I,4,FALSE()),"Direct Reports")</f>
        <v>Direct Reports</v>
      </c>
      <c r="H296" s="86" t="str">
        <f t="shared" si="1"/>
        <v>Excluded</v>
      </c>
      <c r="I296" s="86"/>
      <c r="J296" s="86"/>
      <c r="K296" s="86"/>
      <c r="L296" s="86"/>
      <c r="M296" s="86"/>
      <c r="N296" s="86"/>
      <c r="O296" s="86"/>
      <c r="P296" s="86" t="b">
        <f t="shared" si="3"/>
        <v>0</v>
      </c>
      <c r="Q296" s="86">
        <f>COUNTIF(Licenses!$A:$A,C296)</f>
        <v>0</v>
      </c>
      <c r="R296" s="86"/>
      <c r="S296" s="87"/>
      <c r="T296" s="2"/>
      <c r="U296" s="2"/>
      <c r="V296" s="88" t="s">
        <v>100</v>
      </c>
      <c r="W296" s="88" t="s">
        <v>101</v>
      </c>
      <c r="X296" s="2"/>
      <c r="Y296" s="2"/>
      <c r="Z296" s="2"/>
    </row>
    <row r="297" ht="15.75" customHeight="1">
      <c r="A297" s="86"/>
      <c r="B297" s="86"/>
      <c r="C297" s="86"/>
      <c r="D297" s="86" t="str">
        <f>IFERROR(VLOOKUP(E297,Groups!$A:$I,3,FALSE()),"Unassigned")</f>
        <v>Unassigned</v>
      </c>
      <c r="E297" s="86"/>
      <c r="F297" s="86" t="str">
        <f>IFERROR(VLOOKUP(E297,Groups!$A:$I,2,FALSE()),"Unassigned")</f>
        <v>Unassigned</v>
      </c>
      <c r="G297" s="86" t="str">
        <f>IFERROR(VLOOKUP(E297,Groups!$A:$I,4,FALSE()),"Direct Reports")</f>
        <v>Direct Reports</v>
      </c>
      <c r="H297" s="86" t="str">
        <f t="shared" si="1"/>
        <v>Excluded</v>
      </c>
      <c r="I297" s="86"/>
      <c r="J297" s="86"/>
      <c r="K297" s="86"/>
      <c r="L297" s="86"/>
      <c r="M297" s="86"/>
      <c r="N297" s="86"/>
      <c r="O297" s="86"/>
      <c r="P297" s="86" t="b">
        <f t="shared" si="3"/>
        <v>0</v>
      </c>
      <c r="Q297" s="86">
        <f>COUNTIF(Licenses!$A:$A,C297)</f>
        <v>0</v>
      </c>
      <c r="R297" s="86"/>
      <c r="S297" s="87"/>
      <c r="T297" s="2"/>
      <c r="U297" s="2"/>
      <c r="V297" s="88" t="s">
        <v>100</v>
      </c>
      <c r="W297" s="88" t="s">
        <v>101</v>
      </c>
      <c r="X297" s="2"/>
      <c r="Y297" s="2"/>
      <c r="Z297" s="2"/>
    </row>
    <row r="298" ht="15.75" customHeight="1">
      <c r="A298" s="86"/>
      <c r="B298" s="86"/>
      <c r="C298" s="86"/>
      <c r="D298" s="86" t="str">
        <f>IFERROR(VLOOKUP(E298,Groups!$A:$I,3,FALSE()),"Unassigned")</f>
        <v>Unassigned</v>
      </c>
      <c r="E298" s="86"/>
      <c r="F298" s="86" t="str">
        <f>IFERROR(VLOOKUP(E298,Groups!$A:$I,2,FALSE()),"Unassigned")</f>
        <v>Unassigned</v>
      </c>
      <c r="G298" s="86" t="str">
        <f>IFERROR(VLOOKUP(E298,Groups!$A:$I,4,FALSE()),"Direct Reports")</f>
        <v>Direct Reports</v>
      </c>
      <c r="H298" s="86" t="str">
        <f t="shared" si="1"/>
        <v>Excluded</v>
      </c>
      <c r="I298" s="86"/>
      <c r="J298" s="86"/>
      <c r="K298" s="86"/>
      <c r="L298" s="86"/>
      <c r="M298" s="86"/>
      <c r="N298" s="86"/>
      <c r="O298" s="86"/>
      <c r="P298" s="86" t="b">
        <f t="shared" si="3"/>
        <v>0</v>
      </c>
      <c r="Q298" s="86">
        <f>COUNTIF(Licenses!$A:$A,C298)</f>
        <v>0</v>
      </c>
      <c r="R298" s="86"/>
      <c r="S298" s="87"/>
      <c r="T298" s="2"/>
      <c r="U298" s="2"/>
      <c r="V298" s="88" t="s">
        <v>100</v>
      </c>
      <c r="W298" s="88" t="s">
        <v>101</v>
      </c>
      <c r="X298" s="2"/>
      <c r="Y298" s="2"/>
      <c r="Z298" s="2"/>
    </row>
    <row r="299" ht="15.75" customHeight="1">
      <c r="A299" s="86"/>
      <c r="B299" s="86"/>
      <c r="C299" s="86"/>
      <c r="D299" s="86" t="str">
        <f>IFERROR(VLOOKUP(E299,Groups!$A:$I,3,FALSE()),"Unassigned")</f>
        <v>Unassigned</v>
      </c>
      <c r="E299" s="86"/>
      <c r="F299" s="86" t="str">
        <f>IFERROR(VLOOKUP(E299,Groups!$A:$I,2,FALSE()),"Unassigned")</f>
        <v>Unassigned</v>
      </c>
      <c r="G299" s="86" t="str">
        <f>IFERROR(VLOOKUP(E299,Groups!$A:$I,4,FALSE()),"Direct Reports")</f>
        <v>Direct Reports</v>
      </c>
      <c r="H299" s="86" t="str">
        <f t="shared" si="1"/>
        <v>Excluded</v>
      </c>
      <c r="I299" s="86"/>
      <c r="J299" s="86"/>
      <c r="K299" s="86"/>
      <c r="L299" s="86"/>
      <c r="M299" s="86"/>
      <c r="N299" s="86"/>
      <c r="O299" s="86"/>
      <c r="P299" s="86" t="b">
        <f t="shared" si="3"/>
        <v>0</v>
      </c>
      <c r="Q299" s="86">
        <f>COUNTIF(Licenses!$A:$A,C299)</f>
        <v>0</v>
      </c>
      <c r="R299" s="86"/>
      <c r="S299" s="87"/>
      <c r="T299" s="2"/>
      <c r="U299" s="2"/>
      <c r="V299" s="88" t="s">
        <v>100</v>
      </c>
      <c r="W299" s="88" t="s">
        <v>101</v>
      </c>
      <c r="X299" s="2"/>
      <c r="Y299" s="2"/>
      <c r="Z299" s="2"/>
    </row>
    <row r="300" ht="15.75" customHeight="1">
      <c r="A300" s="86"/>
      <c r="B300" s="86"/>
      <c r="C300" s="86"/>
      <c r="D300" s="86" t="str">
        <f>IFERROR(VLOOKUP(E300,Groups!$A:$I,3,FALSE()),"Unassigned")</f>
        <v>Unassigned</v>
      </c>
      <c r="E300" s="86"/>
      <c r="F300" s="86" t="str">
        <f>IFERROR(VLOOKUP(E300,Groups!$A:$I,2,FALSE()),"Unassigned")</f>
        <v>Unassigned</v>
      </c>
      <c r="G300" s="86" t="str">
        <f>IFERROR(VLOOKUP(E300,Groups!$A:$I,4,FALSE()),"Direct Reports")</f>
        <v>Direct Reports</v>
      </c>
      <c r="H300" s="86" t="str">
        <f t="shared" si="1"/>
        <v>Excluded</v>
      </c>
      <c r="I300" s="86"/>
      <c r="J300" s="86"/>
      <c r="K300" s="86"/>
      <c r="L300" s="86"/>
      <c r="M300" s="86"/>
      <c r="N300" s="86"/>
      <c r="O300" s="86"/>
      <c r="P300" s="86" t="b">
        <f t="shared" si="3"/>
        <v>0</v>
      </c>
      <c r="Q300" s="86">
        <f>COUNTIF(Licenses!$A:$A,C300)</f>
        <v>0</v>
      </c>
      <c r="R300" s="86"/>
      <c r="S300" s="87"/>
      <c r="T300" s="2"/>
      <c r="U300" s="2"/>
      <c r="V300" s="88" t="s">
        <v>100</v>
      </c>
      <c r="W300" s="88" t="s">
        <v>101</v>
      </c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89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89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89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89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89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89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89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89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89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89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89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89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89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89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89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89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89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89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89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89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89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89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89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89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89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89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89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89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89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89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89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89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89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89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89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89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89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89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89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89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89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89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89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89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89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89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89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89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89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89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89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89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89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89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89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89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89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89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89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89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89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89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89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89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89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89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89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89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89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89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89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89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89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89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89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89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89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89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89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89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89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89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89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89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89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89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89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89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89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89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89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89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89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89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89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89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89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89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89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89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89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89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89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89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89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89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89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89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89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89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89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89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89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89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89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89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89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89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89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89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89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89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89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89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89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89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89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89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89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89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89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89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89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89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89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89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89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89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89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89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89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89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89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89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89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89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89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89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89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89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89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89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89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89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89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89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89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89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89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89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89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89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89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89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89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89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89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89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89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89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89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89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89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89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89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89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89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89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89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89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89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89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89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89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89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89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89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89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89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89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89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89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89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89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89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89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89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89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89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89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autoFilter ref="$A$1:$R$1000"/>
  <dataValidations>
    <dataValidation type="list" allowBlank="1" sqref="O2:O1000">
      <formula1>"Permanent,Intern,Contract,Consultant"</formula1>
    </dataValidation>
    <dataValidation type="list" allowBlank="1" showErrorMessage="1" sqref="E2:E300">
      <formula1>Groups!$A$2:$A$18</formula1>
    </dataValidation>
    <dataValidation type="date" allowBlank="1" sqref="S2:S155">
      <formula1>0.0</formula1>
      <formula2>0.0</formula2>
    </dataValidation>
    <dataValidation type="decimal" operator="greaterThanOrEqual" allowBlank="1" sqref="T2:T155">
      <formula1>0.0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14"/>
    <col customWidth="1" min="2" max="2" width="28.71"/>
    <col customWidth="1" min="3" max="3" width="23.0"/>
    <col customWidth="1" min="4" max="4" width="51.57"/>
    <col customWidth="1" min="5" max="6" width="14.43"/>
  </cols>
  <sheetData>
    <row r="1" ht="15.0" customHeight="1">
      <c r="A1" s="90" t="s">
        <v>451</v>
      </c>
      <c r="B1" s="90" t="s">
        <v>452</v>
      </c>
      <c r="C1" s="90" t="s">
        <v>453</v>
      </c>
      <c r="D1" s="90" t="s">
        <v>68</v>
      </c>
    </row>
    <row r="2" ht="15.0" customHeight="1">
      <c r="A2" s="2" t="s">
        <v>454</v>
      </c>
      <c r="B2" s="2" t="s">
        <v>455</v>
      </c>
      <c r="C2" s="2" t="s">
        <v>456</v>
      </c>
      <c r="D2" s="2" t="s">
        <v>457</v>
      </c>
    </row>
    <row r="3" ht="15.0" customHeight="1">
      <c r="A3" s="2" t="s">
        <v>458</v>
      </c>
      <c r="B3" s="2" t="s">
        <v>459</v>
      </c>
      <c r="C3" s="2" t="s">
        <v>460</v>
      </c>
      <c r="D3" s="2" t="s">
        <v>461</v>
      </c>
    </row>
    <row r="4" ht="15.0" customHeight="1">
      <c r="A4" s="88" t="s">
        <v>462</v>
      </c>
      <c r="B4" s="88" t="s">
        <v>463</v>
      </c>
      <c r="C4" s="88" t="s">
        <v>464</v>
      </c>
      <c r="D4" s="88" t="s">
        <v>465</v>
      </c>
    </row>
    <row r="5" ht="15.0" customHeight="1">
      <c r="A5" s="2"/>
      <c r="B5" s="2"/>
      <c r="C5" s="2"/>
      <c r="D5" s="2"/>
    </row>
    <row r="6" ht="15.0" customHeight="1">
      <c r="A6" s="2"/>
      <c r="B6" s="2"/>
      <c r="C6" s="2"/>
      <c r="D6" s="2"/>
    </row>
    <row r="7" ht="15.0" customHeight="1">
      <c r="A7" s="2"/>
      <c r="B7" s="2"/>
      <c r="C7" s="2"/>
      <c r="D7" s="2"/>
    </row>
    <row r="8" ht="15.0" customHeight="1">
      <c r="A8" s="2"/>
      <c r="B8" s="2"/>
      <c r="C8" s="2"/>
      <c r="D8" s="2"/>
    </row>
    <row r="9" ht="15.0" customHeight="1">
      <c r="A9" s="2"/>
      <c r="B9" s="2"/>
      <c r="C9" s="2"/>
      <c r="D9" s="2"/>
    </row>
    <row r="10" ht="15.0" customHeight="1">
      <c r="A10" s="2"/>
      <c r="B10" s="2"/>
      <c r="C10" s="2"/>
      <c r="D10" s="2"/>
    </row>
    <row r="11" ht="15.0" customHeight="1">
      <c r="A11" s="2"/>
      <c r="B11" s="2"/>
      <c r="C11" s="2"/>
      <c r="D11" s="2"/>
    </row>
    <row r="12" ht="15.0" customHeight="1">
      <c r="A12" s="2"/>
      <c r="B12" s="2"/>
      <c r="C12" s="2"/>
      <c r="D12" s="2"/>
    </row>
    <row r="13" ht="15.0" customHeight="1">
      <c r="A13" s="2"/>
      <c r="B13" s="2"/>
      <c r="C13" s="2"/>
      <c r="D13" s="2"/>
    </row>
    <row r="14" ht="15.0" customHeight="1">
      <c r="A14" s="2"/>
      <c r="B14" s="2"/>
      <c r="C14" s="2"/>
      <c r="D14" s="2"/>
    </row>
    <row r="15" ht="15.0" customHeight="1">
      <c r="A15" s="2"/>
      <c r="B15" s="2"/>
      <c r="C15" s="2"/>
      <c r="D15" s="2"/>
    </row>
    <row r="16" ht="15.0" customHeight="1">
      <c r="A16" s="2"/>
      <c r="B16" s="2"/>
      <c r="C16" s="2"/>
      <c r="D16" s="2"/>
    </row>
    <row r="17" ht="15.0" customHeight="1">
      <c r="A17" s="2"/>
      <c r="B17" s="2"/>
      <c r="C17" s="2"/>
      <c r="D17" s="2"/>
    </row>
    <row r="18" ht="15.0" customHeight="1">
      <c r="A18" s="2"/>
      <c r="B18" s="2"/>
      <c r="C18" s="2"/>
      <c r="D18" s="2"/>
    </row>
    <row r="19" ht="15.0" customHeight="1">
      <c r="A19" s="2"/>
      <c r="B19" s="2"/>
      <c r="C19" s="2"/>
      <c r="D19" s="2"/>
    </row>
    <row r="20" ht="15.0" customHeight="1">
      <c r="A20" s="2"/>
      <c r="B20" s="2"/>
      <c r="C20" s="2"/>
      <c r="D20" s="2"/>
    </row>
    <row r="21" ht="15.0" customHeight="1">
      <c r="A21" s="2"/>
      <c r="B21" s="2"/>
      <c r="C21" s="2"/>
      <c r="D21" s="2"/>
    </row>
    <row r="22" ht="15.0" customHeight="1">
      <c r="A22" s="2"/>
      <c r="B22" s="2"/>
      <c r="C22" s="2"/>
      <c r="D22" s="2"/>
    </row>
    <row r="23" ht="15.0" customHeight="1">
      <c r="A23" s="2"/>
      <c r="B23" s="2"/>
      <c r="C23" s="2"/>
      <c r="D23" s="2"/>
    </row>
    <row r="24" ht="15.0" customHeight="1">
      <c r="A24" s="2"/>
      <c r="B24" s="2"/>
      <c r="C24" s="2"/>
      <c r="D24" s="2"/>
    </row>
    <row r="25" ht="15.0" customHeight="1">
      <c r="A25" s="2"/>
      <c r="B25" s="2"/>
      <c r="C25" s="2"/>
      <c r="D25" s="2"/>
    </row>
    <row r="26" ht="15.0" customHeight="1">
      <c r="A26" s="2"/>
      <c r="B26" s="2"/>
      <c r="C26" s="2"/>
      <c r="D26" s="2"/>
    </row>
    <row r="27" ht="15.0" customHeight="1">
      <c r="A27" s="2"/>
      <c r="B27" s="2"/>
      <c r="C27" s="2"/>
      <c r="D27" s="2"/>
    </row>
    <row r="28" ht="15.0" customHeight="1">
      <c r="A28" s="2"/>
      <c r="B28" s="2"/>
      <c r="C28" s="2"/>
      <c r="D28" s="2"/>
    </row>
    <row r="29" ht="15.0" customHeight="1">
      <c r="A29" s="2"/>
      <c r="B29" s="2"/>
      <c r="C29" s="2"/>
      <c r="D29" s="2"/>
    </row>
    <row r="30" ht="15.0" customHeight="1">
      <c r="A30" s="2"/>
      <c r="B30" s="2"/>
      <c r="C30" s="2"/>
      <c r="D30" s="2"/>
    </row>
    <row r="31" ht="15.0" customHeight="1">
      <c r="A31" s="2"/>
      <c r="B31" s="2"/>
      <c r="C31" s="2"/>
      <c r="D31" s="2"/>
    </row>
    <row r="32" ht="15.0" customHeight="1">
      <c r="A32" s="2"/>
      <c r="B32" s="2"/>
      <c r="C32" s="2"/>
      <c r="D32" s="2"/>
    </row>
    <row r="33" ht="15.0" customHeight="1">
      <c r="A33" s="2"/>
      <c r="B33" s="2"/>
      <c r="C33" s="2"/>
      <c r="D33" s="2"/>
    </row>
    <row r="34" ht="15.0" customHeight="1">
      <c r="A34" s="2"/>
      <c r="B34" s="2"/>
      <c r="C34" s="2"/>
      <c r="D34" s="2"/>
    </row>
    <row r="35" ht="15.0" customHeight="1">
      <c r="A35" s="2"/>
      <c r="B35" s="2"/>
      <c r="C35" s="2"/>
      <c r="D35" s="2"/>
    </row>
    <row r="36" ht="15.0" customHeight="1">
      <c r="A36" s="2"/>
      <c r="B36" s="2"/>
      <c r="C36" s="2"/>
      <c r="D36" s="2"/>
    </row>
    <row r="37" ht="15.0" customHeight="1">
      <c r="A37" s="2"/>
      <c r="B37" s="2"/>
      <c r="C37" s="2"/>
      <c r="D37" s="2"/>
    </row>
    <row r="38" ht="15.0" customHeight="1">
      <c r="A38" s="2"/>
      <c r="B38" s="2"/>
      <c r="C38" s="2"/>
      <c r="D38" s="2"/>
    </row>
    <row r="39" ht="15.0" customHeight="1">
      <c r="A39" s="2"/>
      <c r="B39" s="2"/>
      <c r="C39" s="2"/>
      <c r="D39" s="2"/>
    </row>
    <row r="40" ht="15.0" customHeight="1">
      <c r="A40" s="2"/>
      <c r="B40" s="2"/>
      <c r="C40" s="2"/>
      <c r="D40" s="2"/>
    </row>
    <row r="41" ht="15.0" customHeight="1">
      <c r="A41" s="2"/>
      <c r="B41" s="2"/>
      <c r="C41" s="2"/>
      <c r="D41" s="2"/>
    </row>
    <row r="42" ht="15.0" customHeight="1">
      <c r="A42" s="2"/>
      <c r="B42" s="2"/>
      <c r="C42" s="2"/>
      <c r="D42" s="2"/>
    </row>
    <row r="43" ht="15.0" customHeight="1">
      <c r="A43" s="2"/>
      <c r="B43" s="2"/>
      <c r="C43" s="2"/>
      <c r="D43" s="2"/>
    </row>
    <row r="44" ht="15.0" customHeight="1">
      <c r="A44" s="2"/>
      <c r="B44" s="2"/>
      <c r="C44" s="2"/>
      <c r="D44" s="2"/>
    </row>
    <row r="45" ht="15.0" customHeight="1">
      <c r="A45" s="2"/>
      <c r="B45" s="2"/>
      <c r="C45" s="2"/>
      <c r="D45" s="2"/>
    </row>
    <row r="46" ht="15.0" customHeight="1">
      <c r="A46" s="2"/>
      <c r="B46" s="2"/>
      <c r="C46" s="2"/>
      <c r="D46" s="2"/>
    </row>
    <row r="47" ht="15.0" customHeight="1">
      <c r="A47" s="2"/>
      <c r="B47" s="2"/>
      <c r="C47" s="2"/>
      <c r="D47" s="2"/>
    </row>
    <row r="48" ht="15.0" customHeight="1">
      <c r="A48" s="2"/>
      <c r="B48" s="2"/>
      <c r="C48" s="2"/>
      <c r="D48" s="2"/>
    </row>
    <row r="49" ht="15.0" customHeight="1">
      <c r="A49" s="2"/>
      <c r="B49" s="2"/>
      <c r="C49" s="2"/>
      <c r="D49" s="2"/>
    </row>
    <row r="50" ht="15.0" customHeight="1">
      <c r="A50" s="2"/>
      <c r="B50" s="2"/>
      <c r="C50" s="2"/>
      <c r="D50" s="2"/>
    </row>
    <row r="51" ht="15.0" customHeight="1">
      <c r="A51" s="2"/>
      <c r="B51" s="2"/>
      <c r="C51" s="2"/>
      <c r="D51" s="2"/>
    </row>
    <row r="52" ht="15.0" customHeight="1">
      <c r="A52" s="2"/>
      <c r="B52" s="2"/>
      <c r="C52" s="2"/>
      <c r="D52" s="2"/>
    </row>
    <row r="53" ht="15.0" customHeight="1">
      <c r="A53" s="2"/>
      <c r="B53" s="2"/>
      <c r="C53" s="2"/>
      <c r="D53" s="2"/>
    </row>
    <row r="54" ht="15.0" customHeight="1">
      <c r="A54" s="2"/>
      <c r="B54" s="2"/>
      <c r="C54" s="2"/>
      <c r="D54" s="2"/>
    </row>
    <row r="55" ht="15.0" customHeight="1">
      <c r="A55" s="2"/>
      <c r="B55" s="2"/>
      <c r="C55" s="2"/>
      <c r="D55" s="2"/>
    </row>
    <row r="56" ht="15.0" customHeight="1">
      <c r="A56" s="2"/>
      <c r="B56" s="2"/>
      <c r="C56" s="2"/>
      <c r="D56" s="2"/>
    </row>
    <row r="57" ht="15.0" customHeight="1">
      <c r="A57" s="2"/>
      <c r="B57" s="2"/>
      <c r="C57" s="2"/>
      <c r="D57" s="2"/>
    </row>
    <row r="58" ht="15.0" customHeight="1">
      <c r="A58" s="2"/>
      <c r="B58" s="2"/>
      <c r="C58" s="2"/>
      <c r="D58" s="2"/>
    </row>
    <row r="59" ht="15.0" customHeight="1">
      <c r="A59" s="2"/>
      <c r="B59" s="2"/>
      <c r="C59" s="2"/>
      <c r="D59" s="2"/>
    </row>
    <row r="60" ht="15.0" customHeight="1">
      <c r="A60" s="2"/>
      <c r="B60" s="2"/>
      <c r="C60" s="2"/>
      <c r="D60" s="2"/>
    </row>
    <row r="61" ht="15.0" customHeight="1">
      <c r="A61" s="2"/>
      <c r="B61" s="2"/>
      <c r="C61" s="2"/>
      <c r="D61" s="2"/>
    </row>
    <row r="62" ht="15.0" customHeight="1">
      <c r="A62" s="2"/>
      <c r="B62" s="2"/>
      <c r="C62" s="2"/>
      <c r="D62" s="2"/>
    </row>
    <row r="63" ht="15.0" customHeight="1">
      <c r="A63" s="2"/>
      <c r="B63" s="2"/>
      <c r="C63" s="2"/>
      <c r="D63" s="2"/>
    </row>
    <row r="64" ht="15.0" customHeight="1">
      <c r="A64" s="2"/>
      <c r="B64" s="2"/>
      <c r="C64" s="2"/>
      <c r="D64" s="2"/>
    </row>
    <row r="65" ht="15.0" customHeight="1">
      <c r="A65" s="2"/>
      <c r="B65" s="2"/>
      <c r="C65" s="2"/>
      <c r="D65" s="2"/>
    </row>
    <row r="66" ht="15.0" customHeight="1">
      <c r="A66" s="2"/>
      <c r="B66" s="2"/>
      <c r="C66" s="2"/>
      <c r="D66" s="2"/>
    </row>
    <row r="67" ht="15.0" customHeight="1">
      <c r="A67" s="2"/>
      <c r="B67" s="2"/>
      <c r="C67" s="2"/>
      <c r="D67" s="2"/>
    </row>
    <row r="68" ht="15.0" customHeight="1">
      <c r="A68" s="2"/>
      <c r="B68" s="2"/>
      <c r="C68" s="2"/>
      <c r="D68" s="2"/>
    </row>
    <row r="69" ht="15.0" customHeight="1">
      <c r="A69" s="2"/>
      <c r="B69" s="2"/>
      <c r="C69" s="2"/>
      <c r="D69" s="2"/>
    </row>
    <row r="70" ht="15.0" customHeight="1">
      <c r="A70" s="2"/>
      <c r="B70" s="2"/>
      <c r="C70" s="2"/>
      <c r="D70" s="2"/>
    </row>
    <row r="71" ht="15.0" customHeight="1">
      <c r="A71" s="2"/>
      <c r="B71" s="2"/>
      <c r="C71" s="2"/>
      <c r="D71" s="2"/>
    </row>
    <row r="72" ht="15.0" customHeight="1">
      <c r="A72" s="2"/>
      <c r="B72" s="2"/>
      <c r="C72" s="2"/>
      <c r="D72" s="2"/>
    </row>
    <row r="73" ht="15.0" customHeight="1">
      <c r="A73" s="2"/>
      <c r="B73" s="2"/>
      <c r="C73" s="2"/>
      <c r="D73" s="2"/>
    </row>
    <row r="74" ht="15.0" customHeight="1">
      <c r="A74" s="2"/>
      <c r="B74" s="2"/>
      <c r="C74" s="2"/>
      <c r="D74" s="2"/>
    </row>
    <row r="75" ht="15.0" customHeight="1">
      <c r="A75" s="2"/>
      <c r="B75" s="2"/>
      <c r="C75" s="2"/>
      <c r="D75" s="2"/>
    </row>
    <row r="76" ht="15.0" customHeight="1">
      <c r="A76" s="2"/>
      <c r="B76" s="2"/>
      <c r="C76" s="2"/>
      <c r="D76" s="2"/>
    </row>
    <row r="77" ht="15.0" customHeight="1">
      <c r="A77" s="2"/>
      <c r="B77" s="2"/>
      <c r="C77" s="2"/>
      <c r="D77" s="2"/>
    </row>
    <row r="78" ht="15.0" customHeight="1">
      <c r="A78" s="2"/>
      <c r="B78" s="2"/>
      <c r="C78" s="2"/>
      <c r="D78" s="2"/>
    </row>
    <row r="79" ht="15.0" customHeight="1">
      <c r="A79" s="2"/>
      <c r="B79" s="2"/>
      <c r="C79" s="2"/>
      <c r="D79" s="2"/>
    </row>
    <row r="80" ht="15.0" customHeight="1">
      <c r="A80" s="2"/>
      <c r="B80" s="2"/>
      <c r="C80" s="2"/>
      <c r="D80" s="2"/>
    </row>
    <row r="81" ht="15.0" customHeight="1">
      <c r="A81" s="2"/>
      <c r="B81" s="2"/>
      <c r="C81" s="2"/>
      <c r="D81" s="2"/>
    </row>
    <row r="82" ht="15.0" customHeight="1">
      <c r="A82" s="2"/>
      <c r="B82" s="2"/>
      <c r="C82" s="2"/>
      <c r="D82" s="2"/>
    </row>
    <row r="83" ht="15.0" customHeight="1">
      <c r="A83" s="2"/>
      <c r="B83" s="2"/>
      <c r="C83" s="2"/>
      <c r="D83" s="2"/>
    </row>
    <row r="84" ht="15.0" customHeight="1">
      <c r="A84" s="2"/>
      <c r="B84" s="2"/>
      <c r="C84" s="2"/>
      <c r="D84" s="2"/>
    </row>
    <row r="85" ht="15.0" customHeight="1">
      <c r="A85" s="2"/>
      <c r="B85" s="2"/>
      <c r="C85" s="2"/>
      <c r="D85" s="2"/>
    </row>
    <row r="86" ht="15.0" customHeight="1">
      <c r="A86" s="2"/>
      <c r="B86" s="2"/>
      <c r="C86" s="2"/>
      <c r="D86" s="2"/>
    </row>
    <row r="87" ht="15.0" customHeight="1">
      <c r="A87" s="2"/>
      <c r="B87" s="2"/>
      <c r="C87" s="2"/>
      <c r="D87" s="2"/>
    </row>
    <row r="88" ht="15.0" customHeight="1">
      <c r="A88" s="2"/>
      <c r="B88" s="2"/>
      <c r="C88" s="2"/>
      <c r="D88" s="2"/>
    </row>
    <row r="89" ht="15.0" customHeight="1">
      <c r="A89" s="2"/>
      <c r="B89" s="2"/>
      <c r="C89" s="2"/>
      <c r="D89" s="2"/>
    </row>
    <row r="90" ht="15.0" customHeight="1">
      <c r="A90" s="2"/>
      <c r="B90" s="2"/>
      <c r="C90" s="2"/>
      <c r="D90" s="2"/>
    </row>
    <row r="91" ht="15.0" customHeight="1">
      <c r="A91" s="2"/>
      <c r="B91" s="2"/>
      <c r="C91" s="2"/>
      <c r="D91" s="2"/>
    </row>
    <row r="92" ht="15.0" customHeight="1">
      <c r="A92" s="2"/>
      <c r="B92" s="2"/>
      <c r="C92" s="2"/>
      <c r="D92" s="2"/>
    </row>
    <row r="93" ht="15.0" customHeight="1">
      <c r="A93" s="2"/>
      <c r="B93" s="2"/>
      <c r="C93" s="2"/>
      <c r="D93" s="2"/>
    </row>
    <row r="94" ht="15.0" customHeight="1">
      <c r="A94" s="2"/>
      <c r="B94" s="2"/>
      <c r="C94" s="2"/>
      <c r="D94" s="2"/>
    </row>
    <row r="95" ht="15.0" customHeight="1">
      <c r="A95" s="2"/>
      <c r="B95" s="2"/>
      <c r="C95" s="2"/>
      <c r="D95" s="2"/>
    </row>
    <row r="96" ht="15.0" customHeight="1">
      <c r="A96" s="2"/>
      <c r="B96" s="2"/>
      <c r="C96" s="2"/>
      <c r="D96" s="2"/>
    </row>
    <row r="97" ht="15.0" customHeight="1">
      <c r="A97" s="2"/>
      <c r="B97" s="2"/>
      <c r="C97" s="2"/>
      <c r="D97" s="2"/>
    </row>
    <row r="98" ht="15.0" customHeight="1">
      <c r="A98" s="2"/>
      <c r="B98" s="2"/>
      <c r="C98" s="2"/>
      <c r="D98" s="2"/>
    </row>
    <row r="99" ht="15.0" customHeight="1">
      <c r="A99" s="2"/>
      <c r="B99" s="2"/>
      <c r="C99" s="2"/>
      <c r="D99" s="2"/>
    </row>
    <row r="100" ht="15.0" customHeight="1">
      <c r="A100" s="2"/>
      <c r="B100" s="2"/>
      <c r="C100" s="2"/>
      <c r="D100" s="2"/>
    </row>
    <row r="101" ht="15.0" customHeight="1">
      <c r="A101" s="2"/>
      <c r="B101" s="2"/>
      <c r="C101" s="2"/>
      <c r="D101" s="2"/>
    </row>
    <row r="102" ht="15.0" customHeight="1">
      <c r="A102" s="2"/>
      <c r="B102" s="2"/>
      <c r="C102" s="2"/>
      <c r="D102" s="2"/>
    </row>
    <row r="103" ht="15.0" customHeight="1">
      <c r="A103" s="2"/>
      <c r="B103" s="2"/>
      <c r="C103" s="2"/>
      <c r="D103" s="2"/>
    </row>
    <row r="104" ht="15.0" customHeight="1">
      <c r="A104" s="2"/>
      <c r="B104" s="2"/>
      <c r="C104" s="2"/>
      <c r="D104" s="2"/>
    </row>
    <row r="105" ht="15.0" customHeight="1">
      <c r="A105" s="2"/>
      <c r="B105" s="2"/>
      <c r="C105" s="2"/>
      <c r="D105" s="2"/>
    </row>
    <row r="106" ht="15.0" customHeight="1">
      <c r="A106" s="2"/>
      <c r="B106" s="2"/>
      <c r="C106" s="2"/>
      <c r="D106" s="2"/>
    </row>
    <row r="107" ht="15.0" customHeight="1">
      <c r="A107" s="2"/>
      <c r="B107" s="2"/>
      <c r="C107" s="2"/>
      <c r="D107" s="2"/>
    </row>
    <row r="108" ht="15.0" customHeight="1">
      <c r="A108" s="2"/>
      <c r="B108" s="2"/>
      <c r="C108" s="2"/>
      <c r="D108" s="2"/>
    </row>
    <row r="109" ht="15.0" customHeight="1">
      <c r="A109" s="2"/>
      <c r="B109" s="2"/>
      <c r="C109" s="2"/>
      <c r="D109" s="2"/>
    </row>
    <row r="110" ht="15.0" customHeight="1">
      <c r="A110" s="2"/>
      <c r="B110" s="2"/>
      <c r="C110" s="2"/>
      <c r="D110" s="2"/>
    </row>
    <row r="111" ht="15.0" customHeight="1">
      <c r="A111" s="2"/>
      <c r="B111" s="2"/>
      <c r="C111" s="2"/>
      <c r="D111" s="2"/>
    </row>
    <row r="112" ht="15.0" customHeight="1">
      <c r="A112" s="2"/>
      <c r="B112" s="2"/>
      <c r="C112" s="2"/>
      <c r="D112" s="2"/>
    </row>
    <row r="113" ht="15.0" customHeight="1">
      <c r="A113" s="2"/>
      <c r="B113" s="2"/>
      <c r="C113" s="2"/>
      <c r="D113" s="2"/>
    </row>
    <row r="114" ht="15.0" customHeight="1">
      <c r="A114" s="2"/>
      <c r="B114" s="2"/>
      <c r="C114" s="2"/>
      <c r="D114" s="2"/>
    </row>
    <row r="115" ht="15.0" customHeight="1">
      <c r="A115" s="2"/>
      <c r="B115" s="2"/>
      <c r="C115" s="2"/>
      <c r="D115" s="2"/>
    </row>
    <row r="116" ht="15.0" customHeight="1">
      <c r="A116" s="2"/>
      <c r="B116" s="2"/>
      <c r="C116" s="2"/>
      <c r="D116" s="2"/>
    </row>
    <row r="117" ht="15.0" customHeight="1">
      <c r="A117" s="2"/>
      <c r="B117" s="2"/>
      <c r="C117" s="2"/>
      <c r="D117" s="2"/>
    </row>
    <row r="118" ht="15.0" customHeight="1">
      <c r="A118" s="2"/>
      <c r="B118" s="2"/>
      <c r="C118" s="2"/>
      <c r="D118" s="2"/>
    </row>
    <row r="119" ht="15.0" customHeight="1">
      <c r="A119" s="2"/>
      <c r="B119" s="2"/>
      <c r="C119" s="2"/>
      <c r="D119" s="2"/>
    </row>
    <row r="120" ht="15.0" customHeight="1">
      <c r="A120" s="2"/>
      <c r="B120" s="2"/>
      <c r="C120" s="2"/>
      <c r="D120" s="2"/>
    </row>
    <row r="121" ht="15.0" customHeight="1">
      <c r="A121" s="2"/>
      <c r="B121" s="2"/>
      <c r="C121" s="2"/>
      <c r="D121" s="2"/>
    </row>
    <row r="122" ht="15.0" customHeight="1">
      <c r="A122" s="2"/>
      <c r="B122" s="2"/>
      <c r="C122" s="2"/>
      <c r="D122" s="2"/>
    </row>
    <row r="123" ht="15.0" customHeight="1">
      <c r="A123" s="2"/>
      <c r="B123" s="2"/>
      <c r="C123" s="2"/>
      <c r="D123" s="2"/>
    </row>
    <row r="124" ht="15.0" customHeight="1">
      <c r="A124" s="2"/>
      <c r="B124" s="2"/>
      <c r="C124" s="2"/>
      <c r="D124" s="2"/>
    </row>
    <row r="125" ht="15.0" customHeight="1">
      <c r="A125" s="2"/>
      <c r="B125" s="2"/>
      <c r="C125" s="2"/>
      <c r="D125" s="2"/>
    </row>
    <row r="126" ht="15.0" customHeight="1">
      <c r="A126" s="2"/>
      <c r="B126" s="2"/>
      <c r="C126" s="2"/>
      <c r="D126" s="2"/>
    </row>
    <row r="127" ht="15.0" customHeight="1">
      <c r="A127" s="2"/>
      <c r="B127" s="2"/>
      <c r="C127" s="2"/>
      <c r="D127" s="2"/>
    </row>
    <row r="128" ht="15.0" customHeight="1">
      <c r="A128" s="2"/>
      <c r="B128" s="2"/>
      <c r="C128" s="2"/>
      <c r="D128" s="2"/>
    </row>
    <row r="129" ht="15.0" customHeight="1">
      <c r="A129" s="2"/>
      <c r="B129" s="2"/>
      <c r="C129" s="2"/>
      <c r="D129" s="2"/>
    </row>
    <row r="130" ht="15.0" customHeight="1">
      <c r="A130" s="2"/>
      <c r="B130" s="2"/>
      <c r="C130" s="2"/>
      <c r="D130" s="2"/>
    </row>
    <row r="131" ht="15.0" customHeight="1">
      <c r="A131" s="2"/>
      <c r="B131" s="2"/>
      <c r="C131" s="2"/>
      <c r="D131" s="2"/>
    </row>
    <row r="132" ht="15.0" customHeight="1">
      <c r="A132" s="2"/>
      <c r="B132" s="2"/>
      <c r="C132" s="2"/>
      <c r="D132" s="2"/>
    </row>
    <row r="133" ht="15.0" customHeight="1">
      <c r="A133" s="2"/>
      <c r="B133" s="2"/>
      <c r="C133" s="2"/>
      <c r="D133" s="2"/>
    </row>
    <row r="134" ht="15.0" customHeight="1">
      <c r="A134" s="2"/>
      <c r="B134" s="2"/>
      <c r="C134" s="2"/>
      <c r="D134" s="2"/>
    </row>
    <row r="135" ht="15.0" customHeight="1">
      <c r="A135" s="2"/>
      <c r="B135" s="2"/>
      <c r="C135" s="2"/>
      <c r="D135" s="2"/>
    </row>
    <row r="136" ht="15.0" customHeight="1">
      <c r="A136" s="2"/>
      <c r="B136" s="2"/>
      <c r="C136" s="2"/>
      <c r="D136" s="2"/>
    </row>
    <row r="137" ht="15.0" customHeight="1">
      <c r="A137" s="2"/>
      <c r="B137" s="2"/>
      <c r="C137" s="2"/>
      <c r="D137" s="2"/>
    </row>
    <row r="138" ht="15.0" customHeight="1">
      <c r="A138" s="2"/>
      <c r="B138" s="2"/>
      <c r="C138" s="2"/>
      <c r="D138" s="2"/>
    </row>
    <row r="139" ht="15.0" customHeight="1">
      <c r="A139" s="2"/>
      <c r="B139" s="2"/>
      <c r="C139" s="2"/>
      <c r="D139" s="2"/>
    </row>
    <row r="140" ht="15.0" customHeight="1">
      <c r="A140" s="2"/>
      <c r="B140" s="2"/>
      <c r="C140" s="2"/>
      <c r="D140" s="2"/>
    </row>
    <row r="141" ht="15.0" customHeight="1">
      <c r="A141" s="2"/>
      <c r="B141" s="2"/>
      <c r="C141" s="2"/>
      <c r="D141" s="2"/>
    </row>
    <row r="142" ht="15.0" customHeight="1">
      <c r="A142" s="2"/>
      <c r="B142" s="2"/>
      <c r="C142" s="2"/>
      <c r="D142" s="2"/>
    </row>
    <row r="143" ht="15.0" customHeight="1">
      <c r="A143" s="2"/>
      <c r="B143" s="2"/>
      <c r="C143" s="2"/>
      <c r="D143" s="2"/>
    </row>
    <row r="144" ht="15.0" customHeight="1">
      <c r="A144" s="2"/>
      <c r="B144" s="2"/>
      <c r="C144" s="2"/>
      <c r="D144" s="2"/>
    </row>
    <row r="145" ht="15.0" customHeight="1">
      <c r="A145" s="2"/>
      <c r="B145" s="2"/>
      <c r="C145" s="2"/>
      <c r="D145" s="2"/>
    </row>
    <row r="146" ht="15.0" customHeight="1">
      <c r="A146" s="2"/>
      <c r="B146" s="2"/>
      <c r="C146" s="2"/>
      <c r="D146" s="2"/>
    </row>
    <row r="147" ht="15.0" customHeight="1">
      <c r="A147" s="2"/>
      <c r="B147" s="2"/>
      <c r="C147" s="2"/>
      <c r="D147" s="2"/>
    </row>
    <row r="148" ht="15.0" customHeight="1">
      <c r="A148" s="2"/>
      <c r="B148" s="2"/>
      <c r="C148" s="2"/>
      <c r="D148" s="2"/>
    </row>
    <row r="149" ht="15.0" customHeight="1">
      <c r="A149" s="2"/>
      <c r="B149" s="2"/>
      <c r="C149" s="2"/>
      <c r="D149" s="2"/>
    </row>
    <row r="150" ht="15.0" customHeight="1">
      <c r="A150" s="2"/>
      <c r="B150" s="2"/>
      <c r="C150" s="2"/>
      <c r="D150" s="2"/>
    </row>
    <row r="151" ht="15.0" customHeight="1">
      <c r="A151" s="2"/>
      <c r="B151" s="2"/>
      <c r="C151" s="2"/>
      <c r="D151" s="2"/>
    </row>
    <row r="152" ht="15.0" customHeight="1">
      <c r="A152" s="2"/>
      <c r="B152" s="2"/>
      <c r="C152" s="2"/>
      <c r="D152" s="2"/>
    </row>
    <row r="153" ht="15.0" customHeight="1">
      <c r="A153" s="2"/>
      <c r="B153" s="2"/>
      <c r="C153" s="2"/>
      <c r="D153" s="2"/>
    </row>
    <row r="154" ht="15.0" customHeight="1">
      <c r="A154" s="2"/>
      <c r="B154" s="2"/>
      <c r="C154" s="2"/>
      <c r="D154" s="2"/>
    </row>
    <row r="155" ht="15.0" customHeight="1">
      <c r="A155" s="2"/>
      <c r="B155" s="2"/>
      <c r="C155" s="2"/>
      <c r="D155" s="2"/>
    </row>
    <row r="156" ht="15.0" customHeight="1">
      <c r="A156" s="2"/>
      <c r="B156" s="2"/>
      <c r="C156" s="2"/>
      <c r="D156" s="2"/>
    </row>
    <row r="157" ht="15.0" customHeight="1">
      <c r="A157" s="2"/>
      <c r="B157" s="2"/>
      <c r="C157" s="2"/>
      <c r="D157" s="2"/>
    </row>
    <row r="158" ht="15.0" customHeight="1">
      <c r="A158" s="2"/>
      <c r="B158" s="2"/>
      <c r="C158" s="2"/>
      <c r="D158" s="2"/>
    </row>
    <row r="159" ht="15.0" customHeight="1">
      <c r="A159" s="2"/>
      <c r="B159" s="2"/>
      <c r="C159" s="2"/>
      <c r="D159" s="2"/>
    </row>
    <row r="160" ht="15.0" customHeight="1">
      <c r="A160" s="2"/>
      <c r="B160" s="2"/>
      <c r="C160" s="2"/>
      <c r="D160" s="2"/>
    </row>
    <row r="161" ht="15.0" customHeight="1">
      <c r="A161" s="2"/>
      <c r="B161" s="2"/>
      <c r="C161" s="2"/>
      <c r="D161" s="2"/>
    </row>
    <row r="162" ht="15.0" customHeight="1">
      <c r="A162" s="2"/>
      <c r="B162" s="2"/>
      <c r="C162" s="2"/>
      <c r="D162" s="2"/>
    </row>
    <row r="163" ht="15.0" customHeight="1">
      <c r="A163" s="2"/>
      <c r="B163" s="2"/>
      <c r="C163" s="2"/>
      <c r="D163" s="2"/>
    </row>
    <row r="164" ht="15.0" customHeight="1">
      <c r="A164" s="2"/>
      <c r="B164" s="2"/>
      <c r="C164" s="2"/>
      <c r="D164" s="2"/>
    </row>
    <row r="165" ht="15.0" customHeight="1">
      <c r="A165" s="2"/>
      <c r="B165" s="2"/>
      <c r="C165" s="2"/>
      <c r="D165" s="2"/>
    </row>
    <row r="166" ht="15.0" customHeight="1">
      <c r="A166" s="2"/>
      <c r="B166" s="2"/>
      <c r="C166" s="2"/>
      <c r="D166" s="2"/>
    </row>
    <row r="167" ht="15.0" customHeight="1">
      <c r="A167" s="2"/>
      <c r="B167" s="2"/>
      <c r="C167" s="2"/>
      <c r="D167" s="2"/>
    </row>
    <row r="168" ht="15.0" customHeight="1">
      <c r="A168" s="2"/>
      <c r="B168" s="2"/>
      <c r="C168" s="2"/>
      <c r="D168" s="2"/>
    </row>
    <row r="169" ht="15.0" customHeight="1">
      <c r="A169" s="2"/>
      <c r="B169" s="2"/>
      <c r="C169" s="2"/>
      <c r="D169" s="2"/>
    </row>
    <row r="170" ht="15.0" customHeight="1">
      <c r="A170" s="2"/>
      <c r="B170" s="2"/>
      <c r="C170" s="2"/>
      <c r="D170" s="2"/>
    </row>
    <row r="171" ht="15.0" customHeight="1">
      <c r="A171" s="2"/>
      <c r="B171" s="2"/>
      <c r="C171" s="2"/>
      <c r="D171" s="2"/>
    </row>
    <row r="172" ht="15.0" customHeight="1">
      <c r="A172" s="2"/>
      <c r="B172" s="2"/>
      <c r="C172" s="2"/>
      <c r="D172" s="2"/>
    </row>
    <row r="173" ht="15.0" customHeight="1">
      <c r="A173" s="2"/>
      <c r="B173" s="2"/>
      <c r="C173" s="2"/>
      <c r="D173" s="2"/>
    </row>
    <row r="174" ht="15.0" customHeight="1">
      <c r="A174" s="2"/>
      <c r="B174" s="2"/>
      <c r="C174" s="2"/>
      <c r="D174" s="2"/>
    </row>
    <row r="175" ht="15.0" customHeight="1">
      <c r="A175" s="2"/>
      <c r="B175" s="2"/>
      <c r="C175" s="2"/>
      <c r="D175" s="2"/>
    </row>
    <row r="176" ht="15.0" customHeight="1">
      <c r="A176" s="2"/>
      <c r="B176" s="2"/>
      <c r="C176" s="2"/>
      <c r="D176" s="2"/>
    </row>
    <row r="177" ht="15.0" customHeight="1">
      <c r="A177" s="2"/>
      <c r="B177" s="2"/>
      <c r="C177" s="2"/>
      <c r="D177" s="2"/>
    </row>
    <row r="178" ht="15.0" customHeight="1">
      <c r="A178" s="2"/>
      <c r="B178" s="2"/>
      <c r="C178" s="2"/>
      <c r="D178" s="2"/>
    </row>
    <row r="179" ht="15.0" customHeight="1">
      <c r="A179" s="2"/>
      <c r="B179" s="2"/>
      <c r="C179" s="2"/>
      <c r="D179" s="2"/>
    </row>
    <row r="180" ht="15.0" customHeight="1">
      <c r="A180" s="2"/>
      <c r="B180" s="2"/>
      <c r="C180" s="2"/>
      <c r="D180" s="2"/>
    </row>
    <row r="181" ht="15.0" customHeight="1">
      <c r="A181" s="2"/>
      <c r="B181" s="2"/>
      <c r="C181" s="2"/>
      <c r="D181" s="2"/>
    </row>
    <row r="182" ht="15.0" customHeight="1">
      <c r="A182" s="2"/>
      <c r="B182" s="2"/>
      <c r="C182" s="2"/>
      <c r="D182" s="2"/>
    </row>
    <row r="183" ht="15.0" customHeight="1">
      <c r="A183" s="2"/>
      <c r="B183" s="2"/>
      <c r="C183" s="2"/>
      <c r="D183" s="2"/>
    </row>
    <row r="184" ht="15.0" customHeight="1">
      <c r="A184" s="2"/>
      <c r="B184" s="2"/>
      <c r="C184" s="2"/>
      <c r="D184" s="2"/>
    </row>
    <row r="185" ht="15.0" customHeight="1">
      <c r="A185" s="2"/>
      <c r="B185" s="2"/>
      <c r="C185" s="2"/>
      <c r="D185" s="2"/>
    </row>
    <row r="186" ht="15.0" customHeight="1">
      <c r="A186" s="2"/>
      <c r="B186" s="2"/>
      <c r="C186" s="2"/>
      <c r="D186" s="2"/>
    </row>
    <row r="187" ht="15.0" customHeight="1">
      <c r="A187" s="2"/>
      <c r="B187" s="2"/>
      <c r="C187" s="2"/>
      <c r="D187" s="2"/>
    </row>
    <row r="188" ht="15.0" customHeight="1">
      <c r="A188" s="2"/>
      <c r="B188" s="2"/>
      <c r="C188" s="2"/>
      <c r="D188" s="2"/>
    </row>
    <row r="189" ht="15.0" customHeight="1">
      <c r="A189" s="2"/>
      <c r="B189" s="2"/>
      <c r="C189" s="2"/>
      <c r="D189" s="2"/>
    </row>
    <row r="190" ht="15.0" customHeight="1">
      <c r="A190" s="2"/>
      <c r="B190" s="2"/>
      <c r="C190" s="2"/>
      <c r="D190" s="2"/>
    </row>
    <row r="191" ht="15.0" customHeight="1">
      <c r="A191" s="2"/>
      <c r="B191" s="2"/>
      <c r="C191" s="2"/>
      <c r="D191" s="2"/>
    </row>
    <row r="192" ht="15.0" customHeight="1">
      <c r="A192" s="2"/>
      <c r="B192" s="2"/>
      <c r="C192" s="2"/>
      <c r="D192" s="2"/>
    </row>
    <row r="193" ht="15.0" customHeight="1">
      <c r="A193" s="2"/>
      <c r="B193" s="2"/>
      <c r="C193" s="2"/>
      <c r="D193" s="2"/>
    </row>
    <row r="194" ht="15.0" customHeight="1">
      <c r="A194" s="2"/>
      <c r="B194" s="2"/>
      <c r="C194" s="2"/>
      <c r="D194" s="2"/>
    </row>
    <row r="195" ht="15.0" customHeight="1">
      <c r="A195" s="2"/>
      <c r="B195" s="2"/>
      <c r="C195" s="2"/>
      <c r="D195" s="2"/>
    </row>
    <row r="196" ht="15.0" customHeight="1">
      <c r="A196" s="2"/>
      <c r="B196" s="2"/>
      <c r="C196" s="2"/>
      <c r="D196" s="2"/>
    </row>
    <row r="197" ht="15.0" customHeight="1">
      <c r="A197" s="2"/>
      <c r="B197" s="2"/>
      <c r="C197" s="2"/>
      <c r="D197" s="2"/>
    </row>
    <row r="198" ht="15.0" customHeight="1">
      <c r="A198" s="2"/>
      <c r="B198" s="2"/>
      <c r="C198" s="2"/>
      <c r="D198" s="2"/>
    </row>
    <row r="199" ht="15.0" customHeight="1">
      <c r="A199" s="2"/>
      <c r="B199" s="2"/>
      <c r="C199" s="2"/>
      <c r="D199" s="2"/>
    </row>
    <row r="200" ht="15.0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dataValidations>
    <dataValidation type="list" allowBlank="1" showErrorMessage="1" sqref="C2:C200">
      <formula1>"Shared Account,Meeting Room,Service Account,Unassigned Seat,Other"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853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36.43"/>
    <col customWidth="1" min="3" max="3" width="22.0"/>
    <col customWidth="1" min="4" max="4" width="18.86"/>
    <col customWidth="1" min="5" max="5" width="14.0"/>
    <col customWidth="1" min="6" max="6" width="20.0"/>
    <col customWidth="1" min="7" max="7" width="24.0"/>
    <col customWidth="1" min="8" max="8" width="30.0"/>
    <col customWidth="1" min="9" max="9" width="19.14"/>
  </cols>
  <sheetData>
    <row r="1" ht="27.75" customHeight="1">
      <c r="A1" s="91" t="s">
        <v>54</v>
      </c>
      <c r="B1" s="91" t="s">
        <v>466</v>
      </c>
      <c r="C1" s="91" t="s">
        <v>467</v>
      </c>
      <c r="D1" s="91" t="s">
        <v>468</v>
      </c>
      <c r="E1" s="91" t="s">
        <v>469</v>
      </c>
      <c r="F1" s="92" t="s">
        <v>470</v>
      </c>
      <c r="G1" s="91" t="s">
        <v>471</v>
      </c>
      <c r="H1" s="91" t="s">
        <v>68</v>
      </c>
      <c r="I1" s="93" t="s">
        <v>472</v>
      </c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5.0" customHeight="1">
      <c r="A2" s="94" t="s">
        <v>131</v>
      </c>
      <c r="B2" s="94" t="s">
        <v>473</v>
      </c>
      <c r="C2" s="94" t="s">
        <v>474</v>
      </c>
      <c r="D2" s="94" t="s">
        <v>17</v>
      </c>
      <c r="E2" s="94"/>
      <c r="F2" s="95">
        <v>46270.0</v>
      </c>
      <c r="G2" s="94" t="s">
        <v>475</v>
      </c>
      <c r="H2" s="94" t="s">
        <v>476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5.0" customHeight="1">
      <c r="A3" s="94" t="s">
        <v>205</v>
      </c>
      <c r="B3" s="94" t="s">
        <v>477</v>
      </c>
      <c r="C3" s="94" t="s">
        <v>478</v>
      </c>
      <c r="D3" s="94" t="s">
        <v>17</v>
      </c>
      <c r="E3" s="94"/>
      <c r="F3" s="95">
        <v>46732.0</v>
      </c>
      <c r="G3" s="94"/>
      <c r="H3" s="94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5.0" customHeight="1">
      <c r="A4" s="94" t="s">
        <v>396</v>
      </c>
      <c r="B4" s="94" t="s">
        <v>477</v>
      </c>
      <c r="C4" s="94" t="s">
        <v>478</v>
      </c>
      <c r="D4" s="94" t="s">
        <v>17</v>
      </c>
      <c r="E4" s="94"/>
      <c r="F4" s="95">
        <v>46732.0</v>
      </c>
      <c r="G4" s="94"/>
      <c r="H4" s="94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5.0" customHeight="1">
      <c r="A5" s="94" t="s">
        <v>219</v>
      </c>
      <c r="B5" s="94" t="s">
        <v>477</v>
      </c>
      <c r="C5" s="94" t="s">
        <v>478</v>
      </c>
      <c r="D5" s="94" t="s">
        <v>17</v>
      </c>
      <c r="E5" s="94"/>
      <c r="F5" s="95">
        <v>46732.0</v>
      </c>
      <c r="G5" s="94"/>
      <c r="H5" s="94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5.0" customHeight="1">
      <c r="A6" s="94" t="s">
        <v>135</v>
      </c>
      <c r="B6" s="94" t="s">
        <v>479</v>
      </c>
      <c r="C6" s="94" t="s">
        <v>478</v>
      </c>
      <c r="D6" s="94" t="s">
        <v>17</v>
      </c>
      <c r="E6" s="94"/>
      <c r="F6" s="95">
        <v>46732.0</v>
      </c>
      <c r="G6" s="94"/>
      <c r="H6" s="94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5.0" customHeight="1">
      <c r="A7" s="94" t="s">
        <v>396</v>
      </c>
      <c r="B7" s="94" t="s">
        <v>479</v>
      </c>
      <c r="C7" s="94" t="s">
        <v>478</v>
      </c>
      <c r="D7" s="94" t="s">
        <v>17</v>
      </c>
      <c r="E7" s="94"/>
      <c r="F7" s="95">
        <v>46732.0</v>
      </c>
      <c r="G7" s="94"/>
      <c r="H7" s="94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23.25" customHeight="1">
      <c r="A8" s="94" t="s">
        <v>410</v>
      </c>
      <c r="B8" s="94" t="s">
        <v>479</v>
      </c>
      <c r="C8" s="94" t="s">
        <v>478</v>
      </c>
      <c r="D8" s="94" t="s">
        <v>17</v>
      </c>
      <c r="E8" s="94"/>
      <c r="F8" s="95">
        <v>46732.0</v>
      </c>
      <c r="G8" s="94"/>
      <c r="H8" s="94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5.0" customHeight="1">
      <c r="A9" s="94" t="s">
        <v>454</v>
      </c>
      <c r="B9" s="94" t="s">
        <v>479</v>
      </c>
      <c r="C9" s="94" t="s">
        <v>478</v>
      </c>
      <c r="D9" s="94" t="s">
        <v>17</v>
      </c>
      <c r="E9" s="94"/>
      <c r="F9" s="95">
        <v>46732.0</v>
      </c>
      <c r="G9" s="94"/>
      <c r="H9" s="94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5.0" customHeight="1">
      <c r="A10" s="94" t="s">
        <v>135</v>
      </c>
      <c r="B10" s="94" t="s">
        <v>480</v>
      </c>
      <c r="C10" s="94" t="s">
        <v>478</v>
      </c>
      <c r="D10" s="94" t="s">
        <v>17</v>
      </c>
      <c r="E10" s="94"/>
      <c r="F10" s="95">
        <v>46732.0</v>
      </c>
      <c r="G10" s="94"/>
      <c r="H10" s="94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5.0" customHeight="1">
      <c r="A11" s="94" t="s">
        <v>135</v>
      </c>
      <c r="B11" s="94" t="s">
        <v>481</v>
      </c>
      <c r="C11" s="94" t="s">
        <v>478</v>
      </c>
      <c r="D11" s="94" t="s">
        <v>17</v>
      </c>
      <c r="E11" s="94"/>
      <c r="F11" s="95">
        <v>46732.0</v>
      </c>
      <c r="G11" s="94"/>
      <c r="H11" s="94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5.0" customHeight="1">
      <c r="A12" s="94" t="s">
        <v>393</v>
      </c>
      <c r="B12" s="94" t="s">
        <v>481</v>
      </c>
      <c r="C12" s="94" t="s">
        <v>478</v>
      </c>
      <c r="D12" s="94" t="s">
        <v>17</v>
      </c>
      <c r="E12" s="94"/>
      <c r="F12" s="95">
        <v>46732.0</v>
      </c>
      <c r="G12" s="94"/>
      <c r="H12" s="94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5.0" customHeight="1">
      <c r="A13" s="94" t="s">
        <v>188</v>
      </c>
      <c r="B13" s="94" t="s">
        <v>481</v>
      </c>
      <c r="C13" s="94" t="s">
        <v>478</v>
      </c>
      <c r="D13" s="94" t="s">
        <v>17</v>
      </c>
      <c r="E13" s="94"/>
      <c r="F13" s="95">
        <v>46732.0</v>
      </c>
      <c r="G13" s="94"/>
      <c r="H13" s="94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5.0" customHeight="1">
      <c r="A14" s="94" t="s">
        <v>244</v>
      </c>
      <c r="B14" s="94" t="s">
        <v>481</v>
      </c>
      <c r="C14" s="94" t="s">
        <v>478</v>
      </c>
      <c r="D14" s="94" t="s">
        <v>17</v>
      </c>
      <c r="E14" s="94"/>
      <c r="F14" s="95">
        <v>46732.0</v>
      </c>
      <c r="G14" s="94"/>
      <c r="H14" s="94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5.0" customHeight="1">
      <c r="A15" s="94" t="s">
        <v>396</v>
      </c>
      <c r="B15" s="94" t="s">
        <v>481</v>
      </c>
      <c r="C15" s="94" t="s">
        <v>478</v>
      </c>
      <c r="D15" s="94" t="s">
        <v>17</v>
      </c>
      <c r="E15" s="94"/>
      <c r="F15" s="95">
        <v>46732.0</v>
      </c>
      <c r="G15" s="94"/>
      <c r="H15" s="94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5.0" customHeight="1">
      <c r="A16" s="94" t="s">
        <v>359</v>
      </c>
      <c r="B16" s="94" t="s">
        <v>481</v>
      </c>
      <c r="C16" s="94" t="s">
        <v>478</v>
      </c>
      <c r="D16" s="94" t="s">
        <v>17</v>
      </c>
      <c r="E16" s="94"/>
      <c r="F16" s="95">
        <v>46732.0</v>
      </c>
      <c r="G16" s="94"/>
      <c r="H16" s="94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5.0" customHeight="1">
      <c r="A17" s="94" t="s">
        <v>371</v>
      </c>
      <c r="B17" s="94" t="s">
        <v>481</v>
      </c>
      <c r="C17" s="94" t="s">
        <v>478</v>
      </c>
      <c r="D17" s="94" t="s">
        <v>17</v>
      </c>
      <c r="E17" s="94"/>
      <c r="F17" s="95">
        <v>46732.0</v>
      </c>
      <c r="G17" s="94"/>
      <c r="H17" s="94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5.0" customHeight="1">
      <c r="A18" s="94" t="s">
        <v>381</v>
      </c>
      <c r="B18" s="94" t="s">
        <v>481</v>
      </c>
      <c r="C18" s="94" t="s">
        <v>478</v>
      </c>
      <c r="D18" s="94" t="s">
        <v>17</v>
      </c>
      <c r="E18" s="94"/>
      <c r="F18" s="95">
        <v>46732.0</v>
      </c>
      <c r="G18" s="94"/>
      <c r="H18" s="94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5.0" customHeight="1">
      <c r="A19" s="94" t="s">
        <v>313</v>
      </c>
      <c r="B19" s="94" t="s">
        <v>481</v>
      </c>
      <c r="C19" s="94" t="s">
        <v>478</v>
      </c>
      <c r="D19" s="94" t="s">
        <v>17</v>
      </c>
      <c r="E19" s="94"/>
      <c r="F19" s="95">
        <v>46732.0</v>
      </c>
      <c r="G19" s="94"/>
      <c r="H19" s="94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5.75" customHeight="1">
      <c r="A20" s="94" t="s">
        <v>327</v>
      </c>
      <c r="B20" s="94" t="s">
        <v>481</v>
      </c>
      <c r="C20" s="94" t="s">
        <v>478</v>
      </c>
      <c r="D20" s="94" t="s">
        <v>17</v>
      </c>
      <c r="E20" s="94"/>
      <c r="F20" s="95">
        <v>46732.0</v>
      </c>
      <c r="G20" s="94"/>
      <c r="H20" s="94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5.75" customHeight="1">
      <c r="A21" s="94" t="s">
        <v>107</v>
      </c>
      <c r="B21" s="94" t="s">
        <v>481</v>
      </c>
      <c r="C21" s="94" t="s">
        <v>478</v>
      </c>
      <c r="D21" s="94" t="s">
        <v>17</v>
      </c>
      <c r="E21" s="94"/>
      <c r="F21" s="95">
        <v>46732.0</v>
      </c>
      <c r="G21" s="94"/>
      <c r="H21" s="94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5.75" customHeight="1">
      <c r="A22" s="94" t="s">
        <v>83</v>
      </c>
      <c r="B22" s="94" t="s">
        <v>481</v>
      </c>
      <c r="C22" s="94" t="s">
        <v>478</v>
      </c>
      <c r="D22" s="94" t="s">
        <v>17</v>
      </c>
      <c r="E22" s="94"/>
      <c r="F22" s="95">
        <v>46732.0</v>
      </c>
      <c r="G22" s="94"/>
      <c r="H22" s="94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94" t="s">
        <v>401</v>
      </c>
      <c r="B23" s="94" t="s">
        <v>481</v>
      </c>
      <c r="C23" s="94" t="s">
        <v>478</v>
      </c>
      <c r="D23" s="94" t="s">
        <v>17</v>
      </c>
      <c r="E23" s="94"/>
      <c r="F23" s="95">
        <v>46732.0</v>
      </c>
      <c r="G23" s="94"/>
      <c r="H23" s="94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4" t="s">
        <v>410</v>
      </c>
      <c r="B24" s="94" t="s">
        <v>481</v>
      </c>
      <c r="C24" s="94" t="s">
        <v>478</v>
      </c>
      <c r="D24" s="94" t="s">
        <v>17</v>
      </c>
      <c r="E24" s="94"/>
      <c r="F24" s="95">
        <v>46732.0</v>
      </c>
      <c r="G24" s="94"/>
      <c r="H24" s="94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4" t="s">
        <v>428</v>
      </c>
      <c r="B25" s="94" t="s">
        <v>481</v>
      </c>
      <c r="C25" s="94" t="s">
        <v>478</v>
      </c>
      <c r="D25" s="94" t="s">
        <v>17</v>
      </c>
      <c r="E25" s="94"/>
      <c r="F25" s="95">
        <v>46732.0</v>
      </c>
      <c r="G25" s="94"/>
      <c r="H25" s="94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4" t="s">
        <v>131</v>
      </c>
      <c r="B26" s="94" t="s">
        <v>481</v>
      </c>
      <c r="C26" s="94" t="s">
        <v>478</v>
      </c>
      <c r="D26" s="94" t="s">
        <v>17</v>
      </c>
      <c r="E26" s="94"/>
      <c r="F26" s="95">
        <v>46732.0</v>
      </c>
      <c r="G26" s="94"/>
      <c r="H26" s="94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4" t="s">
        <v>454</v>
      </c>
      <c r="B27" s="94" t="s">
        <v>481</v>
      </c>
      <c r="C27" s="94" t="s">
        <v>478</v>
      </c>
      <c r="D27" s="94" t="s">
        <v>17</v>
      </c>
      <c r="E27" s="94"/>
      <c r="F27" s="95">
        <v>46732.0</v>
      </c>
      <c r="G27" s="94"/>
      <c r="H27" s="94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4" t="s">
        <v>437</v>
      </c>
      <c r="B28" s="94" t="s">
        <v>481</v>
      </c>
      <c r="C28" s="94" t="s">
        <v>478</v>
      </c>
      <c r="D28" s="94" t="s">
        <v>17</v>
      </c>
      <c r="E28" s="94"/>
      <c r="F28" s="95">
        <v>46732.0</v>
      </c>
      <c r="G28" s="94"/>
      <c r="H28" s="94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6" t="s">
        <v>330</v>
      </c>
      <c r="B29" s="94" t="s">
        <v>481</v>
      </c>
      <c r="C29" s="94" t="s">
        <v>478</v>
      </c>
      <c r="D29" s="94" t="s">
        <v>17</v>
      </c>
      <c r="E29" s="94"/>
      <c r="F29" s="95">
        <v>46732.0</v>
      </c>
      <c r="G29" s="94"/>
      <c r="H29" s="94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7" t="s">
        <v>401</v>
      </c>
      <c r="B30" s="98" t="s">
        <v>482</v>
      </c>
      <c r="C30" s="98" t="s">
        <v>478</v>
      </c>
      <c r="D30" s="98" t="s">
        <v>17</v>
      </c>
      <c r="E30" s="98"/>
      <c r="F30" s="99">
        <v>46263.0</v>
      </c>
      <c r="G30" s="97"/>
      <c r="H30" s="97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7" t="s">
        <v>404</v>
      </c>
      <c r="B31" s="98" t="s">
        <v>482</v>
      </c>
      <c r="C31" s="98" t="s">
        <v>478</v>
      </c>
      <c r="D31" s="98" t="s">
        <v>17</v>
      </c>
      <c r="E31" s="98"/>
      <c r="F31" s="99">
        <v>46263.0</v>
      </c>
      <c r="G31" s="97"/>
      <c r="H31" s="97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7" t="s">
        <v>258</v>
      </c>
      <c r="B32" s="98" t="s">
        <v>482</v>
      </c>
      <c r="C32" s="98" t="s">
        <v>478</v>
      </c>
      <c r="D32" s="98" t="s">
        <v>17</v>
      </c>
      <c r="E32" s="98"/>
      <c r="F32" s="99">
        <v>46263.0</v>
      </c>
      <c r="G32" s="97"/>
      <c r="H32" s="97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7" t="s">
        <v>229</v>
      </c>
      <c r="B33" s="98" t="s">
        <v>482</v>
      </c>
      <c r="C33" s="98" t="s">
        <v>478</v>
      </c>
      <c r="D33" s="98" t="s">
        <v>17</v>
      </c>
      <c r="E33" s="98"/>
      <c r="F33" s="99">
        <v>46263.0</v>
      </c>
      <c r="G33" s="97"/>
      <c r="H33" s="97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7" t="s">
        <v>115</v>
      </c>
      <c r="B34" s="98" t="s">
        <v>482</v>
      </c>
      <c r="C34" s="98" t="s">
        <v>478</v>
      </c>
      <c r="D34" s="98" t="s">
        <v>17</v>
      </c>
      <c r="E34" s="98"/>
      <c r="F34" s="99">
        <v>46263.0</v>
      </c>
      <c r="G34" s="97"/>
      <c r="H34" s="97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7" t="s">
        <v>193</v>
      </c>
      <c r="B35" s="98" t="s">
        <v>482</v>
      </c>
      <c r="C35" s="98" t="s">
        <v>478</v>
      </c>
      <c r="D35" s="98" t="s">
        <v>17</v>
      </c>
      <c r="E35" s="98"/>
      <c r="F35" s="99">
        <v>46263.0</v>
      </c>
      <c r="G35" s="97"/>
      <c r="H35" s="97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7" t="s">
        <v>297</v>
      </c>
      <c r="B36" s="98" t="s">
        <v>482</v>
      </c>
      <c r="C36" s="98" t="s">
        <v>478</v>
      </c>
      <c r="D36" s="98" t="s">
        <v>17</v>
      </c>
      <c r="E36" s="98"/>
      <c r="F36" s="99">
        <v>46263.0</v>
      </c>
      <c r="G36" s="97"/>
      <c r="H36" s="97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7" t="s">
        <v>407</v>
      </c>
      <c r="B37" s="98" t="s">
        <v>482</v>
      </c>
      <c r="C37" s="98" t="s">
        <v>478</v>
      </c>
      <c r="D37" s="98" t="s">
        <v>17</v>
      </c>
      <c r="E37" s="98"/>
      <c r="F37" s="99">
        <v>46263.0</v>
      </c>
      <c r="G37" s="97"/>
      <c r="H37" s="97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7" t="s">
        <v>324</v>
      </c>
      <c r="B38" s="98" t="s">
        <v>482</v>
      </c>
      <c r="C38" s="98" t="s">
        <v>478</v>
      </c>
      <c r="D38" s="98" t="s">
        <v>17</v>
      </c>
      <c r="E38" s="98"/>
      <c r="F38" s="99">
        <v>46263.0</v>
      </c>
      <c r="G38" s="97"/>
      <c r="H38" s="97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7" t="s">
        <v>121</v>
      </c>
      <c r="B39" s="98" t="s">
        <v>482</v>
      </c>
      <c r="C39" s="98" t="s">
        <v>478</v>
      </c>
      <c r="D39" s="98" t="s">
        <v>17</v>
      </c>
      <c r="E39" s="98"/>
      <c r="F39" s="99">
        <v>46263.0</v>
      </c>
      <c r="G39" s="97"/>
      <c r="H39" s="97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7" t="s">
        <v>410</v>
      </c>
      <c r="B40" s="98" t="s">
        <v>482</v>
      </c>
      <c r="C40" s="98" t="s">
        <v>478</v>
      </c>
      <c r="D40" s="98" t="s">
        <v>17</v>
      </c>
      <c r="E40" s="98"/>
      <c r="F40" s="99">
        <v>46263.0</v>
      </c>
      <c r="G40" s="97"/>
      <c r="H40" s="97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7" t="s">
        <v>83</v>
      </c>
      <c r="B41" s="98" t="s">
        <v>482</v>
      </c>
      <c r="C41" s="98" t="s">
        <v>478</v>
      </c>
      <c r="D41" s="98" t="s">
        <v>17</v>
      </c>
      <c r="E41" s="98"/>
      <c r="F41" s="99">
        <v>46263.0</v>
      </c>
      <c r="G41" s="97"/>
      <c r="H41" s="97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7" t="s">
        <v>413</v>
      </c>
      <c r="B42" s="98" t="s">
        <v>482</v>
      </c>
      <c r="C42" s="98" t="s">
        <v>478</v>
      </c>
      <c r="D42" s="98" t="s">
        <v>17</v>
      </c>
      <c r="E42" s="98"/>
      <c r="F42" s="99">
        <v>46263.0</v>
      </c>
      <c r="G42" s="97"/>
      <c r="H42" s="97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7" t="s">
        <v>301</v>
      </c>
      <c r="B43" s="98" t="s">
        <v>482</v>
      </c>
      <c r="C43" s="98" t="s">
        <v>478</v>
      </c>
      <c r="D43" s="98" t="s">
        <v>17</v>
      </c>
      <c r="E43" s="98"/>
      <c r="F43" s="99">
        <v>46263.0</v>
      </c>
      <c r="G43" s="97"/>
      <c r="H43" s="97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7" t="s">
        <v>363</v>
      </c>
      <c r="B44" s="98" t="s">
        <v>482</v>
      </c>
      <c r="C44" s="98" t="s">
        <v>478</v>
      </c>
      <c r="D44" s="98" t="s">
        <v>17</v>
      </c>
      <c r="E44" s="98"/>
      <c r="F44" s="99">
        <v>46263.0</v>
      </c>
      <c r="G44" s="97"/>
      <c r="H44" s="97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7" t="s">
        <v>304</v>
      </c>
      <c r="B45" s="98" t="s">
        <v>482</v>
      </c>
      <c r="C45" s="98" t="s">
        <v>478</v>
      </c>
      <c r="D45" s="98" t="s">
        <v>17</v>
      </c>
      <c r="E45" s="98"/>
      <c r="F45" s="99">
        <v>46263.0</v>
      </c>
      <c r="G45" s="97"/>
      <c r="H45" s="97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7" t="s">
        <v>91</v>
      </c>
      <c r="B46" s="98" t="s">
        <v>482</v>
      </c>
      <c r="C46" s="98" t="s">
        <v>478</v>
      </c>
      <c r="D46" s="98" t="s">
        <v>17</v>
      </c>
      <c r="E46" s="98"/>
      <c r="F46" s="99">
        <v>46263.0</v>
      </c>
      <c r="G46" s="97"/>
      <c r="H46" s="97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7" t="s">
        <v>327</v>
      </c>
      <c r="B47" s="98" t="s">
        <v>482</v>
      </c>
      <c r="C47" s="98" t="s">
        <v>478</v>
      </c>
      <c r="D47" s="98" t="s">
        <v>17</v>
      </c>
      <c r="E47" s="98"/>
      <c r="F47" s="99">
        <v>46263.0</v>
      </c>
      <c r="G47" s="97"/>
      <c r="H47" s="97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7" t="s">
        <v>135</v>
      </c>
      <c r="B48" s="98" t="s">
        <v>482</v>
      </c>
      <c r="C48" s="98" t="s">
        <v>478</v>
      </c>
      <c r="D48" s="98" t="s">
        <v>17</v>
      </c>
      <c r="E48" s="98"/>
      <c r="F48" s="99">
        <v>46263.0</v>
      </c>
      <c r="G48" s="97"/>
      <c r="H48" s="97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7" t="s">
        <v>131</v>
      </c>
      <c r="B49" s="98" t="s">
        <v>482</v>
      </c>
      <c r="C49" s="98" t="s">
        <v>478</v>
      </c>
      <c r="D49" s="98" t="s">
        <v>17</v>
      </c>
      <c r="E49" s="98"/>
      <c r="F49" s="99">
        <v>46270.0</v>
      </c>
      <c r="G49" s="97"/>
      <c r="H49" s="97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7" t="s">
        <v>131</v>
      </c>
      <c r="B50" s="98" t="s">
        <v>482</v>
      </c>
      <c r="C50" s="98" t="s">
        <v>478</v>
      </c>
      <c r="D50" s="98" t="s">
        <v>17</v>
      </c>
      <c r="E50" s="98"/>
      <c r="F50" s="99">
        <v>46263.0</v>
      </c>
      <c r="G50" s="97"/>
      <c r="H50" s="97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7" t="s">
        <v>142</v>
      </c>
      <c r="B51" s="98" t="s">
        <v>482</v>
      </c>
      <c r="C51" s="98" t="s">
        <v>478</v>
      </c>
      <c r="D51" s="98" t="s">
        <v>17</v>
      </c>
      <c r="E51" s="98"/>
      <c r="F51" s="99">
        <v>46263.0</v>
      </c>
      <c r="G51" s="97"/>
      <c r="H51" s="97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7" t="s">
        <v>196</v>
      </c>
      <c r="B52" s="98" t="s">
        <v>482</v>
      </c>
      <c r="C52" s="98" t="s">
        <v>478</v>
      </c>
      <c r="D52" s="98" t="s">
        <v>17</v>
      </c>
      <c r="E52" s="98"/>
      <c r="F52" s="99">
        <v>46263.0</v>
      </c>
      <c r="G52" s="97"/>
      <c r="H52" s="97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7" t="s">
        <v>261</v>
      </c>
      <c r="B53" s="98" t="s">
        <v>482</v>
      </c>
      <c r="C53" s="98" t="s">
        <v>478</v>
      </c>
      <c r="D53" s="98" t="s">
        <v>17</v>
      </c>
      <c r="E53" s="98"/>
      <c r="F53" s="99">
        <v>46263.0</v>
      </c>
      <c r="G53" s="97"/>
      <c r="H53" s="97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7" t="s">
        <v>163</v>
      </c>
      <c r="B54" s="98" t="s">
        <v>482</v>
      </c>
      <c r="C54" s="98" t="s">
        <v>478</v>
      </c>
      <c r="D54" s="98" t="s">
        <v>17</v>
      </c>
      <c r="E54" s="98"/>
      <c r="F54" s="99">
        <v>46263.0</v>
      </c>
      <c r="G54" s="97"/>
      <c r="H54" s="97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7" t="s">
        <v>330</v>
      </c>
      <c r="B55" s="98" t="s">
        <v>482</v>
      </c>
      <c r="C55" s="98" t="s">
        <v>478</v>
      </c>
      <c r="D55" s="98" t="s">
        <v>17</v>
      </c>
      <c r="E55" s="98"/>
      <c r="F55" s="99">
        <v>46263.0</v>
      </c>
      <c r="G55" s="97"/>
      <c r="H55" s="97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7" t="s">
        <v>232</v>
      </c>
      <c r="B56" s="98" t="s">
        <v>482</v>
      </c>
      <c r="C56" s="98" t="s">
        <v>478</v>
      </c>
      <c r="D56" s="98" t="s">
        <v>17</v>
      </c>
      <c r="E56" s="98"/>
      <c r="F56" s="99">
        <v>46263.0</v>
      </c>
      <c r="G56" s="97"/>
      <c r="H56" s="97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7" t="s">
        <v>447</v>
      </c>
      <c r="B57" s="98" t="s">
        <v>482</v>
      </c>
      <c r="C57" s="98" t="s">
        <v>478</v>
      </c>
      <c r="D57" s="98" t="s">
        <v>17</v>
      </c>
      <c r="E57" s="98"/>
      <c r="F57" s="99">
        <v>46263.0</v>
      </c>
      <c r="G57" s="97"/>
      <c r="H57" s="97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7" t="s">
        <v>419</v>
      </c>
      <c r="B58" s="98" t="s">
        <v>482</v>
      </c>
      <c r="C58" s="98" t="s">
        <v>478</v>
      </c>
      <c r="D58" s="98" t="s">
        <v>17</v>
      </c>
      <c r="E58" s="98"/>
      <c r="F58" s="99">
        <v>46263.0</v>
      </c>
      <c r="G58" s="97"/>
      <c r="H58" s="97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7" t="s">
        <v>359</v>
      </c>
      <c r="B59" s="98" t="s">
        <v>482</v>
      </c>
      <c r="C59" s="98" t="s">
        <v>478</v>
      </c>
      <c r="D59" s="98" t="s">
        <v>17</v>
      </c>
      <c r="E59" s="98"/>
      <c r="F59" s="99">
        <v>46263.0</v>
      </c>
      <c r="G59" s="97"/>
      <c r="H59" s="97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7" t="s">
        <v>371</v>
      </c>
      <c r="B60" s="98" t="s">
        <v>482</v>
      </c>
      <c r="C60" s="98" t="s">
        <v>478</v>
      </c>
      <c r="D60" s="98" t="s">
        <v>17</v>
      </c>
      <c r="E60" s="98"/>
      <c r="F60" s="99">
        <v>46263.0</v>
      </c>
      <c r="G60" s="97"/>
      <c r="H60" s="97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7" t="s">
        <v>168</v>
      </c>
      <c r="B61" s="98" t="s">
        <v>482</v>
      </c>
      <c r="C61" s="98" t="s">
        <v>478</v>
      </c>
      <c r="D61" s="98" t="s">
        <v>17</v>
      </c>
      <c r="E61" s="98"/>
      <c r="F61" s="99">
        <v>46263.0</v>
      </c>
      <c r="G61" s="97"/>
      <c r="H61" s="97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7" t="s">
        <v>264</v>
      </c>
      <c r="B62" s="98" t="s">
        <v>482</v>
      </c>
      <c r="C62" s="98" t="s">
        <v>478</v>
      </c>
      <c r="D62" s="98" t="s">
        <v>17</v>
      </c>
      <c r="E62" s="98"/>
      <c r="F62" s="99">
        <v>46263.0</v>
      </c>
      <c r="G62" s="97"/>
      <c r="H62" s="97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7" t="s">
        <v>422</v>
      </c>
      <c r="B63" s="98" t="s">
        <v>482</v>
      </c>
      <c r="C63" s="98" t="s">
        <v>478</v>
      </c>
      <c r="D63" s="98" t="s">
        <v>17</v>
      </c>
      <c r="E63" s="98"/>
      <c r="F63" s="99">
        <v>46263.0</v>
      </c>
      <c r="G63" s="97"/>
      <c r="H63" s="97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7" t="s">
        <v>139</v>
      </c>
      <c r="B64" s="98" t="s">
        <v>482</v>
      </c>
      <c r="C64" s="98" t="s">
        <v>478</v>
      </c>
      <c r="D64" s="98" t="s">
        <v>17</v>
      </c>
      <c r="E64" s="98"/>
      <c r="F64" s="99">
        <v>46263.0</v>
      </c>
      <c r="G64" s="97"/>
      <c r="H64" s="97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7" t="s">
        <v>267</v>
      </c>
      <c r="B65" s="98" t="s">
        <v>482</v>
      </c>
      <c r="C65" s="98" t="s">
        <v>478</v>
      </c>
      <c r="D65" s="98" t="s">
        <v>17</v>
      </c>
      <c r="E65" s="98"/>
      <c r="F65" s="99">
        <v>46263.0</v>
      </c>
      <c r="G65" s="97"/>
      <c r="H65" s="97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7" t="s">
        <v>271</v>
      </c>
      <c r="B66" s="98" t="s">
        <v>482</v>
      </c>
      <c r="C66" s="98" t="s">
        <v>478</v>
      </c>
      <c r="D66" s="98" t="s">
        <v>17</v>
      </c>
      <c r="E66" s="98"/>
      <c r="F66" s="99">
        <v>46263.0</v>
      </c>
      <c r="G66" s="97"/>
      <c r="H66" s="97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7" t="s">
        <v>97</v>
      </c>
      <c r="B67" s="98" t="s">
        <v>482</v>
      </c>
      <c r="C67" s="98" t="s">
        <v>478</v>
      </c>
      <c r="D67" s="98" t="s">
        <v>17</v>
      </c>
      <c r="E67" s="98"/>
      <c r="F67" s="99">
        <v>46263.0</v>
      </c>
      <c r="G67" s="97"/>
      <c r="H67" s="97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7" t="s">
        <v>235</v>
      </c>
      <c r="B68" s="98" t="s">
        <v>482</v>
      </c>
      <c r="C68" s="98" t="s">
        <v>478</v>
      </c>
      <c r="D68" s="98" t="s">
        <v>17</v>
      </c>
      <c r="E68" s="98"/>
      <c r="F68" s="99">
        <v>46263.0</v>
      </c>
      <c r="G68" s="97"/>
      <c r="H68" s="97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7" t="s">
        <v>425</v>
      </c>
      <c r="B69" s="98" t="s">
        <v>482</v>
      </c>
      <c r="C69" s="98" t="s">
        <v>478</v>
      </c>
      <c r="D69" s="98" t="s">
        <v>17</v>
      </c>
      <c r="E69" s="98"/>
      <c r="F69" s="99">
        <v>46263.0</v>
      </c>
      <c r="G69" s="97"/>
      <c r="H69" s="97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7" t="s">
        <v>462</v>
      </c>
      <c r="B70" s="98" t="s">
        <v>482</v>
      </c>
      <c r="C70" s="98" t="s">
        <v>478</v>
      </c>
      <c r="D70" s="98" t="s">
        <v>17</v>
      </c>
      <c r="E70" s="98"/>
      <c r="F70" s="99">
        <v>46263.0</v>
      </c>
      <c r="G70" s="97"/>
      <c r="H70" s="97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7" t="s">
        <v>428</v>
      </c>
      <c r="B71" s="98" t="s">
        <v>482</v>
      </c>
      <c r="C71" s="98" t="s">
        <v>478</v>
      </c>
      <c r="D71" s="98" t="s">
        <v>17</v>
      </c>
      <c r="E71" s="98"/>
      <c r="F71" s="99">
        <v>46298.0</v>
      </c>
      <c r="G71" s="97"/>
      <c r="H71" s="97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7" t="s">
        <v>333</v>
      </c>
      <c r="B72" s="98" t="s">
        <v>482</v>
      </c>
      <c r="C72" s="98" t="s">
        <v>478</v>
      </c>
      <c r="D72" s="98" t="s">
        <v>17</v>
      </c>
      <c r="E72" s="98"/>
      <c r="F72" s="99">
        <v>46298.0</v>
      </c>
      <c r="G72" s="97"/>
      <c r="H72" s="97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7" t="s">
        <v>104</v>
      </c>
      <c r="B73" s="98" t="s">
        <v>482</v>
      </c>
      <c r="C73" s="98" t="s">
        <v>478</v>
      </c>
      <c r="D73" s="98" t="s">
        <v>17</v>
      </c>
      <c r="E73" s="98"/>
      <c r="F73" s="99">
        <v>46298.0</v>
      </c>
      <c r="G73" s="97"/>
      <c r="H73" s="97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7" t="s">
        <v>274</v>
      </c>
      <c r="B74" s="98" t="s">
        <v>482</v>
      </c>
      <c r="C74" s="98" t="s">
        <v>478</v>
      </c>
      <c r="D74" s="98" t="s">
        <v>17</v>
      </c>
      <c r="E74" s="98"/>
      <c r="F74" s="99">
        <v>46298.0</v>
      </c>
      <c r="G74" s="97"/>
      <c r="H74" s="97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7" t="s">
        <v>336</v>
      </c>
      <c r="B75" s="98" t="s">
        <v>482</v>
      </c>
      <c r="C75" s="98" t="s">
        <v>478</v>
      </c>
      <c r="D75" s="98" t="s">
        <v>17</v>
      </c>
      <c r="E75" s="98"/>
      <c r="F75" s="99">
        <v>46298.0</v>
      </c>
      <c r="G75" s="97"/>
      <c r="H75" s="97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7" t="s">
        <v>396</v>
      </c>
      <c r="B76" s="98" t="s">
        <v>482</v>
      </c>
      <c r="C76" s="98" t="s">
        <v>478</v>
      </c>
      <c r="D76" s="98" t="s">
        <v>17</v>
      </c>
      <c r="E76" s="98"/>
      <c r="F76" s="99">
        <v>46298.0</v>
      </c>
      <c r="G76" s="97"/>
      <c r="H76" s="97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7" t="s">
        <v>431</v>
      </c>
      <c r="B77" s="98" t="s">
        <v>482</v>
      </c>
      <c r="C77" s="98" t="s">
        <v>478</v>
      </c>
      <c r="D77" s="98" t="s">
        <v>17</v>
      </c>
      <c r="E77" s="98"/>
      <c r="F77" s="99">
        <v>46298.0</v>
      </c>
      <c r="G77" s="97"/>
      <c r="H77" s="97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7" t="s">
        <v>238</v>
      </c>
      <c r="B78" s="98" t="s">
        <v>482</v>
      </c>
      <c r="C78" s="98" t="s">
        <v>478</v>
      </c>
      <c r="D78" s="98" t="s">
        <v>17</v>
      </c>
      <c r="E78" s="98"/>
      <c r="F78" s="99">
        <v>46298.0</v>
      </c>
      <c r="G78" s="97"/>
      <c r="H78" s="97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7" t="s">
        <v>219</v>
      </c>
      <c r="B79" s="98" t="s">
        <v>482</v>
      </c>
      <c r="C79" s="98" t="s">
        <v>478</v>
      </c>
      <c r="D79" s="98" t="s">
        <v>17</v>
      </c>
      <c r="E79" s="98"/>
      <c r="F79" s="99">
        <v>46298.0</v>
      </c>
      <c r="G79" s="97"/>
      <c r="H79" s="97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7" t="s">
        <v>181</v>
      </c>
      <c r="B80" s="98" t="s">
        <v>482</v>
      </c>
      <c r="C80" s="98" t="s">
        <v>478</v>
      </c>
      <c r="D80" s="98" t="s">
        <v>17</v>
      </c>
      <c r="E80" s="98"/>
      <c r="F80" s="99">
        <v>46298.0</v>
      </c>
      <c r="G80" s="97"/>
      <c r="H80" s="97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7" t="s">
        <v>188</v>
      </c>
      <c r="B81" s="98" t="s">
        <v>482</v>
      </c>
      <c r="C81" s="98" t="s">
        <v>478</v>
      </c>
      <c r="D81" s="98" t="s">
        <v>17</v>
      </c>
      <c r="E81" s="98"/>
      <c r="F81" s="99">
        <v>46298.0</v>
      </c>
      <c r="G81" s="97"/>
      <c r="H81" s="97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7" t="s">
        <v>289</v>
      </c>
      <c r="B82" s="98" t="s">
        <v>482</v>
      </c>
      <c r="C82" s="98" t="s">
        <v>478</v>
      </c>
      <c r="D82" s="98" t="s">
        <v>17</v>
      </c>
      <c r="E82" s="98"/>
      <c r="F82" s="99">
        <v>46298.0</v>
      </c>
      <c r="G82" s="97"/>
      <c r="H82" s="97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7" t="s">
        <v>277</v>
      </c>
      <c r="B83" s="98" t="s">
        <v>482</v>
      </c>
      <c r="C83" s="98" t="s">
        <v>478</v>
      </c>
      <c r="D83" s="98" t="s">
        <v>17</v>
      </c>
      <c r="E83" s="98"/>
      <c r="F83" s="99">
        <v>46298.0</v>
      </c>
      <c r="G83" s="97"/>
      <c r="H83" s="97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7" t="s">
        <v>199</v>
      </c>
      <c r="B84" s="98" t="s">
        <v>482</v>
      </c>
      <c r="C84" s="98" t="s">
        <v>478</v>
      </c>
      <c r="D84" s="98" t="s">
        <v>17</v>
      </c>
      <c r="E84" s="98"/>
      <c r="F84" s="99">
        <v>46298.0</v>
      </c>
      <c r="G84" s="97"/>
      <c r="H84" s="97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7" t="s">
        <v>205</v>
      </c>
      <c r="B85" s="98" t="s">
        <v>482</v>
      </c>
      <c r="C85" s="98" t="s">
        <v>478</v>
      </c>
      <c r="D85" s="98" t="s">
        <v>17</v>
      </c>
      <c r="E85" s="98"/>
      <c r="F85" s="99">
        <v>46298.0</v>
      </c>
      <c r="G85" s="97"/>
      <c r="H85" s="97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7" t="s">
        <v>205</v>
      </c>
      <c r="B86" s="98" t="s">
        <v>482</v>
      </c>
      <c r="C86" s="98" t="s">
        <v>478</v>
      </c>
      <c r="D86" s="98" t="s">
        <v>17</v>
      </c>
      <c r="E86" s="98"/>
      <c r="F86" s="99">
        <v>46335.0</v>
      </c>
      <c r="G86" s="97"/>
      <c r="H86" s="97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7" t="s">
        <v>375</v>
      </c>
      <c r="B87" s="98" t="s">
        <v>482</v>
      </c>
      <c r="C87" s="98" t="s">
        <v>478</v>
      </c>
      <c r="D87" s="98" t="s">
        <v>17</v>
      </c>
      <c r="E87" s="98"/>
      <c r="F87" s="99">
        <v>46335.0</v>
      </c>
      <c r="G87" s="97"/>
      <c r="H87" s="97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7" t="s">
        <v>310</v>
      </c>
      <c r="B88" s="98" t="s">
        <v>482</v>
      </c>
      <c r="C88" s="98" t="s">
        <v>478</v>
      </c>
      <c r="D88" s="98" t="s">
        <v>17</v>
      </c>
      <c r="E88" s="98"/>
      <c r="F88" s="99">
        <v>46335.0</v>
      </c>
      <c r="G88" s="97"/>
      <c r="H88" s="97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7" t="s">
        <v>378</v>
      </c>
      <c r="B89" s="98" t="s">
        <v>482</v>
      </c>
      <c r="C89" s="98" t="s">
        <v>478</v>
      </c>
      <c r="D89" s="98" t="s">
        <v>17</v>
      </c>
      <c r="E89" s="98"/>
      <c r="F89" s="99">
        <v>46335.0</v>
      </c>
      <c r="G89" s="97"/>
      <c r="H89" s="97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7" t="s">
        <v>241</v>
      </c>
      <c r="B90" s="98" t="s">
        <v>482</v>
      </c>
      <c r="C90" s="98" t="s">
        <v>478</v>
      </c>
      <c r="D90" s="98" t="s">
        <v>17</v>
      </c>
      <c r="E90" s="98"/>
      <c r="F90" s="99">
        <v>46335.0</v>
      </c>
      <c r="G90" s="97"/>
      <c r="H90" s="97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7" t="s">
        <v>244</v>
      </c>
      <c r="B91" s="98" t="s">
        <v>482</v>
      </c>
      <c r="C91" s="98" t="s">
        <v>478</v>
      </c>
      <c r="D91" s="98" t="s">
        <v>17</v>
      </c>
      <c r="E91" s="98"/>
      <c r="F91" s="99">
        <v>46335.0</v>
      </c>
      <c r="G91" s="97"/>
      <c r="H91" s="97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7" t="s">
        <v>172</v>
      </c>
      <c r="B92" s="98" t="s">
        <v>482</v>
      </c>
      <c r="C92" s="98" t="s">
        <v>478</v>
      </c>
      <c r="D92" s="98" t="s">
        <v>17</v>
      </c>
      <c r="E92" s="98"/>
      <c r="F92" s="99">
        <v>46335.0</v>
      </c>
      <c r="G92" s="97"/>
      <c r="H92" s="97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100" t="s">
        <v>313</v>
      </c>
      <c r="B93" s="98" t="s">
        <v>482</v>
      </c>
      <c r="C93" s="98" t="s">
        <v>478</v>
      </c>
      <c r="D93" s="98" t="s">
        <v>17</v>
      </c>
      <c r="E93" s="98"/>
      <c r="F93" s="99">
        <v>46335.0</v>
      </c>
      <c r="G93" s="97"/>
      <c r="H93" s="97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100" t="s">
        <v>384</v>
      </c>
      <c r="B94" s="98" t="s">
        <v>482</v>
      </c>
      <c r="C94" s="98" t="s">
        <v>478</v>
      </c>
      <c r="D94" s="98" t="s">
        <v>17</v>
      </c>
      <c r="E94" s="98"/>
      <c r="F94" s="99">
        <v>46335.0</v>
      </c>
      <c r="G94" s="97"/>
      <c r="H94" s="97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100" t="s">
        <v>107</v>
      </c>
      <c r="B95" s="98" t="s">
        <v>482</v>
      </c>
      <c r="C95" s="98" t="s">
        <v>478</v>
      </c>
      <c r="D95" s="98" t="s">
        <v>17</v>
      </c>
      <c r="E95" s="98"/>
      <c r="F95" s="99">
        <v>46335.0</v>
      </c>
      <c r="G95" s="97"/>
      <c r="H95" s="97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100" t="s">
        <v>247</v>
      </c>
      <c r="B96" s="98" t="s">
        <v>482</v>
      </c>
      <c r="C96" s="98" t="s">
        <v>478</v>
      </c>
      <c r="D96" s="98" t="s">
        <v>17</v>
      </c>
      <c r="E96" s="98"/>
      <c r="F96" s="99">
        <v>46335.0</v>
      </c>
      <c r="G96" s="97"/>
      <c r="H96" s="97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100" t="s">
        <v>434</v>
      </c>
      <c r="B97" s="98" t="s">
        <v>482</v>
      </c>
      <c r="C97" s="98" t="s">
        <v>478</v>
      </c>
      <c r="D97" s="98" t="s">
        <v>17</v>
      </c>
      <c r="E97" s="98"/>
      <c r="F97" s="99">
        <v>46335.0</v>
      </c>
      <c r="G97" s="97"/>
      <c r="H97" s="97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100" t="s">
        <v>342</v>
      </c>
      <c r="B98" s="98" t="s">
        <v>482</v>
      </c>
      <c r="C98" s="98" t="s">
        <v>478</v>
      </c>
      <c r="D98" s="98" t="s">
        <v>17</v>
      </c>
      <c r="E98" s="98"/>
      <c r="F98" s="99">
        <v>46335.0</v>
      </c>
      <c r="G98" s="97"/>
      <c r="H98" s="97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100" t="s">
        <v>450</v>
      </c>
      <c r="B99" s="98" t="s">
        <v>482</v>
      </c>
      <c r="C99" s="98" t="s">
        <v>478</v>
      </c>
      <c r="D99" s="98" t="s">
        <v>17</v>
      </c>
      <c r="E99" s="98"/>
      <c r="F99" s="99">
        <v>46335.0</v>
      </c>
      <c r="G99" s="97"/>
      <c r="H99" s="97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100" t="s">
        <v>345</v>
      </c>
      <c r="B100" s="98" t="s">
        <v>482</v>
      </c>
      <c r="C100" s="98" t="s">
        <v>478</v>
      </c>
      <c r="D100" s="98" t="s">
        <v>17</v>
      </c>
      <c r="E100" s="98"/>
      <c r="F100" s="99">
        <v>46335.0</v>
      </c>
      <c r="G100" s="97"/>
      <c r="H100" s="97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100" t="s">
        <v>437</v>
      </c>
      <c r="B101" s="98" t="s">
        <v>482</v>
      </c>
      <c r="C101" s="98" t="s">
        <v>478</v>
      </c>
      <c r="D101" s="98" t="s">
        <v>17</v>
      </c>
      <c r="E101" s="98"/>
      <c r="F101" s="99">
        <v>46335.0</v>
      </c>
      <c r="G101" s="97"/>
      <c r="H101" s="97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100" t="s">
        <v>202</v>
      </c>
      <c r="B102" s="98" t="s">
        <v>482</v>
      </c>
      <c r="C102" s="98" t="s">
        <v>478</v>
      </c>
      <c r="D102" s="98" t="s">
        <v>17</v>
      </c>
      <c r="E102" s="98"/>
      <c r="F102" s="99">
        <v>46335.0</v>
      </c>
      <c r="G102" s="97"/>
      <c r="H102" s="97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100" t="s">
        <v>440</v>
      </c>
      <c r="B103" s="98" t="s">
        <v>482</v>
      </c>
      <c r="C103" s="98" t="s">
        <v>478</v>
      </c>
      <c r="D103" s="98" t="s">
        <v>17</v>
      </c>
      <c r="E103" s="98"/>
      <c r="F103" s="99">
        <v>46335.0</v>
      </c>
      <c r="G103" s="97"/>
      <c r="H103" s="97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100" t="s">
        <v>387</v>
      </c>
      <c r="B104" s="98" t="s">
        <v>482</v>
      </c>
      <c r="C104" s="98" t="s">
        <v>478</v>
      </c>
      <c r="D104" s="98" t="s">
        <v>17</v>
      </c>
      <c r="E104" s="98"/>
      <c r="F104" s="99">
        <v>46335.0</v>
      </c>
      <c r="G104" s="97"/>
      <c r="H104" s="97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100" t="s">
        <v>320</v>
      </c>
      <c r="B105" s="98" t="s">
        <v>482</v>
      </c>
      <c r="C105" s="98" t="s">
        <v>478</v>
      </c>
      <c r="D105" s="98" t="s">
        <v>17</v>
      </c>
      <c r="E105" s="98"/>
      <c r="F105" s="99">
        <v>46335.0</v>
      </c>
      <c r="G105" s="97"/>
      <c r="H105" s="97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100" t="s">
        <v>348</v>
      </c>
      <c r="B106" s="98" t="s">
        <v>482</v>
      </c>
      <c r="C106" s="98" t="s">
        <v>478</v>
      </c>
      <c r="D106" s="98" t="s">
        <v>17</v>
      </c>
      <c r="E106" s="98"/>
      <c r="F106" s="99">
        <v>46335.0</v>
      </c>
      <c r="G106" s="97"/>
      <c r="H106" s="97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100" t="s">
        <v>110</v>
      </c>
      <c r="B107" s="98" t="s">
        <v>482</v>
      </c>
      <c r="C107" s="98" t="s">
        <v>478</v>
      </c>
      <c r="D107" s="98" t="s">
        <v>17</v>
      </c>
      <c r="E107" s="98"/>
      <c r="F107" s="99">
        <v>46335.0</v>
      </c>
      <c r="G107" s="97"/>
      <c r="H107" s="97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100" t="s">
        <v>393</v>
      </c>
      <c r="B108" s="98" t="s">
        <v>482</v>
      </c>
      <c r="C108" s="98" t="s">
        <v>478</v>
      </c>
      <c r="D108" s="98" t="s">
        <v>17</v>
      </c>
      <c r="E108" s="98"/>
      <c r="F108" s="99">
        <v>46335.0</v>
      </c>
      <c r="G108" s="97"/>
      <c r="H108" s="97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100" t="s">
        <v>223</v>
      </c>
      <c r="B109" s="98" t="s">
        <v>482</v>
      </c>
      <c r="C109" s="98" t="s">
        <v>478</v>
      </c>
      <c r="D109" s="98" t="s">
        <v>17</v>
      </c>
      <c r="E109" s="98"/>
      <c r="F109" s="99">
        <v>46335.0</v>
      </c>
      <c r="G109" s="97"/>
      <c r="H109" s="97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100" t="s">
        <v>351</v>
      </c>
      <c r="B110" s="98" t="s">
        <v>482</v>
      </c>
      <c r="C110" s="98" t="s">
        <v>478</v>
      </c>
      <c r="D110" s="98" t="s">
        <v>17</v>
      </c>
      <c r="E110" s="98"/>
      <c r="F110" s="99">
        <v>46335.0</v>
      </c>
      <c r="G110" s="97"/>
      <c r="H110" s="97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100" t="s">
        <v>283</v>
      </c>
      <c r="B111" s="98" t="s">
        <v>482</v>
      </c>
      <c r="C111" s="98" t="s">
        <v>478</v>
      </c>
      <c r="D111" s="98" t="s">
        <v>17</v>
      </c>
      <c r="E111" s="98"/>
      <c r="F111" s="99">
        <v>46378.0</v>
      </c>
      <c r="G111" s="97"/>
      <c r="H111" s="97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100" t="s">
        <v>316</v>
      </c>
      <c r="B112" s="98" t="s">
        <v>482</v>
      </c>
      <c r="C112" s="98" t="s">
        <v>478</v>
      </c>
      <c r="D112" s="98" t="s">
        <v>17</v>
      </c>
      <c r="E112" s="98"/>
      <c r="F112" s="99">
        <v>46378.0</v>
      </c>
      <c r="G112" s="97"/>
      <c r="H112" s="97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100" t="s">
        <v>250</v>
      </c>
      <c r="B113" s="98" t="s">
        <v>482</v>
      </c>
      <c r="C113" s="98" t="s">
        <v>478</v>
      </c>
      <c r="D113" s="98" t="s">
        <v>17</v>
      </c>
      <c r="E113" s="98"/>
      <c r="F113" s="99">
        <v>46378.0</v>
      </c>
      <c r="G113" s="97"/>
      <c r="H113" s="97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100" t="s">
        <v>253</v>
      </c>
      <c r="B114" s="98" t="s">
        <v>482</v>
      </c>
      <c r="C114" s="98" t="s">
        <v>478</v>
      </c>
      <c r="D114" s="98" t="s">
        <v>17</v>
      </c>
      <c r="E114" s="98"/>
      <c r="F114" s="99">
        <v>46378.0</v>
      </c>
      <c r="G114" s="97"/>
      <c r="H114" s="97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100" t="s">
        <v>483</v>
      </c>
      <c r="B115" s="98" t="s">
        <v>482</v>
      </c>
      <c r="C115" s="98" t="s">
        <v>478</v>
      </c>
      <c r="D115" s="98" t="s">
        <v>484</v>
      </c>
      <c r="E115" s="98"/>
      <c r="F115" s="99">
        <v>46378.0</v>
      </c>
      <c r="G115" s="97"/>
      <c r="H115" s="97" t="s">
        <v>485</v>
      </c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100" t="s">
        <v>486</v>
      </c>
      <c r="B116" s="98" t="s">
        <v>482</v>
      </c>
      <c r="C116" s="98" t="s">
        <v>478</v>
      </c>
      <c r="D116" s="98" t="s">
        <v>484</v>
      </c>
      <c r="E116" s="98"/>
      <c r="F116" s="99">
        <v>46378.0</v>
      </c>
      <c r="G116" s="97"/>
      <c r="H116" s="97" t="s">
        <v>485</v>
      </c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100" t="s">
        <v>487</v>
      </c>
      <c r="B117" s="98" t="s">
        <v>482</v>
      </c>
      <c r="C117" s="98" t="s">
        <v>478</v>
      </c>
      <c r="D117" s="98" t="s">
        <v>484</v>
      </c>
      <c r="E117" s="98"/>
      <c r="F117" s="99">
        <v>46378.0</v>
      </c>
      <c r="G117" s="97"/>
      <c r="H117" s="97" t="s">
        <v>485</v>
      </c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100" t="s">
        <v>488</v>
      </c>
      <c r="B118" s="98" t="s">
        <v>482</v>
      </c>
      <c r="C118" s="98" t="s">
        <v>478</v>
      </c>
      <c r="D118" s="98" t="s">
        <v>484</v>
      </c>
      <c r="E118" s="98"/>
      <c r="F118" s="99">
        <v>46378.0</v>
      </c>
      <c r="G118" s="97"/>
      <c r="H118" s="97" t="s">
        <v>485</v>
      </c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100" t="s">
        <v>489</v>
      </c>
      <c r="B119" s="98" t="s">
        <v>482</v>
      </c>
      <c r="C119" s="98" t="s">
        <v>478</v>
      </c>
      <c r="D119" s="98" t="s">
        <v>484</v>
      </c>
      <c r="E119" s="98"/>
      <c r="F119" s="99">
        <v>46378.0</v>
      </c>
      <c r="G119" s="97"/>
      <c r="H119" s="97" t="s">
        <v>485</v>
      </c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100" t="s">
        <v>490</v>
      </c>
      <c r="B120" s="98" t="s">
        <v>482</v>
      </c>
      <c r="C120" s="98" t="s">
        <v>478</v>
      </c>
      <c r="D120" s="98" t="s">
        <v>484</v>
      </c>
      <c r="E120" s="98"/>
      <c r="F120" s="99">
        <v>46378.0</v>
      </c>
      <c r="G120" s="97"/>
      <c r="H120" s="97" t="s">
        <v>485</v>
      </c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 t="s">
        <v>131</v>
      </c>
      <c r="B121" s="96" t="s">
        <v>491</v>
      </c>
      <c r="C121" s="94" t="s">
        <v>478</v>
      </c>
      <c r="D121" s="94" t="s">
        <v>17</v>
      </c>
      <c r="E121" s="94"/>
      <c r="F121" s="101">
        <v>46213.0</v>
      </c>
      <c r="G121" s="94"/>
      <c r="H121" s="94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102" t="s">
        <v>91</v>
      </c>
      <c r="B122" s="103" t="s">
        <v>492</v>
      </c>
      <c r="C122" s="94" t="s">
        <v>478</v>
      </c>
      <c r="D122" s="94" t="s">
        <v>17</v>
      </c>
      <c r="E122" s="94"/>
      <c r="F122" s="104">
        <v>46471.0</v>
      </c>
      <c r="G122" s="94"/>
      <c r="H122" s="94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102" t="s">
        <v>238</v>
      </c>
      <c r="B123" s="103" t="s">
        <v>492</v>
      </c>
      <c r="C123" s="94" t="s">
        <v>478</v>
      </c>
      <c r="D123" s="94" t="s">
        <v>17</v>
      </c>
      <c r="E123" s="94"/>
      <c r="F123" s="104">
        <v>46471.0</v>
      </c>
      <c r="G123" s="94"/>
      <c r="H123" s="94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102" t="s">
        <v>371</v>
      </c>
      <c r="B124" s="103" t="s">
        <v>492</v>
      </c>
      <c r="C124" s="94" t="s">
        <v>478</v>
      </c>
      <c r="D124" s="94" t="s">
        <v>17</v>
      </c>
      <c r="E124" s="94"/>
      <c r="F124" s="104">
        <v>46471.0</v>
      </c>
      <c r="G124" s="94"/>
      <c r="H124" s="94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102" t="s">
        <v>437</v>
      </c>
      <c r="B125" s="103" t="s">
        <v>492</v>
      </c>
      <c r="C125" s="94" t="s">
        <v>478</v>
      </c>
      <c r="D125" s="94" t="s">
        <v>17</v>
      </c>
      <c r="E125" s="94"/>
      <c r="F125" s="104">
        <v>46471.0</v>
      </c>
      <c r="G125" s="94"/>
      <c r="H125" s="94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102" t="s">
        <v>378</v>
      </c>
      <c r="B126" s="103" t="s">
        <v>492</v>
      </c>
      <c r="C126" s="94" t="s">
        <v>478</v>
      </c>
      <c r="D126" s="94" t="s">
        <v>17</v>
      </c>
      <c r="E126" s="94"/>
      <c r="F126" s="104">
        <v>46415.0</v>
      </c>
      <c r="G126" s="94"/>
      <c r="H126" s="94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102" t="s">
        <v>428</v>
      </c>
      <c r="B127" s="103" t="s">
        <v>492</v>
      </c>
      <c r="C127" s="94" t="s">
        <v>478</v>
      </c>
      <c r="D127" s="94" t="s">
        <v>17</v>
      </c>
      <c r="E127" s="94"/>
      <c r="F127" s="104">
        <v>46435.0</v>
      </c>
      <c r="G127" s="94"/>
      <c r="H127" s="94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 t="s">
        <v>126</v>
      </c>
      <c r="B128" s="94" t="s">
        <v>493</v>
      </c>
      <c r="C128" s="94" t="s">
        <v>478</v>
      </c>
      <c r="D128" s="94" t="s">
        <v>17</v>
      </c>
      <c r="E128" s="94"/>
      <c r="F128" s="95">
        <v>46357.0</v>
      </c>
      <c r="G128" s="94"/>
      <c r="H128" s="94" t="s">
        <v>494</v>
      </c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 t="s">
        <v>163</v>
      </c>
      <c r="B129" s="94" t="s">
        <v>493</v>
      </c>
      <c r="C129" s="94" t="s">
        <v>478</v>
      </c>
      <c r="D129" s="94" t="s">
        <v>17</v>
      </c>
      <c r="E129" s="94"/>
      <c r="F129" s="95">
        <v>46357.0</v>
      </c>
      <c r="G129" s="94"/>
      <c r="H129" s="94" t="s">
        <v>495</v>
      </c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 t="s">
        <v>289</v>
      </c>
      <c r="B130" s="94" t="s">
        <v>493</v>
      </c>
      <c r="C130" s="94" t="s">
        <v>478</v>
      </c>
      <c r="D130" s="94" t="s">
        <v>17</v>
      </c>
      <c r="E130" s="94"/>
      <c r="F130" s="95">
        <v>46357.0</v>
      </c>
      <c r="G130" s="94"/>
      <c r="H130" s="94" t="s">
        <v>496</v>
      </c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 t="s">
        <v>205</v>
      </c>
      <c r="B131" s="94" t="s">
        <v>493</v>
      </c>
      <c r="C131" s="94" t="s">
        <v>478</v>
      </c>
      <c r="D131" s="94" t="s">
        <v>17</v>
      </c>
      <c r="E131" s="94"/>
      <c r="F131" s="95">
        <v>46357.0</v>
      </c>
      <c r="G131" s="94"/>
      <c r="H131" s="94" t="s">
        <v>497</v>
      </c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 t="s">
        <v>110</v>
      </c>
      <c r="B132" s="94" t="s">
        <v>493</v>
      </c>
      <c r="C132" s="94" t="s">
        <v>478</v>
      </c>
      <c r="D132" s="94" t="s">
        <v>17</v>
      </c>
      <c r="E132" s="94"/>
      <c r="F132" s="95">
        <v>46357.0</v>
      </c>
      <c r="G132" s="94"/>
      <c r="H132" s="94" t="s">
        <v>498</v>
      </c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 t="s">
        <v>353</v>
      </c>
      <c r="B133" s="94" t="s">
        <v>493</v>
      </c>
      <c r="C133" s="94" t="s">
        <v>478</v>
      </c>
      <c r="D133" s="94" t="s">
        <v>17</v>
      </c>
      <c r="E133" s="94"/>
      <c r="F133" s="95">
        <v>46357.0</v>
      </c>
      <c r="G133" s="94"/>
      <c r="H133" s="94" t="s">
        <v>499</v>
      </c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 t="s">
        <v>135</v>
      </c>
      <c r="B134" s="94" t="s">
        <v>493</v>
      </c>
      <c r="C134" s="94" t="s">
        <v>478</v>
      </c>
      <c r="D134" s="94" t="s">
        <v>17</v>
      </c>
      <c r="E134" s="94"/>
      <c r="F134" s="95">
        <v>46357.0</v>
      </c>
      <c r="G134" s="94"/>
      <c r="H134" s="94" t="s">
        <v>500</v>
      </c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4" t="s">
        <v>493</v>
      </c>
      <c r="C135" s="94" t="s">
        <v>478</v>
      </c>
      <c r="D135" s="94" t="s">
        <v>17</v>
      </c>
      <c r="E135" s="94"/>
      <c r="F135" s="95">
        <v>46357.0</v>
      </c>
      <c r="G135" s="94"/>
      <c r="H135" s="94" t="s">
        <v>501</v>
      </c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 t="s">
        <v>396</v>
      </c>
      <c r="B136" s="94" t="s">
        <v>493</v>
      </c>
      <c r="C136" s="94" t="s">
        <v>478</v>
      </c>
      <c r="D136" s="94" t="s">
        <v>17</v>
      </c>
      <c r="E136" s="94"/>
      <c r="F136" s="95">
        <v>46357.0</v>
      </c>
      <c r="G136" s="94"/>
      <c r="H136" s="94" t="s">
        <v>502</v>
      </c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 t="s">
        <v>223</v>
      </c>
      <c r="B137" s="94" t="s">
        <v>493</v>
      </c>
      <c r="C137" s="94" t="s">
        <v>478</v>
      </c>
      <c r="D137" s="94" t="s">
        <v>17</v>
      </c>
      <c r="E137" s="94"/>
      <c r="F137" s="95">
        <v>46357.0</v>
      </c>
      <c r="G137" s="94"/>
      <c r="H137" s="94" t="s">
        <v>503</v>
      </c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 t="s">
        <v>115</v>
      </c>
      <c r="B138" s="100" t="s">
        <v>504</v>
      </c>
      <c r="C138" s="93" t="s">
        <v>478</v>
      </c>
      <c r="D138" s="93" t="s">
        <v>17</v>
      </c>
      <c r="E138" s="93"/>
      <c r="F138" s="105">
        <v>46357.0</v>
      </c>
      <c r="G138" s="93"/>
      <c r="H138" s="93" t="s">
        <v>505</v>
      </c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 t="s">
        <v>193</v>
      </c>
      <c r="B139" s="100" t="s">
        <v>504</v>
      </c>
      <c r="C139" s="93" t="s">
        <v>478</v>
      </c>
      <c r="D139" s="93" t="s">
        <v>17</v>
      </c>
      <c r="E139" s="93"/>
      <c r="F139" s="105">
        <v>46357.0</v>
      </c>
      <c r="G139" s="93"/>
      <c r="H139" s="93" t="s">
        <v>506</v>
      </c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 t="s">
        <v>297</v>
      </c>
      <c r="B140" s="100" t="s">
        <v>504</v>
      </c>
      <c r="C140" s="93" t="s">
        <v>478</v>
      </c>
      <c r="D140" s="93" t="s">
        <v>17</v>
      </c>
      <c r="E140" s="93"/>
      <c r="F140" s="105">
        <v>46357.0</v>
      </c>
      <c r="G140" s="93"/>
      <c r="H140" s="93" t="s">
        <v>507</v>
      </c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 t="s">
        <v>301</v>
      </c>
      <c r="B141" s="100" t="s">
        <v>504</v>
      </c>
      <c r="C141" s="93" t="s">
        <v>478</v>
      </c>
      <c r="D141" s="93" t="s">
        <v>17</v>
      </c>
      <c r="E141" s="93"/>
      <c r="F141" s="105">
        <v>46357.0</v>
      </c>
      <c r="G141" s="93"/>
      <c r="H141" s="93" t="s">
        <v>508</v>
      </c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 t="s">
        <v>135</v>
      </c>
      <c r="B142" s="100" t="s">
        <v>504</v>
      </c>
      <c r="C142" s="93" t="s">
        <v>478</v>
      </c>
      <c r="D142" s="93" t="s">
        <v>17</v>
      </c>
      <c r="E142" s="93"/>
      <c r="F142" s="105">
        <v>46357.0</v>
      </c>
      <c r="G142" s="93"/>
      <c r="H142" s="93" t="s">
        <v>509</v>
      </c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 t="s">
        <v>196</v>
      </c>
      <c r="B143" s="100" t="s">
        <v>504</v>
      </c>
      <c r="C143" s="93" t="s">
        <v>478</v>
      </c>
      <c r="D143" s="93" t="s">
        <v>17</v>
      </c>
      <c r="E143" s="93"/>
      <c r="F143" s="105">
        <v>46357.0</v>
      </c>
      <c r="G143" s="93"/>
      <c r="H143" s="93" t="s">
        <v>510</v>
      </c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 t="s">
        <v>261</v>
      </c>
      <c r="B144" s="100" t="s">
        <v>504</v>
      </c>
      <c r="C144" s="93" t="s">
        <v>478</v>
      </c>
      <c r="D144" s="93" t="s">
        <v>17</v>
      </c>
      <c r="E144" s="93"/>
      <c r="F144" s="105">
        <v>46357.0</v>
      </c>
      <c r="G144" s="93"/>
      <c r="H144" s="93" t="s">
        <v>511</v>
      </c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 t="s">
        <v>232</v>
      </c>
      <c r="B145" s="100" t="s">
        <v>504</v>
      </c>
      <c r="C145" s="93" t="s">
        <v>478</v>
      </c>
      <c r="D145" s="93" t="s">
        <v>17</v>
      </c>
      <c r="E145" s="93"/>
      <c r="F145" s="105">
        <v>46357.0</v>
      </c>
      <c r="G145" s="93"/>
      <c r="H145" s="93" t="s">
        <v>512</v>
      </c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 t="s">
        <v>176</v>
      </c>
      <c r="B146" s="100" t="s">
        <v>504</v>
      </c>
      <c r="C146" s="93" t="s">
        <v>478</v>
      </c>
      <c r="D146" s="93" t="s">
        <v>17</v>
      </c>
      <c r="E146" s="93"/>
      <c r="F146" s="105">
        <v>46357.0</v>
      </c>
      <c r="G146" s="93"/>
      <c r="H146" s="93" t="s">
        <v>513</v>
      </c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 t="s">
        <v>333</v>
      </c>
      <c r="B147" s="100" t="s">
        <v>504</v>
      </c>
      <c r="C147" s="93" t="s">
        <v>478</v>
      </c>
      <c r="D147" s="93" t="s">
        <v>17</v>
      </c>
      <c r="E147" s="93"/>
      <c r="F147" s="105">
        <v>46357.0</v>
      </c>
      <c r="G147" s="93"/>
      <c r="H147" s="93" t="s">
        <v>514</v>
      </c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 t="s">
        <v>336</v>
      </c>
      <c r="B148" s="100" t="s">
        <v>504</v>
      </c>
      <c r="C148" s="93" t="s">
        <v>478</v>
      </c>
      <c r="D148" s="93" t="s">
        <v>17</v>
      </c>
      <c r="E148" s="93"/>
      <c r="F148" s="105">
        <v>46357.0</v>
      </c>
      <c r="G148" s="93"/>
      <c r="H148" s="93" t="s">
        <v>515</v>
      </c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 t="s">
        <v>219</v>
      </c>
      <c r="B149" s="100" t="s">
        <v>504</v>
      </c>
      <c r="C149" s="93" t="s">
        <v>478</v>
      </c>
      <c r="D149" s="93" t="s">
        <v>17</v>
      </c>
      <c r="E149" s="93"/>
      <c r="F149" s="105">
        <v>46357.0</v>
      </c>
      <c r="G149" s="93"/>
      <c r="H149" s="93" t="s">
        <v>516</v>
      </c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 t="s">
        <v>181</v>
      </c>
      <c r="B150" s="100" t="s">
        <v>504</v>
      </c>
      <c r="C150" s="93" t="s">
        <v>478</v>
      </c>
      <c r="D150" s="93" t="s">
        <v>17</v>
      </c>
      <c r="E150" s="93"/>
      <c r="F150" s="105">
        <v>46357.0</v>
      </c>
      <c r="G150" s="93"/>
      <c r="H150" s="93" t="s">
        <v>517</v>
      </c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 t="s">
        <v>188</v>
      </c>
      <c r="B151" s="100" t="s">
        <v>504</v>
      </c>
      <c r="C151" s="93" t="s">
        <v>478</v>
      </c>
      <c r="D151" s="93" t="s">
        <v>17</v>
      </c>
      <c r="E151" s="93"/>
      <c r="F151" s="105">
        <v>46357.0</v>
      </c>
      <c r="G151" s="93"/>
      <c r="H151" s="93" t="s">
        <v>518</v>
      </c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 t="s">
        <v>277</v>
      </c>
      <c r="B152" s="100" t="s">
        <v>504</v>
      </c>
      <c r="C152" s="93" t="s">
        <v>478</v>
      </c>
      <c r="D152" s="93" t="s">
        <v>17</v>
      </c>
      <c r="E152" s="93"/>
      <c r="F152" s="105">
        <v>46357.0</v>
      </c>
      <c r="G152" s="93"/>
      <c r="H152" s="93" t="s">
        <v>519</v>
      </c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102" t="s">
        <v>375</v>
      </c>
      <c r="B153" s="100" t="s">
        <v>504</v>
      </c>
      <c r="C153" s="93" t="s">
        <v>478</v>
      </c>
      <c r="D153" s="93" t="s">
        <v>17</v>
      </c>
      <c r="E153" s="93"/>
      <c r="F153" s="105">
        <v>46357.0</v>
      </c>
      <c r="G153" s="93"/>
      <c r="H153" s="93" t="s">
        <v>520</v>
      </c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 t="s">
        <v>310</v>
      </c>
      <c r="B154" s="100" t="s">
        <v>504</v>
      </c>
      <c r="C154" s="93" t="s">
        <v>478</v>
      </c>
      <c r="D154" s="93" t="s">
        <v>17</v>
      </c>
      <c r="E154" s="93"/>
      <c r="F154" s="105">
        <v>46357.0</v>
      </c>
      <c r="G154" s="93"/>
      <c r="H154" s="93" t="s">
        <v>521</v>
      </c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102" t="s">
        <v>378</v>
      </c>
      <c r="B155" s="100" t="s">
        <v>504</v>
      </c>
      <c r="C155" s="93" t="s">
        <v>478</v>
      </c>
      <c r="D155" s="93" t="s">
        <v>17</v>
      </c>
      <c r="E155" s="93"/>
      <c r="F155" s="105">
        <v>46357.0</v>
      </c>
      <c r="G155" s="93"/>
      <c r="H155" s="93" t="s">
        <v>522</v>
      </c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 t="s">
        <v>172</v>
      </c>
      <c r="B156" s="100" t="s">
        <v>504</v>
      </c>
      <c r="C156" s="93" t="s">
        <v>478</v>
      </c>
      <c r="D156" s="93" t="s">
        <v>17</v>
      </c>
      <c r="E156" s="93"/>
      <c r="F156" s="105">
        <v>46357.0</v>
      </c>
      <c r="G156" s="93"/>
      <c r="H156" s="93" t="s">
        <v>523</v>
      </c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 t="s">
        <v>313</v>
      </c>
      <c r="B157" s="100" t="s">
        <v>504</v>
      </c>
      <c r="C157" s="93" t="s">
        <v>478</v>
      </c>
      <c r="D157" s="93" t="s">
        <v>17</v>
      </c>
      <c r="E157" s="93"/>
      <c r="F157" s="105">
        <v>46357.0</v>
      </c>
      <c r="G157" s="93"/>
      <c r="H157" s="93" t="s">
        <v>524</v>
      </c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 t="s">
        <v>247</v>
      </c>
      <c r="B158" s="100" t="s">
        <v>504</v>
      </c>
      <c r="C158" s="93" t="s">
        <v>478</v>
      </c>
      <c r="D158" s="93" t="s">
        <v>17</v>
      </c>
      <c r="E158" s="93"/>
      <c r="F158" s="105">
        <v>46357.0</v>
      </c>
      <c r="G158" s="93"/>
      <c r="H158" s="93" t="s">
        <v>525</v>
      </c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 t="s">
        <v>342</v>
      </c>
      <c r="B159" s="100" t="s">
        <v>504</v>
      </c>
      <c r="C159" s="93" t="s">
        <v>478</v>
      </c>
      <c r="D159" s="93" t="s">
        <v>17</v>
      </c>
      <c r="E159" s="93"/>
      <c r="F159" s="105">
        <v>46357.0</v>
      </c>
      <c r="G159" s="93"/>
      <c r="H159" s="93" t="s">
        <v>526</v>
      </c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 t="s">
        <v>202</v>
      </c>
      <c r="B160" s="100" t="s">
        <v>504</v>
      </c>
      <c r="C160" s="93" t="s">
        <v>478</v>
      </c>
      <c r="D160" s="93" t="s">
        <v>17</v>
      </c>
      <c r="E160" s="93"/>
      <c r="F160" s="105">
        <v>46357.0</v>
      </c>
      <c r="G160" s="93"/>
      <c r="H160" s="93" t="s">
        <v>527</v>
      </c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102" t="s">
        <v>387</v>
      </c>
      <c r="B161" s="100" t="s">
        <v>504</v>
      </c>
      <c r="C161" s="93" t="s">
        <v>478</v>
      </c>
      <c r="D161" s="93" t="s">
        <v>17</v>
      </c>
      <c r="E161" s="93"/>
      <c r="F161" s="105">
        <v>46357.0</v>
      </c>
      <c r="G161" s="93"/>
      <c r="H161" s="93" t="s">
        <v>528</v>
      </c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 t="s">
        <v>348</v>
      </c>
      <c r="B162" s="100" t="s">
        <v>504</v>
      </c>
      <c r="C162" s="93" t="s">
        <v>478</v>
      </c>
      <c r="D162" s="93" t="s">
        <v>17</v>
      </c>
      <c r="E162" s="93"/>
      <c r="F162" s="105">
        <v>46357.0</v>
      </c>
      <c r="G162" s="93"/>
      <c r="H162" s="93" t="s">
        <v>529</v>
      </c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 t="s">
        <v>393</v>
      </c>
      <c r="B163" s="100" t="s">
        <v>504</v>
      </c>
      <c r="C163" s="93" t="s">
        <v>478</v>
      </c>
      <c r="D163" s="93" t="s">
        <v>17</v>
      </c>
      <c r="E163" s="93"/>
      <c r="F163" s="105">
        <v>46357.0</v>
      </c>
      <c r="G163" s="93"/>
      <c r="H163" s="93" t="s">
        <v>530</v>
      </c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 t="s">
        <v>250</v>
      </c>
      <c r="B164" s="100" t="s">
        <v>504</v>
      </c>
      <c r="C164" s="93" t="s">
        <v>478</v>
      </c>
      <c r="D164" s="93" t="s">
        <v>17</v>
      </c>
      <c r="E164" s="93"/>
      <c r="F164" s="105">
        <v>46357.0</v>
      </c>
      <c r="G164" s="93"/>
      <c r="H164" s="93" t="s">
        <v>531</v>
      </c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 t="s">
        <v>253</v>
      </c>
      <c r="B165" s="100" t="s">
        <v>504</v>
      </c>
      <c r="C165" s="93" t="s">
        <v>478</v>
      </c>
      <c r="D165" s="93" t="s">
        <v>17</v>
      </c>
      <c r="E165" s="93"/>
      <c r="F165" s="105">
        <v>46357.0</v>
      </c>
      <c r="G165" s="93"/>
      <c r="H165" s="93" t="s">
        <v>532</v>
      </c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 t="s">
        <v>168</v>
      </c>
      <c r="B166" s="100" t="s">
        <v>504</v>
      </c>
      <c r="C166" s="93" t="s">
        <v>478</v>
      </c>
      <c r="D166" s="93" t="s">
        <v>17</v>
      </c>
      <c r="E166" s="93"/>
      <c r="F166" s="105">
        <v>46357.0</v>
      </c>
      <c r="G166" s="93"/>
      <c r="H166" s="93" t="s">
        <v>533</v>
      </c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7" t="s">
        <v>504</v>
      </c>
      <c r="C167" s="93" t="s">
        <v>478</v>
      </c>
      <c r="D167" s="93" t="s">
        <v>17</v>
      </c>
      <c r="E167" s="93"/>
      <c r="F167" s="105">
        <v>46357.0</v>
      </c>
      <c r="G167" s="93"/>
      <c r="H167" s="93" t="s">
        <v>534</v>
      </c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 t="s">
        <v>139</v>
      </c>
      <c r="B168" s="94" t="s">
        <v>504</v>
      </c>
      <c r="C168" s="93" t="s">
        <v>478</v>
      </c>
      <c r="D168" s="93" t="s">
        <v>17</v>
      </c>
      <c r="E168" s="93"/>
      <c r="F168" s="105">
        <v>46357.0</v>
      </c>
      <c r="G168" s="93" t="s">
        <v>475</v>
      </c>
      <c r="H168" s="102" t="s">
        <v>535</v>
      </c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102" t="s">
        <v>437</v>
      </c>
      <c r="B169" s="94" t="s">
        <v>504</v>
      </c>
      <c r="C169" s="93" t="s">
        <v>478</v>
      </c>
      <c r="D169" s="93" t="s">
        <v>17</v>
      </c>
      <c r="E169" s="93"/>
      <c r="F169" s="105">
        <v>46357.0</v>
      </c>
      <c r="G169" s="93"/>
      <c r="H169" s="102" t="s">
        <v>536</v>
      </c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106" t="s">
        <v>378</v>
      </c>
      <c r="B170" s="93" t="s">
        <v>537</v>
      </c>
      <c r="C170" s="93" t="s">
        <v>478</v>
      </c>
      <c r="D170" s="93" t="s">
        <v>17</v>
      </c>
      <c r="E170" s="93"/>
      <c r="F170" s="105">
        <v>46373.0</v>
      </c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106" t="s">
        <v>172</v>
      </c>
      <c r="B171" s="98" t="s">
        <v>537</v>
      </c>
      <c r="C171" s="107" t="s">
        <v>478</v>
      </c>
      <c r="D171" s="107" t="s">
        <v>17</v>
      </c>
      <c r="E171" s="107"/>
      <c r="F171" s="108">
        <v>46255.0</v>
      </c>
      <c r="G171" s="100"/>
      <c r="H171" s="100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106" t="s">
        <v>250</v>
      </c>
      <c r="B172" s="98" t="s">
        <v>537</v>
      </c>
      <c r="C172" s="107" t="s">
        <v>478</v>
      </c>
      <c r="D172" s="107" t="s">
        <v>17</v>
      </c>
      <c r="E172" s="107"/>
      <c r="F172" s="108">
        <v>46255.0</v>
      </c>
      <c r="G172" s="100"/>
      <c r="H172" s="100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106" t="s">
        <v>168</v>
      </c>
      <c r="B173" s="98" t="s">
        <v>537</v>
      </c>
      <c r="C173" s="107" t="s">
        <v>478</v>
      </c>
      <c r="D173" s="107" t="s">
        <v>17</v>
      </c>
      <c r="E173" s="107"/>
      <c r="F173" s="108">
        <v>46178.0</v>
      </c>
      <c r="G173" s="100"/>
      <c r="H173" s="100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106" t="s">
        <v>289</v>
      </c>
      <c r="B174" s="98" t="s">
        <v>537</v>
      </c>
      <c r="C174" s="107" t="s">
        <v>478</v>
      </c>
      <c r="D174" s="107" t="s">
        <v>17</v>
      </c>
      <c r="E174" s="107"/>
      <c r="F174" s="108">
        <v>46178.0</v>
      </c>
      <c r="G174" s="100"/>
      <c r="H174" s="100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106" t="s">
        <v>244</v>
      </c>
      <c r="B175" s="107" t="s">
        <v>537</v>
      </c>
      <c r="C175" s="107" t="s">
        <v>478</v>
      </c>
      <c r="D175" s="107" t="s">
        <v>17</v>
      </c>
      <c r="E175" s="107"/>
      <c r="F175" s="108">
        <v>46178.0</v>
      </c>
      <c r="G175" s="100"/>
      <c r="H175" s="100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106" t="s">
        <v>253</v>
      </c>
      <c r="B176" s="98" t="s">
        <v>537</v>
      </c>
      <c r="C176" s="107" t="s">
        <v>478</v>
      </c>
      <c r="D176" s="107" t="s">
        <v>17</v>
      </c>
      <c r="E176" s="107"/>
      <c r="F176" s="108">
        <v>46178.0</v>
      </c>
      <c r="G176" s="100"/>
      <c r="H176" s="100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106" t="s">
        <v>410</v>
      </c>
      <c r="B177" s="98" t="s">
        <v>537</v>
      </c>
      <c r="C177" s="107" t="s">
        <v>478</v>
      </c>
      <c r="D177" s="107" t="s">
        <v>17</v>
      </c>
      <c r="E177" s="107"/>
      <c r="F177" s="108">
        <v>46255.0</v>
      </c>
      <c r="G177" s="100"/>
      <c r="H177" s="100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106" t="s">
        <v>363</v>
      </c>
      <c r="B178" s="98" t="s">
        <v>537</v>
      </c>
      <c r="C178" s="107" t="s">
        <v>478</v>
      </c>
      <c r="D178" s="107" t="s">
        <v>17</v>
      </c>
      <c r="E178" s="107"/>
      <c r="F178" s="108">
        <v>46255.0</v>
      </c>
      <c r="G178" s="100"/>
      <c r="H178" s="100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106" t="s">
        <v>297</v>
      </c>
      <c r="B179" s="98" t="s">
        <v>537</v>
      </c>
      <c r="C179" s="107" t="s">
        <v>478</v>
      </c>
      <c r="D179" s="107" t="s">
        <v>17</v>
      </c>
      <c r="E179" s="107"/>
      <c r="F179" s="108">
        <v>46178.0</v>
      </c>
      <c r="G179" s="100"/>
      <c r="H179" s="100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106" t="s">
        <v>277</v>
      </c>
      <c r="B180" s="98" t="s">
        <v>537</v>
      </c>
      <c r="C180" s="107" t="s">
        <v>478</v>
      </c>
      <c r="D180" s="107" t="s">
        <v>17</v>
      </c>
      <c r="E180" s="107"/>
      <c r="F180" s="108">
        <v>46321.0</v>
      </c>
      <c r="G180" s="100"/>
      <c r="H180" s="100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106" t="s">
        <v>348</v>
      </c>
      <c r="B181" s="98" t="s">
        <v>537</v>
      </c>
      <c r="C181" s="107" t="s">
        <v>478</v>
      </c>
      <c r="D181" s="107" t="s">
        <v>17</v>
      </c>
      <c r="E181" s="107"/>
      <c r="F181" s="108">
        <v>46280.0</v>
      </c>
      <c r="G181" s="100"/>
      <c r="H181" s="100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106" t="s">
        <v>83</v>
      </c>
      <c r="B182" s="98" t="s">
        <v>537</v>
      </c>
      <c r="C182" s="107" t="s">
        <v>478</v>
      </c>
      <c r="D182" s="107" t="s">
        <v>17</v>
      </c>
      <c r="E182" s="107"/>
      <c r="F182" s="108">
        <v>46255.0</v>
      </c>
      <c r="G182" s="100"/>
      <c r="H182" s="100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106" t="s">
        <v>351</v>
      </c>
      <c r="B183" s="107" t="s">
        <v>537</v>
      </c>
      <c r="C183" s="107" t="s">
        <v>478</v>
      </c>
      <c r="D183" s="107" t="s">
        <v>17</v>
      </c>
      <c r="E183" s="107"/>
      <c r="F183" s="108">
        <v>46255.0</v>
      </c>
      <c r="G183" s="100"/>
      <c r="H183" s="100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106" t="s">
        <v>434</v>
      </c>
      <c r="B184" s="98" t="s">
        <v>537</v>
      </c>
      <c r="C184" s="107" t="s">
        <v>478</v>
      </c>
      <c r="D184" s="107" t="s">
        <v>17</v>
      </c>
      <c r="E184" s="107"/>
      <c r="F184" s="108">
        <v>46321.0</v>
      </c>
      <c r="G184" s="100"/>
      <c r="H184" s="100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106" t="s">
        <v>247</v>
      </c>
      <c r="B185" s="93" t="s">
        <v>537</v>
      </c>
      <c r="C185" s="93" t="s">
        <v>478</v>
      </c>
      <c r="D185" s="93" t="s">
        <v>17</v>
      </c>
      <c r="E185" s="93"/>
      <c r="F185" s="105">
        <v>46373.0</v>
      </c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106" t="s">
        <v>440</v>
      </c>
      <c r="B186" s="98" t="s">
        <v>537</v>
      </c>
      <c r="C186" s="107" t="s">
        <v>478</v>
      </c>
      <c r="D186" s="107" t="s">
        <v>17</v>
      </c>
      <c r="E186" s="107"/>
      <c r="F186" s="108">
        <v>46291.0</v>
      </c>
      <c r="G186" s="100"/>
      <c r="H186" s="100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106" t="s">
        <v>327</v>
      </c>
      <c r="B187" s="98" t="s">
        <v>537</v>
      </c>
      <c r="C187" s="107" t="s">
        <v>478</v>
      </c>
      <c r="D187" s="107" t="s">
        <v>17</v>
      </c>
      <c r="E187" s="107"/>
      <c r="F187" s="108">
        <v>46255.0</v>
      </c>
      <c r="G187" s="100"/>
      <c r="H187" s="100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106" t="s">
        <v>437</v>
      </c>
      <c r="B188" s="98" t="s">
        <v>537</v>
      </c>
      <c r="C188" s="107" t="s">
        <v>478</v>
      </c>
      <c r="D188" s="107" t="s">
        <v>17</v>
      </c>
      <c r="E188" s="107"/>
      <c r="F188" s="108">
        <v>46291.0</v>
      </c>
      <c r="G188" s="100"/>
      <c r="H188" s="100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106" t="s">
        <v>241</v>
      </c>
      <c r="B189" s="98" t="s">
        <v>537</v>
      </c>
      <c r="C189" s="107" t="s">
        <v>478</v>
      </c>
      <c r="D189" s="107" t="s">
        <v>17</v>
      </c>
      <c r="E189" s="107"/>
      <c r="F189" s="108">
        <v>46255.0</v>
      </c>
      <c r="G189" s="100"/>
      <c r="H189" s="100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106" t="s">
        <v>104</v>
      </c>
      <c r="B190" s="98" t="s">
        <v>537</v>
      </c>
      <c r="C190" s="107" t="s">
        <v>478</v>
      </c>
      <c r="D190" s="107" t="s">
        <v>17</v>
      </c>
      <c r="E190" s="107"/>
      <c r="F190" s="108">
        <v>46255.0</v>
      </c>
      <c r="G190" s="100"/>
      <c r="H190" s="100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106" t="s">
        <v>196</v>
      </c>
      <c r="B191" s="98" t="s">
        <v>537</v>
      </c>
      <c r="C191" s="107" t="s">
        <v>478</v>
      </c>
      <c r="D191" s="107" t="s">
        <v>17</v>
      </c>
      <c r="E191" s="107"/>
      <c r="F191" s="108">
        <v>46280.0</v>
      </c>
      <c r="G191" s="100"/>
      <c r="H191" s="100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106" t="s">
        <v>188</v>
      </c>
      <c r="B192" s="98" t="s">
        <v>537</v>
      </c>
      <c r="C192" s="107" t="s">
        <v>478</v>
      </c>
      <c r="D192" s="107" t="s">
        <v>17</v>
      </c>
      <c r="E192" s="107"/>
      <c r="F192" s="108">
        <v>46373.0</v>
      </c>
      <c r="G192" s="100"/>
      <c r="H192" s="100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106" t="s">
        <v>97</v>
      </c>
      <c r="B193" s="98" t="s">
        <v>537</v>
      </c>
      <c r="C193" s="107" t="s">
        <v>478</v>
      </c>
      <c r="D193" s="107" t="s">
        <v>17</v>
      </c>
      <c r="E193" s="107"/>
      <c r="F193" s="108">
        <v>46255.0</v>
      </c>
      <c r="G193" s="100"/>
      <c r="H193" s="100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106" t="s">
        <v>393</v>
      </c>
      <c r="B194" s="98" t="s">
        <v>537</v>
      </c>
      <c r="C194" s="107" t="s">
        <v>478</v>
      </c>
      <c r="D194" s="107" t="s">
        <v>17</v>
      </c>
      <c r="E194" s="107"/>
      <c r="F194" s="108">
        <v>46178.0</v>
      </c>
      <c r="G194" s="100"/>
      <c r="H194" s="100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106" t="s">
        <v>261</v>
      </c>
      <c r="B195" s="98" t="s">
        <v>537</v>
      </c>
      <c r="C195" s="107" t="s">
        <v>478</v>
      </c>
      <c r="D195" s="107" t="s">
        <v>17</v>
      </c>
      <c r="E195" s="107"/>
      <c r="F195" s="108">
        <v>46178.0</v>
      </c>
      <c r="G195" s="100"/>
      <c r="H195" s="100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106" t="s">
        <v>91</v>
      </c>
      <c r="B196" s="107" t="s">
        <v>537</v>
      </c>
      <c r="C196" s="107" t="s">
        <v>478</v>
      </c>
      <c r="D196" s="107" t="s">
        <v>17</v>
      </c>
      <c r="E196" s="107"/>
      <c r="F196" s="108">
        <v>46291.0</v>
      </c>
      <c r="G196" s="100"/>
      <c r="H196" s="100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106" t="s">
        <v>193</v>
      </c>
      <c r="B197" s="98" t="s">
        <v>537</v>
      </c>
      <c r="C197" s="107" t="s">
        <v>478</v>
      </c>
      <c r="D197" s="107" t="s">
        <v>17</v>
      </c>
      <c r="E197" s="107"/>
      <c r="F197" s="108">
        <v>46321.0</v>
      </c>
      <c r="G197" s="100"/>
      <c r="H197" s="100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106" t="s">
        <v>304</v>
      </c>
      <c r="B198" s="98" t="s">
        <v>537</v>
      </c>
      <c r="C198" s="107" t="s">
        <v>478</v>
      </c>
      <c r="D198" s="107" t="s">
        <v>17</v>
      </c>
      <c r="E198" s="107"/>
      <c r="F198" s="108">
        <v>46178.0</v>
      </c>
      <c r="G198" s="100"/>
      <c r="H198" s="100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106" t="s">
        <v>404</v>
      </c>
      <c r="B199" s="98" t="s">
        <v>537</v>
      </c>
      <c r="C199" s="107" t="s">
        <v>478</v>
      </c>
      <c r="D199" s="107" t="s">
        <v>17</v>
      </c>
      <c r="E199" s="107"/>
      <c r="F199" s="108">
        <v>46255.0</v>
      </c>
      <c r="G199" s="100"/>
      <c r="H199" s="100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106" t="s">
        <v>274</v>
      </c>
      <c r="B200" s="107" t="s">
        <v>537</v>
      </c>
      <c r="C200" s="107" t="s">
        <v>478</v>
      </c>
      <c r="D200" s="107" t="s">
        <v>17</v>
      </c>
      <c r="E200" s="107"/>
      <c r="F200" s="108">
        <v>46178.0</v>
      </c>
      <c r="G200" s="100"/>
      <c r="H200" s="100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106" t="s">
        <v>142</v>
      </c>
      <c r="B201" s="107" t="s">
        <v>537</v>
      </c>
      <c r="C201" s="107" t="s">
        <v>478</v>
      </c>
      <c r="D201" s="107" t="s">
        <v>17</v>
      </c>
      <c r="E201" s="107"/>
      <c r="F201" s="108">
        <v>46178.0</v>
      </c>
      <c r="G201" s="100"/>
      <c r="H201" s="100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106" t="s">
        <v>431</v>
      </c>
      <c r="B202" s="98" t="s">
        <v>537</v>
      </c>
      <c r="C202" s="107" t="s">
        <v>478</v>
      </c>
      <c r="D202" s="107" t="s">
        <v>17</v>
      </c>
      <c r="E202" s="107"/>
      <c r="F202" s="108">
        <v>46321.0</v>
      </c>
      <c r="G202" s="100"/>
      <c r="H202" s="100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106" t="s">
        <v>345</v>
      </c>
      <c r="B203" s="107" t="s">
        <v>537</v>
      </c>
      <c r="C203" s="107" t="s">
        <v>478</v>
      </c>
      <c r="D203" s="107" t="s">
        <v>17</v>
      </c>
      <c r="E203" s="107"/>
      <c r="F203" s="108">
        <v>46178.0</v>
      </c>
      <c r="G203" s="100"/>
      <c r="H203" s="100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106" t="s">
        <v>199</v>
      </c>
      <c r="B204" s="107" t="s">
        <v>537</v>
      </c>
      <c r="C204" s="107" t="s">
        <v>478</v>
      </c>
      <c r="D204" s="107" t="s">
        <v>17</v>
      </c>
      <c r="E204" s="107"/>
      <c r="F204" s="108">
        <v>46178.0</v>
      </c>
      <c r="G204" s="100"/>
      <c r="H204" s="100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106" t="s">
        <v>428</v>
      </c>
      <c r="B205" s="98" t="s">
        <v>537</v>
      </c>
      <c r="C205" s="107" t="s">
        <v>478</v>
      </c>
      <c r="D205" s="107" t="s">
        <v>17</v>
      </c>
      <c r="E205" s="107"/>
      <c r="F205" s="108">
        <v>46373.0</v>
      </c>
      <c r="G205" s="100"/>
      <c r="H205" s="100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106" t="s">
        <v>229</v>
      </c>
      <c r="B206" s="107" t="s">
        <v>537</v>
      </c>
      <c r="C206" s="107" t="s">
        <v>478</v>
      </c>
      <c r="D206" s="107" t="s">
        <v>17</v>
      </c>
      <c r="E206" s="107"/>
      <c r="F206" s="108">
        <v>46280.0</v>
      </c>
      <c r="G206" s="100"/>
      <c r="H206" s="100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106" t="s">
        <v>267</v>
      </c>
      <c r="B207" s="107" t="s">
        <v>537</v>
      </c>
      <c r="C207" s="107" t="s">
        <v>478</v>
      </c>
      <c r="D207" s="107" t="s">
        <v>17</v>
      </c>
      <c r="E207" s="107"/>
      <c r="F207" s="108">
        <v>46178.0</v>
      </c>
      <c r="G207" s="100"/>
      <c r="H207" s="100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106" t="s">
        <v>223</v>
      </c>
      <c r="B208" s="107" t="s">
        <v>537</v>
      </c>
      <c r="C208" s="107" t="s">
        <v>478</v>
      </c>
      <c r="D208" s="107" t="s">
        <v>17</v>
      </c>
      <c r="E208" s="107"/>
      <c r="F208" s="99">
        <v>46321.0</v>
      </c>
      <c r="G208" s="100"/>
      <c r="H208" s="100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106" t="s">
        <v>387</v>
      </c>
      <c r="B209" s="107" t="s">
        <v>537</v>
      </c>
      <c r="C209" s="107" t="s">
        <v>478</v>
      </c>
      <c r="D209" s="107" t="s">
        <v>17</v>
      </c>
      <c r="E209" s="107"/>
      <c r="F209" s="108">
        <v>46178.0</v>
      </c>
      <c r="G209" s="100"/>
      <c r="H209" s="100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106" t="s">
        <v>131</v>
      </c>
      <c r="B210" s="98" t="s">
        <v>537</v>
      </c>
      <c r="C210" s="107" t="s">
        <v>478</v>
      </c>
      <c r="D210" s="107" t="s">
        <v>17</v>
      </c>
      <c r="E210" s="107"/>
      <c r="F210" s="99">
        <v>46291.0</v>
      </c>
      <c r="G210" s="100"/>
      <c r="H210" s="100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106" t="s">
        <v>202</v>
      </c>
      <c r="B211" s="98" t="s">
        <v>537</v>
      </c>
      <c r="C211" s="107" t="s">
        <v>478</v>
      </c>
      <c r="D211" s="107" t="s">
        <v>17</v>
      </c>
      <c r="E211" s="107"/>
      <c r="F211" s="99">
        <v>46178.0</v>
      </c>
      <c r="G211" s="100"/>
      <c r="H211" s="100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106" t="s">
        <v>313</v>
      </c>
      <c r="B212" s="98" t="s">
        <v>537</v>
      </c>
      <c r="C212" s="107" t="s">
        <v>478</v>
      </c>
      <c r="D212" s="107" t="s">
        <v>17</v>
      </c>
      <c r="E212" s="107"/>
      <c r="F212" s="99">
        <v>46255.0</v>
      </c>
      <c r="G212" s="100"/>
      <c r="H212" s="100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106" t="s">
        <v>375</v>
      </c>
      <c r="B213" s="98" t="s">
        <v>537</v>
      </c>
      <c r="C213" s="107" t="s">
        <v>478</v>
      </c>
      <c r="D213" s="107" t="s">
        <v>17</v>
      </c>
      <c r="E213" s="107"/>
      <c r="F213" s="99">
        <v>46291.0</v>
      </c>
      <c r="G213" s="100"/>
      <c r="H213" s="100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106" t="s">
        <v>330</v>
      </c>
      <c r="B214" s="98" t="s">
        <v>537</v>
      </c>
      <c r="C214" s="107" t="s">
        <v>478</v>
      </c>
      <c r="D214" s="107" t="s">
        <v>17</v>
      </c>
      <c r="E214" s="107"/>
      <c r="F214" s="99">
        <v>46178.0</v>
      </c>
      <c r="G214" s="100"/>
      <c r="H214" s="100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106" t="s">
        <v>450</v>
      </c>
      <c r="B215" s="98" t="s">
        <v>537</v>
      </c>
      <c r="C215" s="107" t="s">
        <v>478</v>
      </c>
      <c r="D215" s="107" t="s">
        <v>17</v>
      </c>
      <c r="E215" s="107"/>
      <c r="F215" s="99">
        <v>46178.0</v>
      </c>
      <c r="G215" s="100"/>
      <c r="H215" s="100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106" t="s">
        <v>219</v>
      </c>
      <c r="B216" s="107" t="s">
        <v>537</v>
      </c>
      <c r="C216" s="107" t="s">
        <v>478</v>
      </c>
      <c r="D216" s="107" t="s">
        <v>17</v>
      </c>
      <c r="E216" s="107"/>
      <c r="F216" s="108">
        <v>46178.0</v>
      </c>
      <c r="G216" s="100"/>
      <c r="H216" s="100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106" t="s">
        <v>401</v>
      </c>
      <c r="B217" s="107" t="s">
        <v>537</v>
      </c>
      <c r="C217" s="107" t="s">
        <v>478</v>
      </c>
      <c r="D217" s="107" t="s">
        <v>17</v>
      </c>
      <c r="E217" s="107"/>
      <c r="F217" s="108">
        <v>46178.0</v>
      </c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106" t="s">
        <v>371</v>
      </c>
      <c r="B218" s="107" t="s">
        <v>537</v>
      </c>
      <c r="C218" s="107" t="s">
        <v>478</v>
      </c>
      <c r="D218" s="107" t="s">
        <v>17</v>
      </c>
      <c r="E218" s="107"/>
      <c r="F218" s="108">
        <v>46178.0</v>
      </c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102" t="s">
        <v>307</v>
      </c>
      <c r="B219" s="102" t="s">
        <v>482</v>
      </c>
      <c r="C219" s="107" t="s">
        <v>478</v>
      </c>
      <c r="D219" s="107" t="s">
        <v>17</v>
      </c>
      <c r="E219" s="93"/>
      <c r="F219" s="109">
        <v>46378.0</v>
      </c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3"/>
      <c r="D220" s="93"/>
      <c r="E220" s="93"/>
      <c r="F220" s="105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3"/>
      <c r="D221" s="93"/>
      <c r="E221" s="93"/>
      <c r="F221" s="105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3"/>
      <c r="D222" s="93"/>
      <c r="E222" s="93"/>
      <c r="F222" s="105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3"/>
      <c r="D223" s="93"/>
      <c r="E223" s="93"/>
      <c r="F223" s="105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3"/>
      <c r="D224" s="93"/>
      <c r="E224" s="93"/>
      <c r="F224" s="105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3"/>
      <c r="D225" s="93"/>
      <c r="E225" s="93"/>
      <c r="F225" s="105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3"/>
      <c r="D226" s="93"/>
      <c r="E226" s="93"/>
      <c r="F226" s="105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3"/>
      <c r="D227" s="93"/>
      <c r="E227" s="93"/>
      <c r="F227" s="105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3"/>
      <c r="D228" s="93"/>
      <c r="E228" s="93"/>
      <c r="F228" s="105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3"/>
      <c r="D229" s="93"/>
      <c r="E229" s="93"/>
      <c r="F229" s="105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3"/>
      <c r="D230" s="93"/>
      <c r="E230" s="93"/>
      <c r="F230" s="105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3"/>
      <c r="D231" s="93"/>
      <c r="E231" s="93"/>
      <c r="F231" s="105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3"/>
      <c r="D232" s="93"/>
      <c r="E232" s="93"/>
      <c r="F232" s="105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3"/>
      <c r="D233" s="93"/>
      <c r="E233" s="93"/>
      <c r="F233" s="105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3"/>
      <c r="D234" s="93"/>
      <c r="E234" s="93"/>
      <c r="F234" s="105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3"/>
      <c r="D235" s="93"/>
      <c r="E235" s="93"/>
      <c r="F235" s="105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3"/>
      <c r="D236" s="93"/>
      <c r="E236" s="93"/>
      <c r="F236" s="105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3"/>
      <c r="D237" s="93"/>
      <c r="E237" s="93"/>
      <c r="F237" s="105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3"/>
      <c r="D238" s="93"/>
      <c r="E238" s="93"/>
      <c r="F238" s="105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3"/>
      <c r="D239" s="93"/>
      <c r="E239" s="93"/>
      <c r="F239" s="105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3"/>
      <c r="D240" s="93"/>
      <c r="E240" s="93"/>
      <c r="F240" s="105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105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105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3"/>
      <c r="D243" s="93"/>
      <c r="E243" s="93"/>
      <c r="F243" s="105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3"/>
      <c r="D244" s="93"/>
      <c r="E244" s="93"/>
      <c r="F244" s="105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3"/>
      <c r="D245" s="93"/>
      <c r="E245" s="93"/>
      <c r="F245" s="105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3"/>
      <c r="D246" s="93"/>
      <c r="E246" s="93"/>
      <c r="F246" s="105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3"/>
      <c r="D247" s="93"/>
      <c r="E247" s="93"/>
      <c r="F247" s="105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3"/>
      <c r="D248" s="93"/>
      <c r="E248" s="93"/>
      <c r="F248" s="105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3"/>
      <c r="D249" s="93"/>
      <c r="E249" s="93"/>
      <c r="F249" s="105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3"/>
      <c r="D250" s="93"/>
      <c r="E250" s="93"/>
      <c r="F250" s="105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105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105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105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105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105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105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105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105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105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105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105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105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105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105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105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105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105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105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105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105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105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105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105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105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105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105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105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105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105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105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105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105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105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105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105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105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105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105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105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105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105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105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105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105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105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105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105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105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105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105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105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105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105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105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105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105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105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105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105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105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105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105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105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105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105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105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105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105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105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105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105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105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105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105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105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105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105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105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105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105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105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105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105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105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105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105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105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105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105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105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105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105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105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105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105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105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105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105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105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105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105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105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105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105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105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105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105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105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105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105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105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105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105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105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105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105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105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105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105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105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105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105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105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105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105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105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105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105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105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105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105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105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105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105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105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105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105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105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105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105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105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105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105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105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105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105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105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105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105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105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105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105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105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105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105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105"/>
      <c r="G406" s="93"/>
      <c r="H406" s="93"/>
      <c r="I406" s="93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5.75" customHeight="1">
      <c r="A407" s="93"/>
      <c r="B407" s="93"/>
      <c r="C407" s="93"/>
      <c r="D407" s="93"/>
      <c r="E407" s="93"/>
      <c r="F407" s="105"/>
      <c r="G407" s="93"/>
      <c r="H407" s="93"/>
      <c r="I407" s="93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5.75" customHeight="1">
      <c r="A408" s="93"/>
      <c r="B408" s="93"/>
      <c r="C408" s="93"/>
      <c r="D408" s="93"/>
      <c r="E408" s="93"/>
      <c r="F408" s="105"/>
      <c r="G408" s="93"/>
      <c r="H408" s="93"/>
      <c r="I408" s="93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5.75" customHeight="1">
      <c r="A409" s="93"/>
      <c r="B409" s="93"/>
      <c r="C409" s="93"/>
      <c r="D409" s="93"/>
      <c r="E409" s="93"/>
      <c r="F409" s="105"/>
      <c r="G409" s="93"/>
      <c r="H409" s="93"/>
      <c r="I409" s="93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5.75" customHeight="1">
      <c r="A410" s="93"/>
      <c r="B410" s="93"/>
      <c r="C410" s="93"/>
      <c r="D410" s="93"/>
      <c r="E410" s="93"/>
      <c r="F410" s="105"/>
      <c r="G410" s="93"/>
      <c r="H410" s="93"/>
      <c r="I410" s="93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5.75" customHeight="1">
      <c r="A411" s="93"/>
      <c r="B411" s="93"/>
      <c r="C411" s="93"/>
      <c r="D411" s="93"/>
      <c r="E411" s="93"/>
      <c r="F411" s="105"/>
      <c r="G411" s="93"/>
      <c r="H411" s="93"/>
      <c r="I411" s="93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5.75" customHeight="1">
      <c r="A412" s="93"/>
      <c r="B412" s="93"/>
      <c r="C412" s="93"/>
      <c r="D412" s="93"/>
      <c r="E412" s="93"/>
      <c r="F412" s="105"/>
      <c r="G412" s="93"/>
      <c r="H412" s="93"/>
      <c r="I412" s="93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5.75" customHeight="1">
      <c r="A413" s="93"/>
      <c r="B413" s="93"/>
      <c r="C413" s="93"/>
      <c r="D413" s="93"/>
      <c r="E413" s="93"/>
      <c r="F413" s="105"/>
      <c r="G413" s="93"/>
      <c r="H413" s="93"/>
      <c r="I413" s="93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5.75" customHeight="1">
      <c r="A414" s="93"/>
      <c r="B414" s="93"/>
      <c r="C414" s="93"/>
      <c r="D414" s="93"/>
      <c r="E414" s="93"/>
      <c r="F414" s="105"/>
      <c r="G414" s="93"/>
      <c r="H414" s="93"/>
      <c r="I414" s="93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5.75" customHeight="1">
      <c r="A415" s="93"/>
      <c r="B415" s="93"/>
      <c r="C415" s="93"/>
      <c r="D415" s="93"/>
      <c r="E415" s="93"/>
      <c r="F415" s="105"/>
      <c r="G415" s="93"/>
      <c r="H415" s="93"/>
      <c r="I415" s="93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5.75" customHeight="1">
      <c r="A416" s="93"/>
      <c r="B416" s="93"/>
      <c r="C416" s="93"/>
      <c r="D416" s="93"/>
      <c r="E416" s="93"/>
      <c r="F416" s="105"/>
      <c r="G416" s="93"/>
      <c r="H416" s="93"/>
      <c r="I416" s="93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5.75" customHeight="1">
      <c r="A417" s="93"/>
      <c r="B417" s="93"/>
      <c r="C417" s="93"/>
      <c r="D417" s="93"/>
      <c r="E417" s="93"/>
      <c r="F417" s="105"/>
      <c r="G417" s="93"/>
      <c r="H417" s="93"/>
      <c r="I417" s="93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5.75" customHeight="1">
      <c r="A418" s="93"/>
      <c r="B418" s="93"/>
      <c r="C418" s="93"/>
      <c r="D418" s="93"/>
      <c r="E418" s="93"/>
      <c r="F418" s="105"/>
      <c r="G418" s="93"/>
      <c r="H418" s="93"/>
      <c r="I418" s="93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5.75" customHeight="1">
      <c r="A419" s="93"/>
      <c r="B419" s="93"/>
      <c r="C419" s="93"/>
      <c r="D419" s="93"/>
      <c r="E419" s="93"/>
      <c r="F419" s="105"/>
      <c r="G419" s="93"/>
      <c r="H419" s="93"/>
      <c r="I419" s="93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5.75" customHeight="1">
      <c r="A420" s="93"/>
      <c r="B420" s="93"/>
      <c r="C420" s="93"/>
      <c r="D420" s="93"/>
      <c r="E420" s="93"/>
      <c r="F420" s="105"/>
      <c r="G420" s="93"/>
      <c r="H420" s="93"/>
      <c r="I420" s="93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5.75" customHeight="1">
      <c r="A421" s="93"/>
      <c r="B421" s="93"/>
      <c r="C421" s="93"/>
      <c r="D421" s="93"/>
      <c r="E421" s="93"/>
      <c r="F421" s="105"/>
      <c r="G421" s="93"/>
      <c r="H421" s="93"/>
      <c r="I421" s="93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5.75" customHeight="1">
      <c r="A422" s="93"/>
      <c r="B422" s="93"/>
      <c r="C422" s="93"/>
      <c r="D422" s="93"/>
      <c r="E422" s="93"/>
      <c r="F422" s="105"/>
      <c r="G422" s="93"/>
      <c r="H422" s="93"/>
      <c r="I422" s="93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5.75" customHeight="1">
      <c r="A423" s="93"/>
      <c r="B423" s="93"/>
      <c r="C423" s="93"/>
      <c r="D423" s="93"/>
      <c r="E423" s="93"/>
      <c r="F423" s="105"/>
      <c r="G423" s="93"/>
      <c r="H423" s="93"/>
      <c r="I423" s="93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93"/>
      <c r="B424" s="93"/>
      <c r="C424" s="93"/>
      <c r="D424" s="93"/>
      <c r="E424" s="93"/>
      <c r="F424" s="105"/>
      <c r="G424" s="93"/>
      <c r="H424" s="93"/>
      <c r="I424" s="93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93"/>
      <c r="B425" s="93"/>
      <c r="C425" s="93"/>
      <c r="D425" s="93"/>
      <c r="E425" s="93"/>
      <c r="F425" s="105"/>
      <c r="G425" s="93"/>
      <c r="H425" s="93"/>
      <c r="I425" s="93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5.75" customHeight="1">
      <c r="A426" s="93"/>
      <c r="B426" s="93"/>
      <c r="C426" s="93"/>
      <c r="D426" s="93"/>
      <c r="E426" s="93"/>
      <c r="F426" s="105"/>
      <c r="G426" s="93"/>
      <c r="H426" s="93"/>
      <c r="I426" s="93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5.75" customHeight="1">
      <c r="A427" s="93"/>
      <c r="B427" s="93"/>
      <c r="C427" s="93"/>
      <c r="D427" s="93"/>
      <c r="E427" s="93"/>
      <c r="F427" s="105"/>
      <c r="G427" s="93"/>
      <c r="H427" s="93"/>
      <c r="I427" s="93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5.75" customHeight="1">
      <c r="A428" s="93"/>
      <c r="B428" s="93"/>
      <c r="C428" s="93"/>
      <c r="D428" s="93"/>
      <c r="E428" s="93"/>
      <c r="F428" s="105"/>
      <c r="G428" s="93"/>
      <c r="H428" s="93"/>
      <c r="I428" s="93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5.75" customHeight="1">
      <c r="A429" s="93"/>
      <c r="B429" s="93"/>
      <c r="C429" s="93"/>
      <c r="D429" s="93"/>
      <c r="E429" s="93"/>
      <c r="F429" s="105"/>
      <c r="G429" s="93"/>
      <c r="H429" s="93"/>
      <c r="I429" s="93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5.75" customHeight="1">
      <c r="A430" s="93"/>
      <c r="B430" s="93"/>
      <c r="C430" s="93"/>
      <c r="D430" s="93"/>
      <c r="E430" s="93"/>
      <c r="F430" s="105"/>
      <c r="G430" s="93"/>
      <c r="H430" s="93"/>
      <c r="I430" s="93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5.75" customHeight="1">
      <c r="A431" s="93"/>
      <c r="B431" s="93"/>
      <c r="C431" s="93"/>
      <c r="D431" s="93"/>
      <c r="E431" s="93"/>
      <c r="F431" s="105"/>
      <c r="G431" s="93"/>
      <c r="H431" s="93"/>
      <c r="I431" s="93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5.75" customHeight="1">
      <c r="A432" s="93"/>
      <c r="B432" s="93"/>
      <c r="C432" s="93"/>
      <c r="D432" s="93"/>
      <c r="E432" s="93"/>
      <c r="F432" s="105"/>
      <c r="G432" s="93"/>
      <c r="H432" s="93"/>
      <c r="I432" s="93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5.75" customHeight="1">
      <c r="A433" s="93"/>
      <c r="B433" s="93"/>
      <c r="C433" s="93"/>
      <c r="D433" s="93"/>
      <c r="E433" s="93"/>
      <c r="F433" s="105"/>
      <c r="G433" s="93"/>
      <c r="H433" s="93"/>
      <c r="I433" s="93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5.75" customHeight="1">
      <c r="A434" s="93"/>
      <c r="B434" s="93"/>
      <c r="C434" s="93"/>
      <c r="D434" s="93"/>
      <c r="E434" s="93"/>
      <c r="F434" s="105"/>
      <c r="G434" s="93"/>
      <c r="H434" s="93"/>
      <c r="I434" s="93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5.75" customHeight="1">
      <c r="A435" s="93"/>
      <c r="B435" s="93"/>
      <c r="C435" s="93"/>
      <c r="D435" s="93"/>
      <c r="E435" s="93"/>
      <c r="F435" s="105"/>
      <c r="G435" s="93"/>
      <c r="H435" s="93"/>
      <c r="I435" s="93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5.75" customHeight="1">
      <c r="A436" s="93"/>
      <c r="B436" s="93"/>
      <c r="C436" s="93"/>
      <c r="D436" s="93"/>
      <c r="E436" s="93"/>
      <c r="F436" s="105"/>
      <c r="G436" s="93"/>
      <c r="H436" s="93"/>
      <c r="I436" s="93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5.75" customHeight="1">
      <c r="A437" s="93"/>
      <c r="B437" s="93"/>
      <c r="C437" s="93"/>
      <c r="D437" s="93"/>
      <c r="E437" s="93"/>
      <c r="F437" s="105"/>
      <c r="G437" s="93"/>
      <c r="H437" s="93"/>
      <c r="I437" s="93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5.75" customHeight="1">
      <c r="A438" s="93"/>
      <c r="B438" s="93"/>
      <c r="C438" s="93"/>
      <c r="D438" s="93"/>
      <c r="E438" s="93"/>
      <c r="F438" s="105"/>
      <c r="G438" s="93"/>
      <c r="H438" s="93"/>
      <c r="I438" s="93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5.75" customHeight="1">
      <c r="A439" s="93"/>
      <c r="B439" s="93"/>
      <c r="C439" s="93"/>
      <c r="D439" s="93"/>
      <c r="E439" s="93"/>
      <c r="F439" s="105"/>
      <c r="G439" s="93"/>
      <c r="H439" s="93"/>
      <c r="I439" s="93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5.75" customHeight="1">
      <c r="A440" s="93"/>
      <c r="B440" s="93"/>
      <c r="C440" s="93"/>
      <c r="D440" s="93"/>
      <c r="E440" s="93"/>
      <c r="F440" s="105"/>
      <c r="G440" s="93"/>
      <c r="H440" s="93"/>
      <c r="I440" s="93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5.75" customHeight="1">
      <c r="A441" s="93"/>
      <c r="B441" s="93"/>
      <c r="C441" s="93"/>
      <c r="D441" s="93"/>
      <c r="E441" s="93"/>
      <c r="F441" s="105"/>
      <c r="G441" s="93"/>
      <c r="H441" s="93"/>
      <c r="I441" s="93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5.75" customHeight="1">
      <c r="A442" s="93"/>
      <c r="B442" s="93"/>
      <c r="C442" s="93"/>
      <c r="D442" s="93"/>
      <c r="E442" s="93"/>
      <c r="F442" s="105"/>
      <c r="G442" s="93"/>
      <c r="H442" s="93"/>
      <c r="I442" s="93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5.75" customHeight="1">
      <c r="A443" s="93"/>
      <c r="B443" s="93"/>
      <c r="C443" s="93"/>
      <c r="D443" s="93"/>
      <c r="E443" s="93"/>
      <c r="F443" s="105"/>
      <c r="G443" s="93"/>
      <c r="H443" s="93"/>
      <c r="I443" s="93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5.75" customHeight="1">
      <c r="A444" s="93"/>
      <c r="B444" s="93"/>
      <c r="C444" s="93"/>
      <c r="D444" s="93"/>
      <c r="E444" s="93"/>
      <c r="F444" s="105"/>
      <c r="G444" s="93"/>
      <c r="H444" s="93"/>
      <c r="I444" s="93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5.75" customHeight="1">
      <c r="A445" s="93"/>
      <c r="B445" s="93"/>
      <c r="C445" s="93"/>
      <c r="D445" s="93"/>
      <c r="E445" s="93"/>
      <c r="F445" s="105"/>
      <c r="G445" s="93"/>
      <c r="H445" s="93"/>
      <c r="I445" s="93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5.75" customHeight="1">
      <c r="A446" s="93"/>
      <c r="B446" s="93"/>
      <c r="C446" s="93"/>
      <c r="D446" s="93"/>
      <c r="E446" s="93"/>
      <c r="F446" s="105"/>
      <c r="G446" s="93"/>
      <c r="H446" s="93"/>
      <c r="I446" s="93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5.75" customHeight="1">
      <c r="A447" s="93"/>
      <c r="B447" s="93"/>
      <c r="C447" s="93"/>
      <c r="D447" s="93"/>
      <c r="E447" s="93"/>
      <c r="F447" s="105"/>
      <c r="G447" s="93"/>
      <c r="H447" s="93"/>
      <c r="I447" s="93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5.75" customHeight="1">
      <c r="A448" s="93"/>
      <c r="B448" s="93"/>
      <c r="C448" s="93"/>
      <c r="D448" s="93"/>
      <c r="E448" s="93"/>
      <c r="F448" s="105"/>
      <c r="G448" s="93"/>
      <c r="H448" s="93"/>
      <c r="I448" s="93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5.75" customHeight="1">
      <c r="A449" s="93"/>
      <c r="B449" s="93"/>
      <c r="C449" s="93"/>
      <c r="D449" s="93"/>
      <c r="E449" s="93"/>
      <c r="F449" s="105"/>
      <c r="G449" s="93"/>
      <c r="H449" s="93"/>
      <c r="I449" s="93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5.75" customHeight="1">
      <c r="A450" s="93"/>
      <c r="B450" s="93"/>
      <c r="C450" s="93"/>
      <c r="D450" s="93"/>
      <c r="E450" s="93"/>
      <c r="F450" s="105"/>
      <c r="G450" s="93"/>
      <c r="H450" s="93"/>
      <c r="I450" s="93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5.75" customHeight="1">
      <c r="A451" s="93"/>
      <c r="B451" s="93"/>
      <c r="C451" s="93"/>
      <c r="D451" s="93"/>
      <c r="E451" s="93"/>
      <c r="F451" s="105"/>
      <c r="G451" s="93"/>
      <c r="H451" s="93"/>
      <c r="I451" s="93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5.75" customHeight="1">
      <c r="A452" s="93"/>
      <c r="B452" s="93"/>
      <c r="C452" s="93"/>
      <c r="D452" s="93"/>
      <c r="E452" s="93"/>
      <c r="F452" s="105"/>
      <c r="G452" s="93"/>
      <c r="H452" s="93"/>
      <c r="I452" s="93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5.75" customHeight="1">
      <c r="A453" s="93"/>
      <c r="B453" s="93"/>
      <c r="C453" s="93"/>
      <c r="D453" s="93"/>
      <c r="E453" s="93"/>
      <c r="F453" s="105"/>
      <c r="G453" s="93"/>
      <c r="H453" s="93"/>
      <c r="I453" s="93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5.75" customHeight="1">
      <c r="A454" s="93"/>
      <c r="B454" s="93"/>
      <c r="C454" s="93"/>
      <c r="D454" s="93"/>
      <c r="E454" s="93"/>
      <c r="F454" s="105"/>
      <c r="G454" s="93"/>
      <c r="H454" s="93"/>
      <c r="I454" s="93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5.75" customHeight="1">
      <c r="A455" s="93"/>
      <c r="B455" s="93"/>
      <c r="C455" s="93"/>
      <c r="D455" s="93"/>
      <c r="E455" s="93"/>
      <c r="F455" s="105"/>
      <c r="G455" s="93"/>
      <c r="H455" s="93"/>
      <c r="I455" s="93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5.75" customHeight="1">
      <c r="A456" s="93"/>
      <c r="B456" s="93"/>
      <c r="C456" s="93"/>
      <c r="D456" s="93"/>
      <c r="E456" s="93"/>
      <c r="F456" s="105"/>
      <c r="G456" s="93"/>
      <c r="H456" s="93"/>
      <c r="I456" s="93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5.75" customHeight="1">
      <c r="A457" s="93"/>
      <c r="B457" s="93"/>
      <c r="C457" s="93"/>
      <c r="D457" s="93"/>
      <c r="E457" s="93"/>
      <c r="F457" s="105"/>
      <c r="G457" s="93"/>
      <c r="H457" s="93"/>
      <c r="I457" s="93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5.75" customHeight="1">
      <c r="A458" s="93"/>
      <c r="B458" s="93"/>
      <c r="C458" s="93"/>
      <c r="D458" s="93"/>
      <c r="E458" s="93"/>
      <c r="F458" s="105"/>
      <c r="G458" s="93"/>
      <c r="H458" s="93"/>
      <c r="I458" s="93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5.75" customHeight="1">
      <c r="A459" s="93"/>
      <c r="B459" s="93"/>
      <c r="C459" s="93"/>
      <c r="D459" s="93"/>
      <c r="E459" s="93"/>
      <c r="F459" s="105"/>
      <c r="G459" s="93"/>
      <c r="H459" s="93"/>
      <c r="I459" s="93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5.75" customHeight="1">
      <c r="A460" s="93"/>
      <c r="B460" s="93"/>
      <c r="C460" s="93"/>
      <c r="D460" s="93"/>
      <c r="E460" s="93"/>
      <c r="F460" s="105"/>
      <c r="G460" s="93"/>
      <c r="H460" s="93"/>
      <c r="I460" s="93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5.75" customHeight="1">
      <c r="A461" s="93"/>
      <c r="B461" s="93"/>
      <c r="C461" s="93"/>
      <c r="D461" s="93"/>
      <c r="E461" s="93"/>
      <c r="F461" s="105"/>
      <c r="G461" s="93"/>
      <c r="H461" s="93"/>
      <c r="I461" s="93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5.75" customHeight="1">
      <c r="A462" s="93"/>
      <c r="B462" s="93"/>
      <c r="C462" s="93"/>
      <c r="D462" s="93"/>
      <c r="E462" s="93"/>
      <c r="F462" s="105"/>
      <c r="G462" s="93"/>
      <c r="H462" s="93"/>
      <c r="I462" s="93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5.75" customHeight="1">
      <c r="A463" s="93"/>
      <c r="B463" s="93"/>
      <c r="C463" s="93"/>
      <c r="D463" s="93"/>
      <c r="E463" s="93"/>
      <c r="F463" s="105"/>
      <c r="G463" s="93"/>
      <c r="H463" s="93"/>
      <c r="I463" s="93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5.75" customHeight="1">
      <c r="A464" s="93"/>
      <c r="B464" s="93"/>
      <c r="C464" s="93"/>
      <c r="D464" s="93"/>
      <c r="E464" s="93"/>
      <c r="F464" s="105"/>
      <c r="G464" s="93"/>
      <c r="H464" s="93"/>
      <c r="I464" s="93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5.75" customHeight="1">
      <c r="A465" s="93"/>
      <c r="B465" s="93"/>
      <c r="C465" s="93"/>
      <c r="D465" s="93"/>
      <c r="E465" s="93"/>
      <c r="F465" s="105"/>
      <c r="G465" s="93"/>
      <c r="H465" s="93"/>
      <c r="I465" s="93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5.75" customHeight="1">
      <c r="A466" s="93"/>
      <c r="B466" s="93"/>
      <c r="C466" s="93"/>
      <c r="D466" s="93"/>
      <c r="E466" s="93"/>
      <c r="F466" s="105"/>
      <c r="G466" s="93"/>
      <c r="H466" s="93"/>
      <c r="I466" s="93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5.75" customHeight="1">
      <c r="A467" s="93"/>
      <c r="B467" s="93"/>
      <c r="C467" s="93"/>
      <c r="D467" s="93"/>
      <c r="E467" s="93"/>
      <c r="F467" s="105"/>
      <c r="G467" s="93"/>
      <c r="H467" s="93"/>
      <c r="I467" s="93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5.75" customHeight="1">
      <c r="A468" s="93"/>
      <c r="B468" s="93"/>
      <c r="C468" s="93"/>
      <c r="D468" s="93"/>
      <c r="E468" s="93"/>
      <c r="F468" s="105"/>
      <c r="G468" s="93"/>
      <c r="H468" s="93"/>
      <c r="I468" s="93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5.75" customHeight="1">
      <c r="A469" s="93"/>
      <c r="B469" s="93"/>
      <c r="C469" s="93"/>
      <c r="D469" s="93"/>
      <c r="E469" s="93"/>
      <c r="F469" s="105"/>
      <c r="G469" s="93"/>
      <c r="H469" s="93"/>
      <c r="I469" s="93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5.75" customHeight="1">
      <c r="A470" s="93"/>
      <c r="B470" s="93"/>
      <c r="C470" s="93"/>
      <c r="D470" s="93"/>
      <c r="E470" s="93"/>
      <c r="F470" s="105"/>
      <c r="G470" s="93"/>
      <c r="H470" s="93"/>
      <c r="I470" s="93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5.75" customHeight="1">
      <c r="A471" s="93"/>
      <c r="B471" s="93"/>
      <c r="C471" s="93"/>
      <c r="D471" s="93"/>
      <c r="E471" s="93"/>
      <c r="F471" s="105"/>
      <c r="G471" s="93"/>
      <c r="H471" s="93"/>
      <c r="I471" s="93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5.75" customHeight="1">
      <c r="A472" s="93"/>
      <c r="B472" s="93"/>
      <c r="C472" s="93"/>
      <c r="D472" s="93"/>
      <c r="E472" s="93"/>
      <c r="F472" s="105"/>
      <c r="G472" s="93"/>
      <c r="H472" s="93"/>
      <c r="I472" s="93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5.75" customHeight="1">
      <c r="A473" s="93"/>
      <c r="B473" s="93"/>
      <c r="C473" s="93"/>
      <c r="D473" s="93"/>
      <c r="E473" s="93"/>
      <c r="F473" s="105"/>
      <c r="G473" s="93"/>
      <c r="H473" s="93"/>
      <c r="I473" s="93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5.75" customHeight="1">
      <c r="A474" s="93"/>
      <c r="B474" s="93"/>
      <c r="C474" s="93"/>
      <c r="D474" s="93"/>
      <c r="E474" s="93"/>
      <c r="F474" s="105"/>
      <c r="G474" s="93"/>
      <c r="H474" s="93"/>
      <c r="I474" s="93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5.75" customHeight="1">
      <c r="A475" s="93"/>
      <c r="B475" s="93"/>
      <c r="C475" s="93"/>
      <c r="D475" s="93"/>
      <c r="E475" s="93"/>
      <c r="F475" s="105"/>
      <c r="G475" s="93"/>
      <c r="H475" s="93"/>
      <c r="I475" s="93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5.75" customHeight="1">
      <c r="A476" s="93"/>
      <c r="B476" s="93"/>
      <c r="C476" s="93"/>
      <c r="D476" s="93"/>
      <c r="E476" s="93"/>
      <c r="F476" s="105"/>
      <c r="G476" s="93"/>
      <c r="H476" s="93"/>
      <c r="I476" s="93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5.75" customHeight="1">
      <c r="A477" s="93"/>
      <c r="B477" s="93"/>
      <c r="C477" s="93"/>
      <c r="D477" s="93"/>
      <c r="E477" s="93"/>
      <c r="F477" s="105"/>
      <c r="G477" s="93"/>
      <c r="H477" s="93"/>
      <c r="I477" s="93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5.75" customHeight="1">
      <c r="A478" s="93"/>
      <c r="B478" s="93"/>
      <c r="C478" s="93"/>
      <c r="D478" s="93"/>
      <c r="E478" s="93"/>
      <c r="F478" s="105"/>
      <c r="G478" s="93"/>
      <c r="H478" s="93"/>
      <c r="I478" s="93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5.75" customHeight="1">
      <c r="A479" s="93"/>
      <c r="B479" s="93"/>
      <c r="C479" s="93"/>
      <c r="D479" s="93"/>
      <c r="E479" s="93"/>
      <c r="F479" s="105"/>
      <c r="G479" s="93"/>
      <c r="H479" s="93"/>
      <c r="I479" s="93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5.75" customHeight="1">
      <c r="A480" s="93"/>
      <c r="B480" s="93"/>
      <c r="C480" s="93"/>
      <c r="D480" s="93"/>
      <c r="E480" s="93"/>
      <c r="F480" s="105"/>
      <c r="G480" s="93"/>
      <c r="H480" s="93"/>
      <c r="I480" s="93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5.75" customHeight="1">
      <c r="A481" s="93"/>
      <c r="B481" s="93"/>
      <c r="C481" s="93"/>
      <c r="D481" s="93"/>
      <c r="E481" s="93"/>
      <c r="F481" s="105"/>
      <c r="G481" s="93"/>
      <c r="H481" s="93"/>
      <c r="I481" s="93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5.75" customHeight="1">
      <c r="A482" s="93"/>
      <c r="B482" s="93"/>
      <c r="C482" s="93"/>
      <c r="D482" s="93"/>
      <c r="E482" s="93"/>
      <c r="F482" s="105"/>
      <c r="G482" s="93"/>
      <c r="H482" s="93"/>
      <c r="I482" s="93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5.75" customHeight="1">
      <c r="A483" s="93"/>
      <c r="B483" s="93"/>
      <c r="C483" s="93"/>
      <c r="D483" s="93"/>
      <c r="E483" s="93"/>
      <c r="F483" s="105"/>
      <c r="G483" s="93"/>
      <c r="H483" s="93"/>
      <c r="I483" s="93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5.75" customHeight="1">
      <c r="A484" s="93"/>
      <c r="B484" s="93"/>
      <c r="C484" s="93"/>
      <c r="D484" s="93"/>
      <c r="E484" s="93"/>
      <c r="F484" s="105"/>
      <c r="G484" s="93"/>
      <c r="H484" s="93"/>
      <c r="I484" s="93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5.75" customHeight="1">
      <c r="A485" s="93"/>
      <c r="B485" s="93"/>
      <c r="C485" s="93"/>
      <c r="D485" s="93"/>
      <c r="E485" s="93"/>
      <c r="F485" s="105"/>
      <c r="G485" s="93"/>
      <c r="H485" s="93"/>
      <c r="I485" s="93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5.75" customHeight="1">
      <c r="A486" s="93"/>
      <c r="B486" s="93"/>
      <c r="C486" s="93"/>
      <c r="D486" s="93"/>
      <c r="E486" s="93"/>
      <c r="F486" s="105"/>
      <c r="G486" s="93"/>
      <c r="H486" s="93"/>
      <c r="I486" s="93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5.75" customHeight="1">
      <c r="A487" s="93"/>
      <c r="B487" s="93"/>
      <c r="C487" s="93"/>
      <c r="D487" s="93"/>
      <c r="E487" s="93"/>
      <c r="F487" s="105"/>
      <c r="G487" s="93"/>
      <c r="H487" s="93"/>
      <c r="I487" s="93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5.75" customHeight="1">
      <c r="A488" s="93"/>
      <c r="B488" s="93"/>
      <c r="C488" s="93"/>
      <c r="D488" s="93"/>
      <c r="E488" s="93"/>
      <c r="F488" s="105"/>
      <c r="G488" s="93"/>
      <c r="H488" s="93"/>
      <c r="I488" s="93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5.75" customHeight="1">
      <c r="A489" s="93"/>
      <c r="B489" s="93"/>
      <c r="C489" s="93"/>
      <c r="D489" s="93"/>
      <c r="E489" s="93"/>
      <c r="F489" s="105"/>
      <c r="G489" s="93"/>
      <c r="H489" s="93"/>
      <c r="I489" s="93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5.75" customHeight="1">
      <c r="A490" s="93"/>
      <c r="B490" s="93"/>
      <c r="C490" s="93"/>
      <c r="D490" s="93"/>
      <c r="E490" s="93"/>
      <c r="F490" s="105"/>
      <c r="G490" s="93"/>
      <c r="H490" s="93"/>
      <c r="I490" s="93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5.75" customHeight="1">
      <c r="A491" s="93"/>
      <c r="B491" s="93"/>
      <c r="C491" s="93"/>
      <c r="D491" s="93"/>
      <c r="E491" s="93"/>
      <c r="F491" s="105"/>
      <c r="G491" s="93"/>
      <c r="H491" s="93"/>
      <c r="I491" s="93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5.75" customHeight="1">
      <c r="A492" s="93"/>
      <c r="B492" s="93"/>
      <c r="C492" s="93"/>
      <c r="D492" s="93"/>
      <c r="E492" s="93"/>
      <c r="F492" s="105"/>
      <c r="G492" s="93"/>
      <c r="H492" s="93"/>
      <c r="I492" s="93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5.75" customHeight="1">
      <c r="A493" s="93"/>
      <c r="B493" s="93"/>
      <c r="C493" s="93"/>
      <c r="D493" s="93"/>
      <c r="E493" s="93"/>
      <c r="F493" s="105"/>
      <c r="G493" s="93"/>
      <c r="H493" s="93"/>
      <c r="I493" s="93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5.75" customHeight="1">
      <c r="A494" s="93"/>
      <c r="B494" s="93"/>
      <c r="C494" s="93"/>
      <c r="D494" s="93"/>
      <c r="E494" s="93"/>
      <c r="F494" s="105"/>
      <c r="G494" s="93"/>
      <c r="H494" s="93"/>
      <c r="I494" s="93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5.75" customHeight="1">
      <c r="A495" s="93"/>
      <c r="B495" s="93"/>
      <c r="C495" s="93"/>
      <c r="D495" s="93"/>
      <c r="E495" s="93"/>
      <c r="F495" s="105"/>
      <c r="G495" s="93"/>
      <c r="H495" s="93"/>
      <c r="I495" s="93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5.75" customHeight="1">
      <c r="A496" s="93"/>
      <c r="B496" s="93"/>
      <c r="C496" s="93"/>
      <c r="D496" s="93"/>
      <c r="E496" s="93"/>
      <c r="F496" s="105"/>
      <c r="G496" s="93"/>
      <c r="H496" s="93"/>
      <c r="I496" s="93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5.75" customHeight="1">
      <c r="A497" s="93"/>
      <c r="B497" s="93"/>
      <c r="C497" s="93"/>
      <c r="D497" s="93"/>
      <c r="E497" s="93"/>
      <c r="F497" s="105"/>
      <c r="G497" s="93"/>
      <c r="H497" s="93"/>
      <c r="I497" s="93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5.75" customHeight="1">
      <c r="A498" s="93"/>
      <c r="B498" s="93"/>
      <c r="C498" s="93"/>
      <c r="D498" s="93"/>
      <c r="E498" s="93"/>
      <c r="F498" s="105"/>
      <c r="G498" s="93"/>
      <c r="H498" s="93"/>
      <c r="I498" s="93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5.75" customHeight="1">
      <c r="A499" s="93"/>
      <c r="B499" s="93"/>
      <c r="C499" s="93"/>
      <c r="D499" s="93"/>
      <c r="E499" s="93"/>
      <c r="F499" s="105"/>
      <c r="G499" s="93"/>
      <c r="H499" s="93"/>
      <c r="I499" s="93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5.75" customHeight="1">
      <c r="A500" s="93"/>
      <c r="B500" s="93"/>
      <c r="C500" s="93"/>
      <c r="D500" s="93"/>
      <c r="E500" s="93"/>
      <c r="F500" s="105"/>
      <c r="G500" s="93"/>
      <c r="H500" s="93"/>
      <c r="I500" s="93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5.75" customHeight="1">
      <c r="A501" s="93"/>
      <c r="B501" s="93"/>
      <c r="C501" s="93"/>
      <c r="D501" s="93"/>
      <c r="E501" s="93"/>
      <c r="F501" s="105"/>
      <c r="G501" s="93"/>
      <c r="H501" s="93"/>
      <c r="I501" s="93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5.75" customHeight="1">
      <c r="A502" s="93"/>
      <c r="B502" s="93"/>
      <c r="C502" s="93"/>
      <c r="D502" s="93"/>
      <c r="E502" s="93"/>
      <c r="F502" s="105"/>
      <c r="G502" s="93"/>
      <c r="H502" s="93"/>
      <c r="I502" s="93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5.75" customHeight="1">
      <c r="A503" s="93"/>
      <c r="B503" s="93"/>
      <c r="C503" s="93"/>
      <c r="D503" s="93"/>
      <c r="E503" s="93"/>
      <c r="F503" s="105"/>
      <c r="G503" s="93"/>
      <c r="H503" s="93"/>
      <c r="I503" s="93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5.75" customHeight="1">
      <c r="A504" s="93"/>
      <c r="B504" s="93"/>
      <c r="C504" s="93"/>
      <c r="D504" s="93"/>
      <c r="E504" s="93"/>
      <c r="F504" s="105"/>
      <c r="G504" s="93"/>
      <c r="H504" s="93"/>
      <c r="I504" s="93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5.75" customHeight="1">
      <c r="A505" s="93"/>
      <c r="B505" s="93"/>
      <c r="C505" s="93"/>
      <c r="D505" s="93"/>
      <c r="E505" s="93"/>
      <c r="F505" s="105"/>
      <c r="G505" s="93"/>
      <c r="H505" s="93"/>
      <c r="I505" s="93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5.75" customHeight="1">
      <c r="A506" s="93"/>
      <c r="B506" s="93"/>
      <c r="C506" s="93"/>
      <c r="D506" s="93"/>
      <c r="E506" s="93"/>
      <c r="F506" s="105"/>
      <c r="G506" s="93"/>
      <c r="H506" s="93"/>
      <c r="I506" s="93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5.75" customHeight="1">
      <c r="A507" s="93"/>
      <c r="B507" s="93"/>
      <c r="C507" s="93"/>
      <c r="D507" s="93"/>
      <c r="E507" s="93"/>
      <c r="F507" s="105"/>
      <c r="G507" s="93"/>
      <c r="H507" s="93"/>
      <c r="I507" s="93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5.75" customHeight="1">
      <c r="A508" s="93"/>
      <c r="B508" s="93"/>
      <c r="C508" s="93"/>
      <c r="D508" s="93"/>
      <c r="E508" s="93"/>
      <c r="F508" s="105"/>
      <c r="G508" s="93"/>
      <c r="H508" s="93"/>
      <c r="I508" s="93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5.75" customHeight="1">
      <c r="A509" s="93"/>
      <c r="B509" s="93"/>
      <c r="C509" s="93"/>
      <c r="D509" s="93"/>
      <c r="E509" s="93"/>
      <c r="F509" s="105"/>
      <c r="G509" s="93"/>
      <c r="H509" s="93"/>
      <c r="I509" s="93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5.75" customHeight="1">
      <c r="A510" s="93"/>
      <c r="B510" s="93"/>
      <c r="C510" s="93"/>
      <c r="D510" s="93"/>
      <c r="E510" s="93"/>
      <c r="F510" s="105"/>
      <c r="G510" s="93"/>
      <c r="H510" s="93"/>
      <c r="I510" s="93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5.75" customHeight="1">
      <c r="A511" s="93"/>
      <c r="B511" s="93"/>
      <c r="C511" s="93"/>
      <c r="D511" s="93"/>
      <c r="E511" s="93"/>
      <c r="F511" s="105"/>
      <c r="G511" s="93"/>
      <c r="H511" s="93"/>
      <c r="I511" s="93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5.75" customHeight="1">
      <c r="A512" s="93"/>
      <c r="B512" s="93"/>
      <c r="C512" s="93"/>
      <c r="D512" s="93"/>
      <c r="E512" s="93"/>
      <c r="F512" s="105"/>
      <c r="G512" s="93"/>
      <c r="H512" s="93"/>
      <c r="I512" s="93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5.75" customHeight="1">
      <c r="A513" s="93"/>
      <c r="B513" s="93"/>
      <c r="C513" s="93"/>
      <c r="D513" s="93"/>
      <c r="E513" s="93"/>
      <c r="F513" s="105"/>
      <c r="G513" s="93"/>
      <c r="H513" s="93"/>
      <c r="I513" s="93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5.75" customHeight="1">
      <c r="A514" s="93"/>
      <c r="B514" s="93"/>
      <c r="C514" s="93"/>
      <c r="D514" s="93"/>
      <c r="E514" s="93"/>
      <c r="F514" s="105"/>
      <c r="G514" s="93"/>
      <c r="H514" s="93"/>
      <c r="I514" s="93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5.75" customHeight="1">
      <c r="A515" s="93"/>
      <c r="B515" s="93"/>
      <c r="C515" s="93"/>
      <c r="D515" s="93"/>
      <c r="E515" s="93"/>
      <c r="F515" s="105"/>
      <c r="G515" s="93"/>
      <c r="H515" s="93"/>
      <c r="I515" s="93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5.75" customHeight="1">
      <c r="A516" s="93"/>
      <c r="B516" s="93"/>
      <c r="C516" s="93"/>
      <c r="D516" s="93"/>
      <c r="E516" s="93"/>
      <c r="F516" s="105"/>
      <c r="G516" s="93"/>
      <c r="H516" s="93"/>
      <c r="I516" s="93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5.75" customHeight="1">
      <c r="A517" s="93"/>
      <c r="B517" s="93"/>
      <c r="C517" s="93"/>
      <c r="D517" s="93"/>
      <c r="E517" s="93"/>
      <c r="F517" s="105"/>
      <c r="G517" s="93"/>
      <c r="H517" s="93"/>
      <c r="I517" s="93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5.75" customHeight="1">
      <c r="A518" s="93"/>
      <c r="B518" s="93"/>
      <c r="C518" s="93"/>
      <c r="D518" s="93"/>
      <c r="E518" s="93"/>
      <c r="F518" s="105"/>
      <c r="G518" s="93"/>
      <c r="H518" s="93"/>
      <c r="I518" s="93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5.75" customHeight="1">
      <c r="A519" s="93"/>
      <c r="B519" s="93"/>
      <c r="C519" s="93"/>
      <c r="D519" s="93"/>
      <c r="E519" s="93"/>
      <c r="F519" s="105"/>
      <c r="G519" s="93"/>
      <c r="H519" s="93"/>
      <c r="I519" s="93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5.75" customHeight="1">
      <c r="A520" s="93"/>
      <c r="B520" s="93"/>
      <c r="C520" s="93"/>
      <c r="D520" s="93"/>
      <c r="E520" s="93"/>
      <c r="F520" s="105"/>
      <c r="G520" s="93"/>
      <c r="H520" s="93"/>
      <c r="I520" s="93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5.75" customHeight="1">
      <c r="A521" s="93"/>
      <c r="B521" s="93"/>
      <c r="C521" s="93"/>
      <c r="D521" s="93"/>
      <c r="E521" s="93"/>
      <c r="F521" s="105"/>
      <c r="G521" s="93"/>
      <c r="H521" s="93"/>
      <c r="I521" s="93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5.75" customHeight="1">
      <c r="A522" s="93"/>
      <c r="B522" s="93"/>
      <c r="C522" s="93"/>
      <c r="D522" s="93"/>
      <c r="E522" s="93"/>
      <c r="F522" s="105"/>
      <c r="G522" s="93"/>
      <c r="H522" s="93"/>
      <c r="I522" s="93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5.75" customHeight="1">
      <c r="A523" s="93"/>
      <c r="B523" s="93"/>
      <c r="C523" s="93"/>
      <c r="D523" s="93"/>
      <c r="E523" s="93"/>
      <c r="F523" s="105"/>
      <c r="G523" s="93"/>
      <c r="H523" s="93"/>
      <c r="I523" s="93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5.75" customHeight="1">
      <c r="A524" s="93"/>
      <c r="B524" s="93"/>
      <c r="C524" s="93"/>
      <c r="D524" s="93"/>
      <c r="E524" s="93"/>
      <c r="F524" s="105"/>
      <c r="G524" s="93"/>
      <c r="H524" s="93"/>
      <c r="I524" s="93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5.75" customHeight="1">
      <c r="A525" s="93"/>
      <c r="B525" s="93"/>
      <c r="C525" s="93"/>
      <c r="D525" s="93"/>
      <c r="E525" s="93"/>
      <c r="F525" s="105"/>
      <c r="G525" s="93"/>
      <c r="H525" s="93"/>
      <c r="I525" s="93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5.75" customHeight="1">
      <c r="A526" s="93"/>
      <c r="B526" s="93"/>
      <c r="C526" s="93"/>
      <c r="D526" s="93"/>
      <c r="E526" s="93"/>
      <c r="F526" s="105"/>
      <c r="G526" s="93"/>
      <c r="H526" s="93"/>
      <c r="I526" s="93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5.75" customHeight="1">
      <c r="A527" s="93"/>
      <c r="B527" s="93"/>
      <c r="C527" s="93"/>
      <c r="D527" s="93"/>
      <c r="E527" s="93"/>
      <c r="F527" s="105"/>
      <c r="G527" s="93"/>
      <c r="H527" s="93"/>
      <c r="I527" s="93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5.75" customHeight="1">
      <c r="A528" s="93"/>
      <c r="B528" s="93"/>
      <c r="C528" s="93"/>
      <c r="D528" s="93"/>
      <c r="E528" s="93"/>
      <c r="F528" s="105"/>
      <c r="G528" s="93"/>
      <c r="H528" s="93"/>
      <c r="I528" s="93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5.75" customHeight="1">
      <c r="A529" s="93"/>
      <c r="B529" s="93"/>
      <c r="C529" s="93"/>
      <c r="D529" s="93"/>
      <c r="E529" s="93"/>
      <c r="F529" s="105"/>
      <c r="G529" s="93"/>
      <c r="H529" s="93"/>
      <c r="I529" s="93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5.75" customHeight="1">
      <c r="A530" s="93"/>
      <c r="B530" s="93"/>
      <c r="C530" s="93"/>
      <c r="D530" s="93"/>
      <c r="E530" s="93"/>
      <c r="F530" s="105"/>
      <c r="G530" s="93"/>
      <c r="H530" s="93"/>
      <c r="I530" s="93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5.75" customHeight="1">
      <c r="A531" s="93"/>
      <c r="B531" s="93"/>
      <c r="C531" s="93"/>
      <c r="D531" s="93"/>
      <c r="E531" s="93"/>
      <c r="F531" s="105"/>
      <c r="G531" s="93"/>
      <c r="H531" s="93"/>
      <c r="I531" s="93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5.75" customHeight="1">
      <c r="A532" s="93"/>
      <c r="B532" s="93"/>
      <c r="C532" s="93"/>
      <c r="D532" s="93"/>
      <c r="E532" s="93"/>
      <c r="F532" s="105"/>
      <c r="G532" s="93"/>
      <c r="H532" s="93"/>
      <c r="I532" s="93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5.75" customHeight="1">
      <c r="A533" s="93"/>
      <c r="B533" s="93"/>
      <c r="C533" s="93"/>
      <c r="D533" s="93"/>
      <c r="E533" s="93"/>
      <c r="F533" s="105"/>
      <c r="G533" s="93"/>
      <c r="H533" s="93"/>
      <c r="I533" s="93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5.75" customHeight="1">
      <c r="A534" s="93"/>
      <c r="B534" s="93"/>
      <c r="C534" s="93"/>
      <c r="D534" s="93"/>
      <c r="E534" s="93"/>
      <c r="F534" s="105"/>
      <c r="G534" s="93"/>
      <c r="H534" s="93"/>
      <c r="I534" s="93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5.75" customHeight="1">
      <c r="A535" s="93"/>
      <c r="B535" s="93"/>
      <c r="C535" s="93"/>
      <c r="D535" s="93"/>
      <c r="E535" s="93"/>
      <c r="F535" s="105"/>
      <c r="G535" s="93"/>
      <c r="H535" s="93"/>
      <c r="I535" s="93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5.75" customHeight="1">
      <c r="A536" s="93"/>
      <c r="B536" s="93"/>
      <c r="C536" s="93"/>
      <c r="D536" s="93"/>
      <c r="E536" s="93"/>
      <c r="F536" s="105"/>
      <c r="G536" s="93"/>
      <c r="H536" s="93"/>
      <c r="I536" s="93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5.75" customHeight="1">
      <c r="A537" s="93"/>
      <c r="B537" s="93"/>
      <c r="C537" s="93"/>
      <c r="D537" s="93"/>
      <c r="E537" s="93"/>
      <c r="F537" s="105"/>
      <c r="G537" s="93"/>
      <c r="H537" s="93"/>
      <c r="I537" s="93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5.75" customHeight="1">
      <c r="A538" s="93"/>
      <c r="B538" s="93"/>
      <c r="C538" s="93"/>
      <c r="D538" s="93"/>
      <c r="E538" s="93"/>
      <c r="F538" s="105"/>
      <c r="G538" s="93"/>
      <c r="H538" s="93"/>
      <c r="I538" s="93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5.75" customHeight="1">
      <c r="A539" s="93"/>
      <c r="B539" s="93"/>
      <c r="C539" s="93"/>
      <c r="D539" s="93"/>
      <c r="E539" s="93"/>
      <c r="F539" s="105"/>
      <c r="G539" s="93"/>
      <c r="H539" s="93"/>
      <c r="I539" s="93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5.75" customHeight="1">
      <c r="A540" s="93"/>
      <c r="B540" s="93"/>
      <c r="C540" s="93"/>
      <c r="D540" s="93"/>
      <c r="E540" s="93"/>
      <c r="F540" s="105"/>
      <c r="G540" s="93"/>
      <c r="H540" s="93"/>
      <c r="I540" s="93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5.75" customHeight="1">
      <c r="A541" s="93"/>
      <c r="B541" s="93"/>
      <c r="C541" s="93"/>
      <c r="D541" s="93"/>
      <c r="E541" s="93"/>
      <c r="F541" s="105"/>
      <c r="G541" s="93"/>
      <c r="H541" s="93"/>
      <c r="I541" s="93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5.75" customHeight="1">
      <c r="A542" s="93"/>
      <c r="B542" s="93"/>
      <c r="C542" s="93"/>
      <c r="D542" s="93"/>
      <c r="E542" s="93"/>
      <c r="F542" s="105"/>
      <c r="G542" s="93"/>
      <c r="H542" s="93"/>
      <c r="I542" s="93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5.75" customHeight="1">
      <c r="A543" s="93"/>
      <c r="B543" s="93"/>
      <c r="C543" s="93"/>
      <c r="D543" s="93"/>
      <c r="E543" s="93"/>
      <c r="F543" s="105"/>
      <c r="G543" s="93"/>
      <c r="H543" s="93"/>
      <c r="I543" s="93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5.75" customHeight="1">
      <c r="A544" s="93"/>
      <c r="B544" s="93"/>
      <c r="C544" s="93"/>
      <c r="D544" s="93"/>
      <c r="E544" s="93"/>
      <c r="F544" s="105"/>
      <c r="G544" s="93"/>
      <c r="H544" s="93"/>
      <c r="I544" s="93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5.75" customHeight="1">
      <c r="A545" s="93"/>
      <c r="B545" s="93"/>
      <c r="C545" s="93"/>
      <c r="D545" s="93"/>
      <c r="E545" s="93"/>
      <c r="F545" s="105"/>
      <c r="G545" s="93"/>
      <c r="H545" s="93"/>
      <c r="I545" s="93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5.75" customHeight="1">
      <c r="A546" s="93"/>
      <c r="B546" s="93"/>
      <c r="C546" s="93"/>
      <c r="D546" s="93"/>
      <c r="E546" s="93"/>
      <c r="F546" s="105"/>
      <c r="G546" s="93"/>
      <c r="H546" s="93"/>
      <c r="I546" s="93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5.75" customHeight="1">
      <c r="A547" s="93"/>
      <c r="B547" s="93"/>
      <c r="C547" s="93"/>
      <c r="D547" s="93"/>
      <c r="E547" s="93"/>
      <c r="F547" s="105"/>
      <c r="G547" s="93"/>
      <c r="H547" s="93"/>
      <c r="I547" s="93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5.75" customHeight="1">
      <c r="A548" s="93"/>
      <c r="B548" s="93"/>
      <c r="C548" s="93"/>
      <c r="D548" s="93"/>
      <c r="E548" s="93"/>
      <c r="F548" s="105"/>
      <c r="G548" s="93"/>
      <c r="H548" s="93"/>
      <c r="I548" s="93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5.75" customHeight="1">
      <c r="A549" s="93"/>
      <c r="B549" s="93"/>
      <c r="C549" s="93"/>
      <c r="D549" s="93"/>
      <c r="E549" s="93"/>
      <c r="F549" s="105"/>
      <c r="G549" s="93"/>
      <c r="H549" s="93"/>
      <c r="I549" s="93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5.75" customHeight="1">
      <c r="A550" s="93"/>
      <c r="B550" s="93"/>
      <c r="C550" s="93"/>
      <c r="D550" s="93"/>
      <c r="E550" s="93"/>
      <c r="F550" s="105"/>
      <c r="G550" s="93"/>
      <c r="H550" s="93"/>
      <c r="I550" s="93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5.75" customHeight="1">
      <c r="A551" s="93"/>
      <c r="B551" s="93"/>
      <c r="C551" s="93"/>
      <c r="D551" s="93"/>
      <c r="E551" s="93"/>
      <c r="F551" s="105"/>
      <c r="G551" s="93"/>
      <c r="H551" s="93"/>
      <c r="I551" s="93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5.75" customHeight="1">
      <c r="A552" s="93"/>
      <c r="B552" s="93"/>
      <c r="C552" s="93"/>
      <c r="D552" s="93"/>
      <c r="E552" s="93"/>
      <c r="F552" s="105"/>
      <c r="G552" s="93"/>
      <c r="H552" s="93"/>
      <c r="I552" s="93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5.75" customHeight="1">
      <c r="A553" s="93"/>
      <c r="B553" s="93"/>
      <c r="C553" s="93"/>
      <c r="D553" s="93"/>
      <c r="E553" s="93"/>
      <c r="F553" s="105"/>
      <c r="G553" s="93"/>
      <c r="H553" s="93"/>
      <c r="I553" s="93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5.75" customHeight="1">
      <c r="A554" s="93"/>
      <c r="B554" s="93"/>
      <c r="C554" s="93"/>
      <c r="D554" s="93"/>
      <c r="E554" s="93"/>
      <c r="F554" s="105"/>
      <c r="G554" s="93"/>
      <c r="H554" s="93"/>
      <c r="I554" s="93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5.75" customHeight="1">
      <c r="A555" s="93"/>
      <c r="B555" s="93"/>
      <c r="C555" s="93"/>
      <c r="D555" s="93"/>
      <c r="E555" s="93"/>
      <c r="F555" s="105"/>
      <c r="G555" s="93"/>
      <c r="H555" s="93"/>
      <c r="I555" s="93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5.75" customHeight="1">
      <c r="A556" s="93"/>
      <c r="B556" s="93"/>
      <c r="C556" s="93"/>
      <c r="D556" s="93"/>
      <c r="E556" s="93"/>
      <c r="F556" s="105"/>
      <c r="G556" s="93"/>
      <c r="H556" s="93"/>
      <c r="I556" s="93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5.75" customHeight="1">
      <c r="A557" s="93"/>
      <c r="B557" s="93"/>
      <c r="C557" s="93"/>
      <c r="D557" s="93"/>
      <c r="E557" s="93"/>
      <c r="F557" s="105"/>
      <c r="G557" s="93"/>
      <c r="H557" s="93"/>
      <c r="I557" s="93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5.75" customHeight="1">
      <c r="A558" s="93"/>
      <c r="B558" s="93"/>
      <c r="C558" s="93"/>
      <c r="D558" s="93"/>
      <c r="E558" s="93"/>
      <c r="F558" s="105"/>
      <c r="G558" s="93"/>
      <c r="H558" s="93"/>
      <c r="I558" s="93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5.75" customHeight="1">
      <c r="A559" s="93"/>
      <c r="B559" s="93"/>
      <c r="C559" s="93"/>
      <c r="D559" s="93"/>
      <c r="E559" s="93"/>
      <c r="F559" s="105"/>
      <c r="G559" s="93"/>
      <c r="H559" s="93"/>
      <c r="I559" s="93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5.75" customHeight="1">
      <c r="A560" s="93"/>
      <c r="B560" s="93"/>
      <c r="C560" s="93"/>
      <c r="D560" s="93"/>
      <c r="E560" s="93"/>
      <c r="F560" s="105"/>
      <c r="G560" s="93"/>
      <c r="H560" s="93"/>
      <c r="I560" s="93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5.75" customHeight="1">
      <c r="A561" s="93"/>
      <c r="B561" s="93"/>
      <c r="C561" s="93"/>
      <c r="D561" s="93"/>
      <c r="E561" s="93"/>
      <c r="F561" s="105"/>
      <c r="G561" s="93"/>
      <c r="H561" s="93"/>
      <c r="I561" s="93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5.75" customHeight="1">
      <c r="A562" s="93"/>
      <c r="B562" s="93"/>
      <c r="C562" s="93"/>
      <c r="D562" s="93"/>
      <c r="E562" s="93"/>
      <c r="F562" s="105"/>
      <c r="G562" s="93"/>
      <c r="H562" s="93"/>
      <c r="I562" s="93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5.75" customHeight="1">
      <c r="A563" s="93"/>
      <c r="B563" s="93"/>
      <c r="C563" s="93"/>
      <c r="D563" s="93"/>
      <c r="E563" s="93"/>
      <c r="F563" s="105"/>
      <c r="G563" s="93"/>
      <c r="H563" s="93"/>
      <c r="I563" s="93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5.75" customHeight="1">
      <c r="A564" s="93"/>
      <c r="B564" s="93"/>
      <c r="C564" s="93"/>
      <c r="D564" s="93"/>
      <c r="E564" s="93"/>
      <c r="F564" s="105"/>
      <c r="G564" s="93"/>
      <c r="H564" s="93"/>
      <c r="I564" s="93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5.75" customHeight="1">
      <c r="A565" s="93"/>
      <c r="B565" s="93"/>
      <c r="C565" s="93"/>
      <c r="D565" s="93"/>
      <c r="E565" s="93"/>
      <c r="F565" s="105"/>
      <c r="G565" s="93"/>
      <c r="H565" s="93"/>
      <c r="I565" s="93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5.75" customHeight="1">
      <c r="A566" s="93"/>
      <c r="B566" s="93"/>
      <c r="C566" s="93"/>
      <c r="D566" s="93"/>
      <c r="E566" s="93"/>
      <c r="F566" s="105"/>
      <c r="G566" s="93"/>
      <c r="H566" s="93"/>
      <c r="I566" s="93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5.75" customHeight="1">
      <c r="A567" s="93"/>
      <c r="B567" s="93"/>
      <c r="C567" s="93"/>
      <c r="D567" s="93"/>
      <c r="E567" s="93"/>
      <c r="F567" s="105"/>
      <c r="G567" s="93"/>
      <c r="H567" s="93"/>
      <c r="I567" s="93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5.75" customHeight="1">
      <c r="A568" s="93"/>
      <c r="B568" s="93"/>
      <c r="C568" s="93"/>
      <c r="D568" s="93"/>
      <c r="E568" s="93"/>
      <c r="F568" s="105"/>
      <c r="G568" s="93"/>
      <c r="H568" s="93"/>
      <c r="I568" s="93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5.75" customHeight="1">
      <c r="A569" s="93"/>
      <c r="B569" s="93"/>
      <c r="C569" s="93"/>
      <c r="D569" s="93"/>
      <c r="E569" s="93"/>
      <c r="F569" s="105"/>
      <c r="G569" s="93"/>
      <c r="H569" s="93"/>
      <c r="I569" s="93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5.75" customHeight="1">
      <c r="A570" s="93"/>
      <c r="B570" s="93"/>
      <c r="C570" s="93"/>
      <c r="D570" s="93"/>
      <c r="E570" s="93"/>
      <c r="F570" s="105"/>
      <c r="G570" s="93"/>
      <c r="H570" s="93"/>
      <c r="I570" s="93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5.75" customHeight="1">
      <c r="A571" s="93"/>
      <c r="B571" s="93"/>
      <c r="C571" s="93"/>
      <c r="D571" s="93"/>
      <c r="E571" s="93"/>
      <c r="F571" s="105"/>
      <c r="G571" s="93"/>
      <c r="H571" s="93"/>
      <c r="I571" s="93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5.75" customHeight="1">
      <c r="A572" s="93"/>
      <c r="B572" s="93"/>
      <c r="C572" s="93"/>
      <c r="D572" s="93"/>
      <c r="E572" s="93"/>
      <c r="F572" s="105"/>
      <c r="G572" s="93"/>
      <c r="H572" s="93"/>
      <c r="I572" s="93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5.75" customHeight="1">
      <c r="A573" s="93"/>
      <c r="B573" s="93"/>
      <c r="C573" s="93"/>
      <c r="D573" s="93"/>
      <c r="E573" s="93"/>
      <c r="F573" s="105"/>
      <c r="G573" s="93"/>
      <c r="H573" s="93"/>
      <c r="I573" s="93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5.75" customHeight="1">
      <c r="A574" s="93"/>
      <c r="B574" s="93"/>
      <c r="C574" s="93"/>
      <c r="D574" s="93"/>
      <c r="E574" s="93"/>
      <c r="F574" s="105"/>
      <c r="G574" s="93"/>
      <c r="H574" s="93"/>
      <c r="I574" s="93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5.75" customHeight="1">
      <c r="A575" s="93"/>
      <c r="B575" s="93"/>
      <c r="C575" s="93"/>
      <c r="D575" s="93"/>
      <c r="E575" s="93"/>
      <c r="F575" s="105"/>
      <c r="G575" s="93"/>
      <c r="H575" s="93"/>
      <c r="I575" s="93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5.75" customHeight="1">
      <c r="A576" s="93"/>
      <c r="B576" s="93"/>
      <c r="C576" s="93"/>
      <c r="D576" s="93"/>
      <c r="E576" s="93"/>
      <c r="F576" s="105"/>
      <c r="G576" s="93"/>
      <c r="H576" s="93"/>
      <c r="I576" s="93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5.75" customHeight="1">
      <c r="A577" s="93"/>
      <c r="B577" s="93"/>
      <c r="C577" s="93"/>
      <c r="D577" s="93"/>
      <c r="E577" s="93"/>
      <c r="F577" s="105"/>
      <c r="G577" s="93"/>
      <c r="H577" s="93"/>
      <c r="I577" s="93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5.75" customHeight="1">
      <c r="A578" s="93"/>
      <c r="B578" s="93"/>
      <c r="C578" s="93"/>
      <c r="D578" s="93"/>
      <c r="E578" s="93"/>
      <c r="F578" s="105"/>
      <c r="G578" s="93"/>
      <c r="H578" s="93"/>
      <c r="I578" s="93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5.75" customHeight="1">
      <c r="A579" s="93"/>
      <c r="B579" s="93"/>
      <c r="C579" s="93"/>
      <c r="D579" s="93"/>
      <c r="E579" s="93"/>
      <c r="F579" s="105"/>
      <c r="G579" s="93"/>
      <c r="H579" s="93"/>
      <c r="I579" s="93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5.75" customHeight="1">
      <c r="A580" s="93"/>
      <c r="B580" s="93"/>
      <c r="C580" s="93"/>
      <c r="D580" s="93"/>
      <c r="E580" s="93"/>
      <c r="F580" s="105"/>
      <c r="G580" s="93"/>
      <c r="H580" s="93"/>
      <c r="I580" s="93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5.75" customHeight="1">
      <c r="A581" s="93"/>
      <c r="B581" s="93"/>
      <c r="C581" s="93"/>
      <c r="D581" s="93"/>
      <c r="E581" s="93"/>
      <c r="F581" s="105"/>
      <c r="G581" s="93"/>
      <c r="H581" s="93"/>
      <c r="I581" s="93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5.75" customHeight="1">
      <c r="A582" s="93"/>
      <c r="B582" s="93"/>
      <c r="C582" s="93"/>
      <c r="D582" s="93"/>
      <c r="E582" s="93"/>
      <c r="F582" s="105"/>
      <c r="G582" s="93"/>
      <c r="H582" s="93"/>
      <c r="I582" s="93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5.75" customHeight="1">
      <c r="A583" s="93"/>
      <c r="B583" s="93"/>
      <c r="C583" s="93"/>
      <c r="D583" s="93"/>
      <c r="E583" s="93"/>
      <c r="F583" s="105"/>
      <c r="G583" s="93"/>
      <c r="H583" s="93"/>
      <c r="I583" s="93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5.75" customHeight="1">
      <c r="A584" s="93"/>
      <c r="B584" s="93"/>
      <c r="C584" s="93"/>
      <c r="D584" s="93"/>
      <c r="E584" s="93"/>
      <c r="F584" s="105"/>
      <c r="G584" s="93"/>
      <c r="H584" s="93"/>
      <c r="I584" s="93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5.75" customHeight="1">
      <c r="A585" s="93"/>
      <c r="B585" s="93"/>
      <c r="C585" s="93"/>
      <c r="D585" s="93"/>
      <c r="E585" s="93"/>
      <c r="F585" s="105"/>
      <c r="G585" s="93"/>
      <c r="H585" s="93"/>
      <c r="I585" s="93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5.75" customHeight="1">
      <c r="A586" s="93"/>
      <c r="B586" s="93"/>
      <c r="C586" s="93"/>
      <c r="D586" s="93"/>
      <c r="E586" s="93"/>
      <c r="F586" s="105"/>
      <c r="G586" s="93"/>
      <c r="H586" s="93"/>
      <c r="I586" s="93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5.75" customHeight="1">
      <c r="A587" s="93"/>
      <c r="B587" s="93"/>
      <c r="C587" s="93"/>
      <c r="D587" s="93"/>
      <c r="E587" s="93"/>
      <c r="F587" s="105"/>
      <c r="G587" s="93"/>
      <c r="H587" s="93"/>
      <c r="I587" s="93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5.75" customHeight="1">
      <c r="A588" s="93"/>
      <c r="B588" s="93"/>
      <c r="C588" s="93"/>
      <c r="D588" s="93"/>
      <c r="E588" s="93"/>
      <c r="F588" s="105"/>
      <c r="G588" s="93"/>
      <c r="H588" s="93"/>
      <c r="I588" s="93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5.75" customHeight="1">
      <c r="A589" s="93"/>
      <c r="B589" s="93"/>
      <c r="C589" s="93"/>
      <c r="D589" s="93"/>
      <c r="E589" s="93"/>
      <c r="F589" s="105"/>
      <c r="G589" s="93"/>
      <c r="H589" s="93"/>
      <c r="I589" s="93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93"/>
      <c r="B590" s="93"/>
      <c r="C590" s="93"/>
      <c r="D590" s="93"/>
      <c r="E590" s="93"/>
      <c r="F590" s="105"/>
      <c r="G590" s="93"/>
      <c r="H590" s="93"/>
      <c r="I590" s="93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93"/>
      <c r="B591" s="93"/>
      <c r="C591" s="93"/>
      <c r="D591" s="93"/>
      <c r="E591" s="93"/>
      <c r="F591" s="105"/>
      <c r="G591" s="93"/>
      <c r="H591" s="93"/>
      <c r="I591" s="93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93"/>
      <c r="B592" s="93"/>
      <c r="C592" s="93"/>
      <c r="D592" s="93"/>
      <c r="E592" s="93"/>
      <c r="F592" s="105"/>
      <c r="G592" s="93"/>
      <c r="H592" s="93"/>
      <c r="I592" s="93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93"/>
      <c r="B593" s="93"/>
      <c r="C593" s="93"/>
      <c r="D593" s="93"/>
      <c r="E593" s="93"/>
      <c r="F593" s="105"/>
      <c r="G593" s="93"/>
      <c r="H593" s="93"/>
      <c r="I593" s="93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93"/>
      <c r="B594" s="93"/>
      <c r="C594" s="93"/>
      <c r="D594" s="93"/>
      <c r="E594" s="93"/>
      <c r="F594" s="105"/>
      <c r="G594" s="93"/>
      <c r="H594" s="93"/>
      <c r="I594" s="93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93"/>
      <c r="B595" s="93"/>
      <c r="C595" s="93"/>
      <c r="D595" s="93"/>
      <c r="E595" s="93"/>
      <c r="F595" s="105"/>
      <c r="G595" s="93"/>
      <c r="H595" s="93"/>
      <c r="I595" s="93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93"/>
      <c r="B596" s="93"/>
      <c r="C596" s="93"/>
      <c r="D596" s="93"/>
      <c r="E596" s="93"/>
      <c r="F596" s="105"/>
      <c r="G596" s="93"/>
      <c r="H596" s="93"/>
      <c r="I596" s="93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93"/>
      <c r="B597" s="93"/>
      <c r="C597" s="93"/>
      <c r="D597" s="93"/>
      <c r="E597" s="93"/>
      <c r="F597" s="105"/>
      <c r="G597" s="93"/>
      <c r="H597" s="93"/>
      <c r="I597" s="93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93"/>
      <c r="B598" s="93"/>
      <c r="C598" s="93"/>
      <c r="D598" s="93"/>
      <c r="E598" s="93"/>
      <c r="F598" s="105"/>
      <c r="G598" s="93"/>
      <c r="H598" s="93"/>
      <c r="I598" s="93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93"/>
      <c r="B599" s="93"/>
      <c r="C599" s="93"/>
      <c r="D599" s="93"/>
      <c r="E599" s="93"/>
      <c r="F599" s="105"/>
      <c r="G599" s="93"/>
      <c r="H599" s="93"/>
      <c r="I599" s="93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93"/>
      <c r="B600" s="93"/>
      <c r="C600" s="93"/>
      <c r="D600" s="93"/>
      <c r="E600" s="93"/>
      <c r="F600" s="105"/>
      <c r="G600" s="93"/>
      <c r="H600" s="93"/>
      <c r="I600" s="93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93"/>
      <c r="B601" s="93"/>
      <c r="C601" s="93"/>
      <c r="D601" s="93"/>
      <c r="E601" s="93"/>
      <c r="F601" s="105"/>
      <c r="G601" s="93"/>
      <c r="H601" s="93"/>
      <c r="I601" s="93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5.75" customHeight="1">
      <c r="A602" s="93"/>
      <c r="B602" s="93"/>
      <c r="C602" s="93"/>
      <c r="D602" s="93"/>
      <c r="E602" s="93"/>
      <c r="F602" s="105"/>
      <c r="G602" s="93"/>
      <c r="H602" s="93"/>
      <c r="I602" s="93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5.75" customHeight="1">
      <c r="A603" s="93"/>
      <c r="B603" s="93"/>
      <c r="C603" s="93"/>
      <c r="D603" s="93"/>
      <c r="E603" s="93"/>
      <c r="F603" s="105"/>
      <c r="G603" s="93"/>
      <c r="H603" s="93"/>
      <c r="I603" s="93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5.75" customHeight="1">
      <c r="A604" s="93"/>
      <c r="B604" s="93"/>
      <c r="C604" s="93"/>
      <c r="D604" s="93"/>
      <c r="E604" s="93"/>
      <c r="F604" s="105"/>
      <c r="G604" s="93"/>
      <c r="H604" s="93"/>
      <c r="I604" s="93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5.75" customHeight="1">
      <c r="A605" s="93"/>
      <c r="B605" s="93"/>
      <c r="C605" s="93"/>
      <c r="D605" s="93"/>
      <c r="E605" s="93"/>
      <c r="F605" s="105"/>
      <c r="G605" s="93"/>
      <c r="H605" s="93"/>
      <c r="I605" s="93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5.75" customHeight="1">
      <c r="A606" s="93"/>
      <c r="B606" s="93"/>
      <c r="C606" s="93"/>
      <c r="D606" s="93"/>
      <c r="E606" s="93"/>
      <c r="F606" s="105"/>
      <c r="G606" s="93"/>
      <c r="H606" s="93"/>
      <c r="I606" s="93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5.75" customHeight="1">
      <c r="A607" s="93"/>
      <c r="B607" s="93"/>
      <c r="C607" s="93"/>
      <c r="D607" s="93"/>
      <c r="E607" s="93"/>
      <c r="F607" s="105"/>
      <c r="G607" s="93"/>
      <c r="H607" s="93"/>
      <c r="I607" s="93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5.75" customHeight="1">
      <c r="A608" s="93"/>
      <c r="B608" s="93"/>
      <c r="C608" s="93"/>
      <c r="D608" s="93"/>
      <c r="E608" s="93"/>
      <c r="F608" s="105"/>
      <c r="G608" s="93"/>
      <c r="H608" s="93"/>
      <c r="I608" s="93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5.75" customHeight="1">
      <c r="A609" s="93"/>
      <c r="B609" s="93"/>
      <c r="C609" s="93"/>
      <c r="D609" s="93"/>
      <c r="E609" s="93"/>
      <c r="F609" s="105"/>
      <c r="G609" s="93"/>
      <c r="H609" s="93"/>
      <c r="I609" s="93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5.75" customHeight="1">
      <c r="A610" s="93"/>
      <c r="B610" s="93"/>
      <c r="C610" s="93"/>
      <c r="D610" s="93"/>
      <c r="E610" s="93"/>
      <c r="F610" s="105"/>
      <c r="G610" s="93"/>
      <c r="H610" s="93"/>
      <c r="I610" s="93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5.75" customHeight="1">
      <c r="A611" s="93"/>
      <c r="B611" s="93"/>
      <c r="C611" s="93"/>
      <c r="D611" s="93"/>
      <c r="E611" s="93"/>
      <c r="F611" s="105"/>
      <c r="G611" s="93"/>
      <c r="H611" s="93"/>
      <c r="I611" s="93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5.75" customHeight="1">
      <c r="A612" s="93"/>
      <c r="B612" s="93"/>
      <c r="C612" s="93"/>
      <c r="D612" s="93"/>
      <c r="E612" s="93"/>
      <c r="F612" s="105"/>
      <c r="G612" s="93"/>
      <c r="H612" s="93"/>
      <c r="I612" s="93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5.75" customHeight="1">
      <c r="A613" s="93"/>
      <c r="B613" s="93"/>
      <c r="C613" s="93"/>
      <c r="D613" s="93"/>
      <c r="E613" s="93"/>
      <c r="F613" s="105"/>
      <c r="G613" s="93"/>
      <c r="H613" s="93"/>
      <c r="I613" s="93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5.75" customHeight="1">
      <c r="A614" s="93"/>
      <c r="B614" s="93"/>
      <c r="C614" s="93"/>
      <c r="D614" s="93"/>
      <c r="E614" s="93"/>
      <c r="F614" s="105"/>
      <c r="G614" s="93"/>
      <c r="H614" s="93"/>
      <c r="I614" s="93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5.75" customHeight="1">
      <c r="A615" s="93"/>
      <c r="B615" s="93"/>
      <c r="C615" s="93"/>
      <c r="D615" s="93"/>
      <c r="E615" s="93"/>
      <c r="F615" s="105"/>
      <c r="G615" s="93"/>
      <c r="H615" s="93"/>
      <c r="I615" s="93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5.75" customHeight="1">
      <c r="A616" s="93"/>
      <c r="B616" s="93"/>
      <c r="C616" s="93"/>
      <c r="D616" s="93"/>
      <c r="E616" s="93"/>
      <c r="F616" s="105"/>
      <c r="G616" s="93"/>
      <c r="H616" s="93"/>
      <c r="I616" s="93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5.75" customHeight="1">
      <c r="A617" s="93"/>
      <c r="B617" s="93"/>
      <c r="C617" s="93"/>
      <c r="D617" s="93"/>
      <c r="E617" s="93"/>
      <c r="F617" s="105"/>
      <c r="G617" s="93"/>
      <c r="H617" s="93"/>
      <c r="I617" s="93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5.75" customHeight="1">
      <c r="A618" s="93"/>
      <c r="B618" s="93"/>
      <c r="C618" s="93"/>
      <c r="D618" s="93"/>
      <c r="E618" s="93"/>
      <c r="F618" s="105"/>
      <c r="G618" s="93"/>
      <c r="H618" s="93"/>
      <c r="I618" s="93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5.75" customHeight="1">
      <c r="A619" s="93"/>
      <c r="B619" s="93"/>
      <c r="C619" s="93"/>
      <c r="D619" s="93"/>
      <c r="E619" s="93"/>
      <c r="F619" s="105"/>
      <c r="G619" s="93"/>
      <c r="H619" s="93"/>
      <c r="I619" s="93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5.75" customHeight="1">
      <c r="A620" s="93"/>
      <c r="B620" s="93"/>
      <c r="C620" s="93"/>
      <c r="D620" s="93"/>
      <c r="E620" s="93"/>
      <c r="F620" s="105"/>
      <c r="G620" s="93"/>
      <c r="H620" s="93"/>
      <c r="I620" s="93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5.75" customHeight="1">
      <c r="A621" s="93"/>
      <c r="B621" s="93"/>
      <c r="C621" s="93"/>
      <c r="D621" s="93"/>
      <c r="E621" s="93"/>
      <c r="F621" s="105"/>
      <c r="G621" s="93"/>
      <c r="H621" s="93"/>
      <c r="I621" s="93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5.75" customHeight="1">
      <c r="A622" s="93"/>
      <c r="B622" s="93"/>
      <c r="C622" s="93"/>
      <c r="D622" s="93"/>
      <c r="E622" s="93"/>
      <c r="F622" s="105"/>
      <c r="G622" s="93"/>
      <c r="H622" s="93"/>
      <c r="I622" s="93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5.75" customHeight="1">
      <c r="A623" s="93"/>
      <c r="B623" s="93"/>
      <c r="C623" s="93"/>
      <c r="D623" s="93"/>
      <c r="E623" s="93"/>
      <c r="F623" s="105"/>
      <c r="G623" s="93"/>
      <c r="H623" s="93"/>
      <c r="I623" s="93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5.75" customHeight="1">
      <c r="A624" s="93"/>
      <c r="B624" s="93"/>
      <c r="C624" s="93"/>
      <c r="D624" s="93"/>
      <c r="E624" s="93"/>
      <c r="F624" s="105"/>
      <c r="G624" s="93"/>
      <c r="H624" s="93"/>
      <c r="I624" s="93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5.75" customHeight="1">
      <c r="A625" s="93"/>
      <c r="B625" s="93"/>
      <c r="C625" s="93"/>
      <c r="D625" s="93"/>
      <c r="E625" s="93"/>
      <c r="F625" s="105"/>
      <c r="G625" s="93"/>
      <c r="H625" s="93"/>
      <c r="I625" s="93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5.75" customHeight="1">
      <c r="A626" s="93"/>
      <c r="B626" s="93"/>
      <c r="C626" s="93"/>
      <c r="D626" s="93"/>
      <c r="E626" s="93"/>
      <c r="F626" s="105"/>
      <c r="G626" s="93"/>
      <c r="H626" s="93"/>
      <c r="I626" s="93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5.75" customHeight="1">
      <c r="A627" s="93"/>
      <c r="B627" s="93"/>
      <c r="C627" s="93"/>
      <c r="D627" s="93"/>
      <c r="E627" s="93"/>
      <c r="F627" s="105"/>
      <c r="G627" s="93"/>
      <c r="H627" s="93"/>
      <c r="I627" s="93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5.75" customHeight="1">
      <c r="A628" s="93"/>
      <c r="B628" s="93"/>
      <c r="C628" s="93"/>
      <c r="D628" s="93"/>
      <c r="E628" s="93"/>
      <c r="F628" s="105"/>
      <c r="G628" s="93"/>
      <c r="H628" s="93"/>
      <c r="I628" s="93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5.75" customHeight="1">
      <c r="A629" s="93"/>
      <c r="B629" s="93"/>
      <c r="C629" s="93"/>
      <c r="D629" s="93"/>
      <c r="E629" s="93"/>
      <c r="F629" s="105"/>
      <c r="G629" s="93"/>
      <c r="H629" s="93"/>
      <c r="I629" s="93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5.75" customHeight="1">
      <c r="A630" s="93"/>
      <c r="B630" s="93"/>
      <c r="C630" s="93"/>
      <c r="D630" s="93"/>
      <c r="E630" s="93"/>
      <c r="F630" s="105"/>
      <c r="G630" s="93"/>
      <c r="H630" s="93"/>
      <c r="I630" s="93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5.75" customHeight="1">
      <c r="A631" s="93"/>
      <c r="B631" s="93"/>
      <c r="C631" s="93"/>
      <c r="D631" s="93"/>
      <c r="E631" s="93"/>
      <c r="F631" s="105"/>
      <c r="G631" s="93"/>
      <c r="H631" s="93"/>
      <c r="I631" s="93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5.75" customHeight="1">
      <c r="A632" s="93"/>
      <c r="B632" s="93"/>
      <c r="C632" s="93"/>
      <c r="D632" s="93"/>
      <c r="E632" s="93"/>
      <c r="F632" s="105"/>
      <c r="G632" s="93"/>
      <c r="H632" s="93"/>
      <c r="I632" s="93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5.75" customHeight="1">
      <c r="A633" s="93"/>
      <c r="B633" s="93"/>
      <c r="C633" s="93"/>
      <c r="D633" s="93"/>
      <c r="E633" s="93"/>
      <c r="F633" s="105"/>
      <c r="G633" s="93"/>
      <c r="H633" s="93"/>
      <c r="I633" s="93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5.75" customHeight="1">
      <c r="A634" s="93"/>
      <c r="B634" s="93"/>
      <c r="C634" s="93"/>
      <c r="D634" s="93"/>
      <c r="E634" s="93"/>
      <c r="F634" s="105"/>
      <c r="G634" s="93"/>
      <c r="H634" s="93"/>
      <c r="I634" s="93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5.75" customHeight="1">
      <c r="A635" s="93"/>
      <c r="B635" s="93"/>
      <c r="C635" s="93"/>
      <c r="D635" s="93"/>
      <c r="E635" s="93"/>
      <c r="F635" s="105"/>
      <c r="G635" s="93"/>
      <c r="H635" s="93"/>
      <c r="I635" s="93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5.75" customHeight="1">
      <c r="A636" s="93"/>
      <c r="B636" s="93"/>
      <c r="C636" s="93"/>
      <c r="D636" s="93"/>
      <c r="E636" s="93"/>
      <c r="F636" s="105"/>
      <c r="G636" s="93"/>
      <c r="H636" s="93"/>
      <c r="I636" s="93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5.75" customHeight="1">
      <c r="A637" s="93"/>
      <c r="B637" s="93"/>
      <c r="C637" s="93"/>
      <c r="D637" s="93"/>
      <c r="E637" s="93"/>
      <c r="F637" s="105"/>
      <c r="G637" s="93"/>
      <c r="H637" s="93"/>
      <c r="I637" s="93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5.75" customHeight="1">
      <c r="A638" s="93"/>
      <c r="B638" s="93"/>
      <c r="C638" s="93"/>
      <c r="D638" s="93"/>
      <c r="E638" s="93"/>
      <c r="F638" s="105"/>
      <c r="G638" s="93"/>
      <c r="H638" s="93"/>
      <c r="I638" s="93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5.75" customHeight="1">
      <c r="A639" s="93"/>
      <c r="B639" s="93"/>
      <c r="C639" s="93"/>
      <c r="D639" s="93"/>
      <c r="E639" s="93"/>
      <c r="F639" s="105"/>
      <c r="G639" s="93"/>
      <c r="H639" s="93"/>
      <c r="I639" s="93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5.75" customHeight="1">
      <c r="A640" s="93"/>
      <c r="B640" s="93"/>
      <c r="C640" s="93"/>
      <c r="D640" s="93"/>
      <c r="E640" s="93"/>
      <c r="F640" s="105"/>
      <c r="G640" s="93"/>
      <c r="H640" s="93"/>
      <c r="I640" s="93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5.75" customHeight="1">
      <c r="A641" s="93"/>
      <c r="B641" s="93"/>
      <c r="C641" s="93"/>
      <c r="D641" s="93"/>
      <c r="E641" s="93"/>
      <c r="F641" s="105"/>
      <c r="G641" s="93"/>
      <c r="H641" s="93"/>
      <c r="I641" s="93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5.75" customHeight="1">
      <c r="A642" s="93"/>
      <c r="B642" s="93"/>
      <c r="C642" s="93"/>
      <c r="D642" s="93"/>
      <c r="E642" s="93"/>
      <c r="F642" s="105"/>
      <c r="G642" s="93"/>
      <c r="H642" s="93"/>
      <c r="I642" s="93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5.75" customHeight="1">
      <c r="A643" s="93"/>
      <c r="B643" s="93"/>
      <c r="C643" s="93"/>
      <c r="D643" s="93"/>
      <c r="E643" s="93"/>
      <c r="F643" s="105"/>
      <c r="G643" s="93"/>
      <c r="H643" s="93"/>
      <c r="I643" s="93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5.75" customHeight="1">
      <c r="A644" s="93"/>
      <c r="B644" s="93"/>
      <c r="C644" s="93"/>
      <c r="D644" s="93"/>
      <c r="E644" s="93"/>
      <c r="F644" s="105"/>
      <c r="G644" s="93"/>
      <c r="H644" s="93"/>
      <c r="I644" s="93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5.75" customHeight="1">
      <c r="A645" s="93"/>
      <c r="B645" s="93"/>
      <c r="C645" s="93"/>
      <c r="D645" s="93"/>
      <c r="E645" s="93"/>
      <c r="F645" s="105"/>
      <c r="G645" s="93"/>
      <c r="H645" s="93"/>
      <c r="I645" s="93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5.75" customHeight="1">
      <c r="A646" s="93"/>
      <c r="B646" s="93"/>
      <c r="C646" s="93"/>
      <c r="D646" s="93"/>
      <c r="E646" s="93"/>
      <c r="F646" s="105"/>
      <c r="G646" s="93"/>
      <c r="H646" s="93"/>
      <c r="I646" s="93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5.75" customHeight="1">
      <c r="A647" s="93"/>
      <c r="B647" s="93"/>
      <c r="C647" s="93"/>
      <c r="D647" s="93"/>
      <c r="E647" s="93"/>
      <c r="F647" s="105"/>
      <c r="G647" s="93"/>
      <c r="H647" s="93"/>
      <c r="I647" s="93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5.75" customHeight="1">
      <c r="A648" s="93"/>
      <c r="B648" s="93"/>
      <c r="C648" s="93"/>
      <c r="D648" s="93"/>
      <c r="E648" s="93"/>
      <c r="F648" s="105"/>
      <c r="G648" s="93"/>
      <c r="H648" s="93"/>
      <c r="I648" s="93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5.75" customHeight="1">
      <c r="A649" s="93"/>
      <c r="B649" s="93"/>
      <c r="C649" s="93"/>
      <c r="D649" s="93"/>
      <c r="E649" s="93"/>
      <c r="F649" s="105"/>
      <c r="G649" s="93"/>
      <c r="H649" s="93"/>
      <c r="I649" s="93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5.75" customHeight="1">
      <c r="A650" s="93"/>
      <c r="B650" s="93"/>
      <c r="C650" s="93"/>
      <c r="D650" s="93"/>
      <c r="E650" s="93"/>
      <c r="F650" s="105"/>
      <c r="G650" s="93"/>
      <c r="H650" s="93"/>
      <c r="I650" s="93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5.75" customHeight="1">
      <c r="A651" s="93"/>
      <c r="B651" s="93"/>
      <c r="C651" s="93"/>
      <c r="D651" s="93"/>
      <c r="E651" s="93"/>
      <c r="F651" s="105"/>
      <c r="G651" s="93"/>
      <c r="H651" s="93"/>
      <c r="I651" s="93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5.75" customHeight="1">
      <c r="A652" s="93"/>
      <c r="B652" s="93"/>
      <c r="C652" s="93"/>
      <c r="D652" s="93"/>
      <c r="E652" s="93"/>
      <c r="F652" s="105"/>
      <c r="G652" s="93"/>
      <c r="H652" s="93"/>
      <c r="I652" s="93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5.75" customHeight="1">
      <c r="A653" s="93"/>
      <c r="B653" s="93"/>
      <c r="C653" s="93"/>
      <c r="D653" s="93"/>
      <c r="E653" s="93"/>
      <c r="F653" s="105"/>
      <c r="G653" s="93"/>
      <c r="H653" s="93"/>
      <c r="I653" s="93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5.75" customHeight="1">
      <c r="A654" s="93"/>
      <c r="B654" s="93"/>
      <c r="C654" s="93"/>
      <c r="D654" s="93"/>
      <c r="E654" s="93"/>
      <c r="F654" s="105"/>
      <c r="G654" s="93"/>
      <c r="H654" s="93"/>
      <c r="I654" s="93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5.75" customHeight="1">
      <c r="A655" s="93"/>
      <c r="B655" s="93"/>
      <c r="C655" s="93"/>
      <c r="D655" s="93"/>
      <c r="E655" s="93"/>
      <c r="F655" s="105"/>
      <c r="G655" s="93"/>
      <c r="H655" s="93"/>
      <c r="I655" s="93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5.75" customHeight="1">
      <c r="A656" s="93"/>
      <c r="B656" s="93"/>
      <c r="C656" s="93"/>
      <c r="D656" s="93"/>
      <c r="E656" s="93"/>
      <c r="F656" s="105"/>
      <c r="G656" s="93"/>
      <c r="H656" s="93"/>
      <c r="I656" s="93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5.75" customHeight="1">
      <c r="A657" s="93"/>
      <c r="B657" s="93"/>
      <c r="C657" s="93"/>
      <c r="D657" s="93"/>
      <c r="E657" s="93"/>
      <c r="F657" s="105"/>
      <c r="G657" s="93"/>
      <c r="H657" s="93"/>
      <c r="I657" s="93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5.75" customHeight="1">
      <c r="A658" s="93"/>
      <c r="B658" s="93"/>
      <c r="C658" s="93"/>
      <c r="D658" s="93"/>
      <c r="E658" s="93"/>
      <c r="F658" s="105"/>
      <c r="G658" s="93"/>
      <c r="H658" s="93"/>
      <c r="I658" s="93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5.75" customHeight="1">
      <c r="A659" s="93"/>
      <c r="B659" s="93"/>
      <c r="C659" s="93"/>
      <c r="D659" s="93"/>
      <c r="E659" s="93"/>
      <c r="F659" s="105"/>
      <c r="G659" s="93"/>
      <c r="H659" s="93"/>
      <c r="I659" s="93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5.75" customHeight="1">
      <c r="A660" s="93"/>
      <c r="B660" s="93"/>
      <c r="C660" s="93"/>
      <c r="D660" s="93"/>
      <c r="E660" s="93"/>
      <c r="F660" s="105"/>
      <c r="G660" s="93"/>
      <c r="H660" s="93"/>
      <c r="I660" s="93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5.75" customHeight="1">
      <c r="A661" s="93"/>
      <c r="B661" s="93"/>
      <c r="C661" s="93"/>
      <c r="D661" s="93"/>
      <c r="E661" s="93"/>
      <c r="F661" s="105"/>
      <c r="G661" s="93"/>
      <c r="H661" s="93"/>
      <c r="I661" s="93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5.75" customHeight="1">
      <c r="A662" s="93"/>
      <c r="B662" s="93"/>
      <c r="C662" s="93"/>
      <c r="D662" s="93"/>
      <c r="E662" s="93"/>
      <c r="F662" s="105"/>
      <c r="G662" s="93"/>
      <c r="H662" s="93"/>
      <c r="I662" s="93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5.75" customHeight="1">
      <c r="A663" s="93"/>
      <c r="B663" s="93"/>
      <c r="C663" s="93"/>
      <c r="D663" s="93"/>
      <c r="E663" s="93"/>
      <c r="F663" s="105"/>
      <c r="G663" s="93"/>
      <c r="H663" s="93"/>
      <c r="I663" s="93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5.75" customHeight="1">
      <c r="A664" s="93"/>
      <c r="B664" s="93"/>
      <c r="C664" s="93"/>
      <c r="D664" s="93"/>
      <c r="E664" s="93"/>
      <c r="F664" s="105"/>
      <c r="G664" s="93"/>
      <c r="H664" s="93"/>
      <c r="I664" s="93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5.75" customHeight="1">
      <c r="A665" s="93"/>
      <c r="B665" s="93"/>
      <c r="C665" s="93"/>
      <c r="D665" s="93"/>
      <c r="E665" s="93"/>
      <c r="F665" s="105"/>
      <c r="G665" s="93"/>
      <c r="H665" s="93"/>
      <c r="I665" s="93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5.75" customHeight="1">
      <c r="A666" s="93"/>
      <c r="B666" s="93"/>
      <c r="C666" s="93"/>
      <c r="D666" s="93"/>
      <c r="E666" s="93"/>
      <c r="F666" s="105"/>
      <c r="G666" s="93"/>
      <c r="H666" s="93"/>
      <c r="I666" s="93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5.75" customHeight="1">
      <c r="A667" s="93"/>
      <c r="B667" s="93"/>
      <c r="C667" s="93"/>
      <c r="D667" s="93"/>
      <c r="E667" s="93"/>
      <c r="F667" s="105"/>
      <c r="G667" s="93"/>
      <c r="H667" s="93"/>
      <c r="I667" s="93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5.75" customHeight="1">
      <c r="A668" s="93"/>
      <c r="B668" s="93"/>
      <c r="C668" s="93"/>
      <c r="D668" s="93"/>
      <c r="E668" s="93"/>
      <c r="F668" s="105"/>
      <c r="G668" s="93"/>
      <c r="H668" s="93"/>
      <c r="I668" s="93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5.75" customHeight="1">
      <c r="A669" s="93"/>
      <c r="B669" s="93"/>
      <c r="C669" s="93"/>
      <c r="D669" s="93"/>
      <c r="E669" s="93"/>
      <c r="F669" s="105"/>
      <c r="G669" s="93"/>
      <c r="H669" s="93"/>
      <c r="I669" s="93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5.75" customHeight="1">
      <c r="A670" s="93"/>
      <c r="B670" s="93"/>
      <c r="C670" s="93"/>
      <c r="D670" s="93"/>
      <c r="E670" s="93"/>
      <c r="F670" s="105"/>
      <c r="G670" s="93"/>
      <c r="H670" s="93"/>
      <c r="I670" s="93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5.75" customHeight="1">
      <c r="A671" s="93"/>
      <c r="B671" s="93"/>
      <c r="C671" s="93"/>
      <c r="D671" s="93"/>
      <c r="E671" s="93"/>
      <c r="F671" s="105"/>
      <c r="G671" s="93"/>
      <c r="H671" s="93"/>
      <c r="I671" s="93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5.75" customHeight="1">
      <c r="A672" s="93"/>
      <c r="B672" s="93"/>
      <c r="C672" s="93"/>
      <c r="D672" s="93"/>
      <c r="E672" s="93"/>
      <c r="F672" s="105"/>
      <c r="G672" s="93"/>
      <c r="H672" s="93"/>
      <c r="I672" s="93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5.75" customHeight="1">
      <c r="A673" s="93"/>
      <c r="B673" s="93"/>
      <c r="C673" s="93"/>
      <c r="D673" s="93"/>
      <c r="E673" s="93"/>
      <c r="F673" s="105"/>
      <c r="G673" s="93"/>
      <c r="H673" s="93"/>
      <c r="I673" s="93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5.75" customHeight="1">
      <c r="A674" s="93"/>
      <c r="B674" s="93"/>
      <c r="C674" s="93"/>
      <c r="D674" s="93"/>
      <c r="E674" s="93"/>
      <c r="F674" s="105"/>
      <c r="G674" s="93"/>
      <c r="H674" s="93"/>
      <c r="I674" s="93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5.75" customHeight="1">
      <c r="A675" s="93"/>
      <c r="B675" s="93"/>
      <c r="C675" s="93"/>
      <c r="D675" s="93"/>
      <c r="E675" s="93"/>
      <c r="F675" s="105"/>
      <c r="G675" s="93"/>
      <c r="H675" s="93"/>
      <c r="I675" s="93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5.75" customHeight="1">
      <c r="A676" s="93"/>
      <c r="B676" s="93"/>
      <c r="C676" s="93"/>
      <c r="D676" s="93"/>
      <c r="E676" s="93"/>
      <c r="F676" s="105"/>
      <c r="G676" s="93"/>
      <c r="H676" s="93"/>
      <c r="I676" s="93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5.75" customHeight="1">
      <c r="A677" s="93"/>
      <c r="B677" s="93"/>
      <c r="C677" s="93"/>
      <c r="D677" s="93"/>
      <c r="E677" s="93"/>
      <c r="F677" s="105"/>
      <c r="G677" s="93"/>
      <c r="H677" s="93"/>
      <c r="I677" s="93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5.75" customHeight="1">
      <c r="A678" s="93"/>
      <c r="B678" s="93"/>
      <c r="C678" s="93"/>
      <c r="D678" s="93"/>
      <c r="E678" s="93"/>
      <c r="F678" s="105"/>
      <c r="G678" s="93"/>
      <c r="H678" s="93"/>
      <c r="I678" s="93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5.75" customHeight="1">
      <c r="A679" s="93"/>
      <c r="B679" s="93"/>
      <c r="C679" s="93"/>
      <c r="D679" s="93"/>
      <c r="E679" s="93"/>
      <c r="F679" s="105"/>
      <c r="G679" s="93"/>
      <c r="H679" s="93"/>
      <c r="I679" s="93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5.75" customHeight="1">
      <c r="A680" s="93"/>
      <c r="B680" s="93"/>
      <c r="C680" s="93"/>
      <c r="D680" s="93"/>
      <c r="E680" s="93"/>
      <c r="F680" s="105"/>
      <c r="G680" s="93"/>
      <c r="H680" s="93"/>
      <c r="I680" s="93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5.75" customHeight="1">
      <c r="A681" s="93"/>
      <c r="B681" s="93"/>
      <c r="C681" s="93"/>
      <c r="D681" s="93"/>
      <c r="E681" s="93"/>
      <c r="F681" s="105"/>
      <c r="G681" s="93"/>
      <c r="H681" s="93"/>
      <c r="I681" s="93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5.75" customHeight="1">
      <c r="A682" s="93"/>
      <c r="B682" s="93"/>
      <c r="C682" s="93"/>
      <c r="D682" s="93"/>
      <c r="E682" s="93"/>
      <c r="F682" s="105"/>
      <c r="G682" s="93"/>
      <c r="H682" s="93"/>
      <c r="I682" s="93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5.75" customHeight="1">
      <c r="A683" s="93"/>
      <c r="B683" s="93"/>
      <c r="C683" s="93"/>
      <c r="D683" s="93"/>
      <c r="E683" s="93"/>
      <c r="F683" s="105"/>
      <c r="G683" s="93"/>
      <c r="H683" s="93"/>
      <c r="I683" s="93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5.75" customHeight="1">
      <c r="A684" s="93"/>
      <c r="B684" s="93"/>
      <c r="C684" s="93"/>
      <c r="D684" s="93"/>
      <c r="E684" s="93"/>
      <c r="F684" s="105"/>
      <c r="G684" s="93"/>
      <c r="H684" s="93"/>
      <c r="I684" s="93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5.75" customHeight="1">
      <c r="A685" s="93"/>
      <c r="B685" s="93"/>
      <c r="C685" s="93"/>
      <c r="D685" s="93"/>
      <c r="E685" s="93"/>
      <c r="F685" s="105"/>
      <c r="G685" s="93"/>
      <c r="H685" s="93"/>
      <c r="I685" s="93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5.75" customHeight="1">
      <c r="A686" s="93"/>
      <c r="B686" s="93"/>
      <c r="C686" s="93"/>
      <c r="D686" s="93"/>
      <c r="E686" s="93"/>
      <c r="F686" s="105"/>
      <c r="G686" s="93"/>
      <c r="H686" s="93"/>
      <c r="I686" s="93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5.75" customHeight="1">
      <c r="A687" s="93"/>
      <c r="B687" s="93"/>
      <c r="C687" s="93"/>
      <c r="D687" s="93"/>
      <c r="E687" s="93"/>
      <c r="F687" s="105"/>
      <c r="G687" s="93"/>
      <c r="H687" s="93"/>
      <c r="I687" s="93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5.75" customHeight="1">
      <c r="A688" s="93"/>
      <c r="B688" s="93"/>
      <c r="C688" s="93"/>
      <c r="D688" s="93"/>
      <c r="E688" s="93"/>
      <c r="F688" s="105"/>
      <c r="G688" s="93"/>
      <c r="H688" s="93"/>
      <c r="I688" s="93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5.75" customHeight="1">
      <c r="A689" s="93"/>
      <c r="B689" s="93"/>
      <c r="C689" s="93"/>
      <c r="D689" s="93"/>
      <c r="E689" s="93"/>
      <c r="F689" s="105"/>
      <c r="G689" s="93"/>
      <c r="H689" s="93"/>
      <c r="I689" s="93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5.75" customHeight="1">
      <c r="A690" s="93"/>
      <c r="B690" s="93"/>
      <c r="C690" s="93"/>
      <c r="D690" s="93"/>
      <c r="E690" s="93"/>
      <c r="F690" s="105"/>
      <c r="G690" s="93"/>
      <c r="H690" s="93"/>
      <c r="I690" s="93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5.75" customHeight="1">
      <c r="A691" s="93"/>
      <c r="B691" s="93"/>
      <c r="C691" s="93"/>
      <c r="D691" s="93"/>
      <c r="E691" s="93"/>
      <c r="F691" s="105"/>
      <c r="G691" s="93"/>
      <c r="H691" s="93"/>
      <c r="I691" s="93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5.75" customHeight="1">
      <c r="A692" s="93"/>
      <c r="B692" s="93"/>
      <c r="C692" s="93"/>
      <c r="D692" s="93"/>
      <c r="E692" s="93"/>
      <c r="F692" s="105"/>
      <c r="G692" s="93"/>
      <c r="H692" s="93"/>
      <c r="I692" s="93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5.75" customHeight="1">
      <c r="A693" s="93"/>
      <c r="B693" s="93"/>
      <c r="C693" s="93"/>
      <c r="D693" s="93"/>
      <c r="E693" s="93"/>
      <c r="F693" s="105"/>
      <c r="G693" s="93"/>
      <c r="H693" s="93"/>
      <c r="I693" s="93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5.75" customHeight="1">
      <c r="A694" s="93"/>
      <c r="B694" s="93"/>
      <c r="C694" s="93"/>
      <c r="D694" s="93"/>
      <c r="E694" s="93"/>
      <c r="F694" s="105"/>
      <c r="G694" s="93"/>
      <c r="H694" s="93"/>
      <c r="I694" s="93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5.75" customHeight="1">
      <c r="A695" s="93"/>
      <c r="B695" s="93"/>
      <c r="C695" s="93"/>
      <c r="D695" s="93"/>
      <c r="E695" s="93"/>
      <c r="F695" s="105"/>
      <c r="G695" s="93"/>
      <c r="H695" s="93"/>
      <c r="I695" s="93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5.75" customHeight="1">
      <c r="A696" s="93"/>
      <c r="B696" s="93"/>
      <c r="C696" s="93"/>
      <c r="D696" s="93"/>
      <c r="E696" s="93"/>
      <c r="F696" s="105"/>
      <c r="G696" s="93"/>
      <c r="H696" s="93"/>
      <c r="I696" s="93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5.75" customHeight="1">
      <c r="A697" s="93"/>
      <c r="B697" s="93"/>
      <c r="C697" s="93"/>
      <c r="D697" s="93"/>
      <c r="E697" s="93"/>
      <c r="F697" s="105"/>
      <c r="G697" s="93"/>
      <c r="H697" s="93"/>
      <c r="I697" s="93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5.75" customHeight="1">
      <c r="A698" s="93"/>
      <c r="B698" s="93"/>
      <c r="C698" s="93"/>
      <c r="D698" s="93"/>
      <c r="E698" s="93"/>
      <c r="F698" s="105"/>
      <c r="G698" s="93"/>
      <c r="H698" s="93"/>
      <c r="I698" s="93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5.75" customHeight="1">
      <c r="A699" s="93"/>
      <c r="B699" s="93"/>
      <c r="C699" s="93"/>
      <c r="D699" s="93"/>
      <c r="E699" s="93"/>
      <c r="F699" s="105"/>
      <c r="G699" s="93"/>
      <c r="H699" s="93"/>
      <c r="I699" s="93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5.75" customHeight="1">
      <c r="A700" s="93"/>
      <c r="B700" s="93"/>
      <c r="C700" s="93"/>
      <c r="D700" s="93"/>
      <c r="E700" s="93"/>
      <c r="F700" s="105"/>
      <c r="G700" s="93"/>
      <c r="H700" s="93"/>
      <c r="I700" s="93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5.75" customHeight="1">
      <c r="A701" s="93"/>
      <c r="B701" s="93"/>
      <c r="C701" s="93"/>
      <c r="D701" s="93"/>
      <c r="E701" s="93"/>
      <c r="F701" s="105"/>
      <c r="G701" s="93"/>
      <c r="H701" s="93"/>
      <c r="I701" s="93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5.75" customHeight="1">
      <c r="A702" s="93"/>
      <c r="B702" s="93"/>
      <c r="C702" s="93"/>
      <c r="D702" s="93"/>
      <c r="E702" s="93"/>
      <c r="F702" s="105"/>
      <c r="G702" s="93"/>
      <c r="H702" s="93"/>
      <c r="I702" s="93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5.75" customHeight="1">
      <c r="A703" s="93"/>
      <c r="B703" s="93"/>
      <c r="C703" s="93"/>
      <c r="D703" s="93"/>
      <c r="E703" s="93"/>
      <c r="F703" s="105"/>
      <c r="G703" s="93"/>
      <c r="H703" s="93"/>
      <c r="I703" s="93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5.75" customHeight="1">
      <c r="A704" s="93"/>
      <c r="B704" s="93"/>
      <c r="C704" s="93"/>
      <c r="D704" s="93"/>
      <c r="E704" s="93"/>
      <c r="F704" s="105"/>
      <c r="G704" s="93"/>
      <c r="H704" s="93"/>
      <c r="I704" s="93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5.75" customHeight="1">
      <c r="A705" s="93"/>
      <c r="B705" s="93"/>
      <c r="C705" s="93"/>
      <c r="D705" s="93"/>
      <c r="E705" s="93"/>
      <c r="F705" s="105"/>
      <c r="G705" s="93"/>
      <c r="H705" s="93"/>
      <c r="I705" s="93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5.75" customHeight="1">
      <c r="A706" s="93"/>
      <c r="B706" s="93"/>
      <c r="C706" s="93"/>
      <c r="D706" s="93"/>
      <c r="E706" s="93"/>
      <c r="F706" s="105"/>
      <c r="G706" s="93"/>
      <c r="H706" s="93"/>
      <c r="I706" s="93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5.75" customHeight="1">
      <c r="A707" s="93"/>
      <c r="B707" s="93"/>
      <c r="C707" s="93"/>
      <c r="D707" s="93"/>
      <c r="E707" s="93"/>
      <c r="F707" s="105"/>
      <c r="G707" s="93"/>
      <c r="H707" s="93"/>
      <c r="I707" s="93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5.75" customHeight="1">
      <c r="A708" s="93"/>
      <c r="B708" s="93"/>
      <c r="C708" s="93"/>
      <c r="D708" s="93"/>
      <c r="E708" s="93"/>
      <c r="F708" s="105"/>
      <c r="G708" s="93"/>
      <c r="H708" s="93"/>
      <c r="I708" s="93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5.75" customHeight="1">
      <c r="A709" s="93"/>
      <c r="B709" s="93"/>
      <c r="C709" s="93"/>
      <c r="D709" s="93"/>
      <c r="E709" s="93"/>
      <c r="F709" s="105"/>
      <c r="G709" s="93"/>
      <c r="H709" s="93"/>
      <c r="I709" s="93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5.75" customHeight="1">
      <c r="A710" s="93"/>
      <c r="B710" s="93"/>
      <c r="C710" s="93"/>
      <c r="D710" s="93"/>
      <c r="E710" s="93"/>
      <c r="F710" s="105"/>
      <c r="G710" s="93"/>
      <c r="H710" s="93"/>
      <c r="I710" s="93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5.75" customHeight="1">
      <c r="A711" s="93"/>
      <c r="B711" s="93"/>
      <c r="C711" s="93"/>
      <c r="D711" s="93"/>
      <c r="E711" s="93"/>
      <c r="F711" s="105"/>
      <c r="G711" s="93"/>
      <c r="H711" s="93"/>
      <c r="I711" s="93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5.75" customHeight="1">
      <c r="A712" s="93"/>
      <c r="B712" s="93"/>
      <c r="C712" s="93"/>
      <c r="D712" s="93"/>
      <c r="E712" s="93"/>
      <c r="F712" s="105"/>
      <c r="G712" s="93"/>
      <c r="H712" s="93"/>
      <c r="I712" s="93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5.75" customHeight="1">
      <c r="A713" s="93"/>
      <c r="B713" s="93"/>
      <c r="C713" s="93"/>
      <c r="D713" s="93"/>
      <c r="E713" s="93"/>
      <c r="F713" s="105"/>
      <c r="G713" s="93"/>
      <c r="H713" s="93"/>
      <c r="I713" s="93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5.75" customHeight="1">
      <c r="A714" s="93"/>
      <c r="B714" s="93"/>
      <c r="C714" s="93"/>
      <c r="D714" s="93"/>
      <c r="E714" s="93"/>
      <c r="F714" s="105"/>
      <c r="G714" s="93"/>
      <c r="H714" s="93"/>
      <c r="I714" s="93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5.75" customHeight="1">
      <c r="A715" s="93"/>
      <c r="B715" s="93"/>
      <c r="C715" s="93"/>
      <c r="D715" s="93"/>
      <c r="E715" s="93"/>
      <c r="F715" s="105"/>
      <c r="G715" s="93"/>
      <c r="H715" s="93"/>
      <c r="I715" s="93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5.75" customHeight="1">
      <c r="A716" s="93"/>
      <c r="B716" s="93"/>
      <c r="C716" s="93"/>
      <c r="D716" s="93"/>
      <c r="E716" s="93"/>
      <c r="F716" s="105"/>
      <c r="G716" s="93"/>
      <c r="H716" s="93"/>
      <c r="I716" s="93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5.75" customHeight="1">
      <c r="A717" s="93"/>
      <c r="B717" s="93"/>
      <c r="C717" s="93"/>
      <c r="D717" s="93"/>
      <c r="E717" s="93"/>
      <c r="F717" s="105"/>
      <c r="G717" s="93"/>
      <c r="H717" s="93"/>
      <c r="I717" s="93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5.75" customHeight="1">
      <c r="A718" s="93"/>
      <c r="B718" s="93"/>
      <c r="C718" s="93"/>
      <c r="D718" s="93"/>
      <c r="E718" s="93"/>
      <c r="F718" s="105"/>
      <c r="G718" s="93"/>
      <c r="H718" s="93"/>
      <c r="I718" s="93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5.75" customHeight="1">
      <c r="A719" s="93"/>
      <c r="B719" s="93"/>
      <c r="C719" s="93"/>
      <c r="D719" s="93"/>
      <c r="E719" s="93"/>
      <c r="F719" s="105"/>
      <c r="G719" s="93"/>
      <c r="H719" s="93"/>
      <c r="I719" s="93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5.75" customHeight="1">
      <c r="A720" s="93"/>
      <c r="B720" s="93"/>
      <c r="C720" s="93"/>
      <c r="D720" s="93"/>
      <c r="E720" s="93"/>
      <c r="F720" s="105"/>
      <c r="G720" s="93"/>
      <c r="H720" s="93"/>
      <c r="I720" s="93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5.75" customHeight="1">
      <c r="A721" s="93"/>
      <c r="B721" s="93"/>
      <c r="C721" s="93"/>
      <c r="D721" s="93"/>
      <c r="E721" s="93"/>
      <c r="F721" s="105"/>
      <c r="G721" s="93"/>
      <c r="H721" s="93"/>
      <c r="I721" s="93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5.75" customHeight="1">
      <c r="A722" s="93"/>
      <c r="B722" s="93"/>
      <c r="C722" s="93"/>
      <c r="D722" s="93"/>
      <c r="E722" s="93"/>
      <c r="F722" s="105"/>
      <c r="G722" s="93"/>
      <c r="H722" s="93"/>
      <c r="I722" s="93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5.75" customHeight="1">
      <c r="A723" s="93"/>
      <c r="B723" s="93"/>
      <c r="C723" s="93"/>
      <c r="D723" s="93"/>
      <c r="E723" s="93"/>
      <c r="F723" s="105"/>
      <c r="G723" s="93"/>
      <c r="H723" s="93"/>
      <c r="I723" s="93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5.75" customHeight="1">
      <c r="A724" s="93"/>
      <c r="B724" s="93"/>
      <c r="C724" s="93"/>
      <c r="D724" s="93"/>
      <c r="E724" s="93"/>
      <c r="F724" s="105"/>
      <c r="G724" s="93"/>
      <c r="H724" s="93"/>
      <c r="I724" s="93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5.75" customHeight="1">
      <c r="A725" s="93"/>
      <c r="B725" s="93"/>
      <c r="C725" s="93"/>
      <c r="D725" s="93"/>
      <c r="E725" s="93"/>
      <c r="F725" s="105"/>
      <c r="G725" s="93"/>
      <c r="H725" s="93"/>
      <c r="I725" s="93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5.75" customHeight="1">
      <c r="A726" s="93"/>
      <c r="B726" s="93"/>
      <c r="C726" s="93"/>
      <c r="D726" s="93"/>
      <c r="E726" s="93"/>
      <c r="F726" s="105"/>
      <c r="G726" s="93"/>
      <c r="H726" s="93"/>
      <c r="I726" s="93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5.75" customHeight="1">
      <c r="A727" s="93"/>
      <c r="B727" s="93"/>
      <c r="C727" s="93"/>
      <c r="D727" s="93"/>
      <c r="E727" s="93"/>
      <c r="F727" s="105"/>
      <c r="G727" s="93"/>
      <c r="H727" s="93"/>
      <c r="I727" s="93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5.75" customHeight="1">
      <c r="A728" s="93"/>
      <c r="B728" s="93"/>
      <c r="C728" s="93"/>
      <c r="D728" s="93"/>
      <c r="E728" s="93"/>
      <c r="F728" s="105"/>
      <c r="G728" s="93"/>
      <c r="H728" s="93"/>
      <c r="I728" s="93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5.75" customHeight="1">
      <c r="A729" s="93"/>
      <c r="B729" s="93"/>
      <c r="C729" s="93"/>
      <c r="D729" s="93"/>
      <c r="E729" s="93"/>
      <c r="F729" s="105"/>
      <c r="G729" s="93"/>
      <c r="H729" s="93"/>
      <c r="I729" s="93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5.75" customHeight="1">
      <c r="A730" s="93"/>
      <c r="B730" s="93"/>
      <c r="C730" s="93"/>
      <c r="D730" s="93"/>
      <c r="E730" s="93"/>
      <c r="F730" s="105"/>
      <c r="G730" s="93"/>
      <c r="H730" s="93"/>
      <c r="I730" s="93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5.75" customHeight="1">
      <c r="A731" s="93"/>
      <c r="B731" s="93"/>
      <c r="C731" s="93"/>
      <c r="D731" s="93"/>
      <c r="E731" s="93"/>
      <c r="F731" s="105"/>
      <c r="G731" s="93"/>
      <c r="H731" s="93"/>
      <c r="I731" s="93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5.75" customHeight="1">
      <c r="A732" s="93"/>
      <c r="B732" s="93"/>
      <c r="C732" s="93"/>
      <c r="D732" s="93"/>
      <c r="E732" s="93"/>
      <c r="F732" s="105"/>
      <c r="G732" s="93"/>
      <c r="H732" s="93"/>
      <c r="I732" s="93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5.75" customHeight="1">
      <c r="A733" s="93"/>
      <c r="B733" s="93"/>
      <c r="C733" s="93"/>
      <c r="D733" s="93"/>
      <c r="E733" s="93"/>
      <c r="F733" s="105"/>
      <c r="G733" s="93"/>
      <c r="H733" s="93"/>
      <c r="I733" s="93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5.75" customHeight="1">
      <c r="A734" s="93"/>
      <c r="B734" s="93"/>
      <c r="C734" s="93"/>
      <c r="D734" s="93"/>
      <c r="E734" s="93"/>
      <c r="F734" s="105"/>
      <c r="G734" s="93"/>
      <c r="H734" s="93"/>
      <c r="I734" s="93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5.75" customHeight="1">
      <c r="A735" s="93"/>
      <c r="B735" s="93"/>
      <c r="C735" s="93"/>
      <c r="D735" s="93"/>
      <c r="E735" s="93"/>
      <c r="F735" s="105"/>
      <c r="G735" s="93"/>
      <c r="H735" s="93"/>
      <c r="I735" s="93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5.75" customHeight="1">
      <c r="A736" s="93"/>
      <c r="B736" s="93"/>
      <c r="C736" s="93"/>
      <c r="D736" s="93"/>
      <c r="E736" s="93"/>
      <c r="F736" s="105"/>
      <c r="G736" s="93"/>
      <c r="H736" s="93"/>
      <c r="I736" s="93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5.75" customHeight="1">
      <c r="A737" s="93"/>
      <c r="B737" s="93"/>
      <c r="C737" s="93"/>
      <c r="D737" s="93"/>
      <c r="E737" s="93"/>
      <c r="F737" s="105"/>
      <c r="G737" s="93"/>
      <c r="H737" s="93"/>
      <c r="I737" s="93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5.75" customHeight="1">
      <c r="A738" s="93"/>
      <c r="B738" s="93"/>
      <c r="C738" s="93"/>
      <c r="D738" s="93"/>
      <c r="E738" s="93"/>
      <c r="F738" s="105"/>
      <c r="G738" s="93"/>
      <c r="H738" s="93"/>
      <c r="I738" s="93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5.75" customHeight="1">
      <c r="A739" s="93"/>
      <c r="B739" s="93"/>
      <c r="C739" s="93"/>
      <c r="D739" s="93"/>
      <c r="E739" s="93"/>
      <c r="F739" s="105"/>
      <c r="G739" s="93"/>
      <c r="H739" s="93"/>
      <c r="I739" s="93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5.75" customHeight="1">
      <c r="A740" s="93"/>
      <c r="B740" s="93"/>
      <c r="C740" s="93"/>
      <c r="D740" s="93"/>
      <c r="E740" s="93"/>
      <c r="F740" s="105"/>
      <c r="G740" s="93"/>
      <c r="H740" s="93"/>
      <c r="I740" s="93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5.75" customHeight="1">
      <c r="A741" s="93"/>
      <c r="B741" s="93"/>
      <c r="C741" s="93"/>
      <c r="D741" s="93"/>
      <c r="E741" s="93"/>
      <c r="F741" s="105"/>
      <c r="G741" s="93"/>
      <c r="H741" s="93"/>
      <c r="I741" s="93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5.75" customHeight="1">
      <c r="A742" s="93"/>
      <c r="B742" s="93"/>
      <c r="C742" s="93"/>
      <c r="D742" s="93"/>
      <c r="E742" s="93"/>
      <c r="F742" s="105"/>
      <c r="G742" s="93"/>
      <c r="H742" s="93"/>
      <c r="I742" s="93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5.75" customHeight="1">
      <c r="A743" s="93"/>
      <c r="B743" s="93"/>
      <c r="C743" s="93"/>
      <c r="D743" s="93"/>
      <c r="E743" s="93"/>
      <c r="F743" s="105"/>
      <c r="G743" s="93"/>
      <c r="H743" s="93"/>
      <c r="I743" s="93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5.75" customHeight="1">
      <c r="A744" s="93"/>
      <c r="B744" s="93"/>
      <c r="C744" s="93"/>
      <c r="D744" s="93"/>
      <c r="E744" s="93"/>
      <c r="F744" s="105"/>
      <c r="G744" s="93"/>
      <c r="H744" s="93"/>
      <c r="I744" s="93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5.75" customHeight="1">
      <c r="A745" s="93"/>
      <c r="B745" s="93"/>
      <c r="C745" s="93"/>
      <c r="D745" s="93"/>
      <c r="E745" s="93"/>
      <c r="F745" s="105"/>
      <c r="G745" s="93"/>
      <c r="H745" s="93"/>
      <c r="I745" s="93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5.75" customHeight="1">
      <c r="A746" s="93"/>
      <c r="B746" s="93"/>
      <c r="C746" s="93"/>
      <c r="D746" s="93"/>
      <c r="E746" s="93"/>
      <c r="F746" s="105"/>
      <c r="G746" s="93"/>
      <c r="H746" s="93"/>
      <c r="I746" s="93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5.75" customHeight="1">
      <c r="A747" s="93"/>
      <c r="B747" s="93"/>
      <c r="C747" s="93"/>
      <c r="D747" s="93"/>
      <c r="E747" s="93"/>
      <c r="F747" s="105"/>
      <c r="G747" s="93"/>
      <c r="H747" s="93"/>
      <c r="I747" s="93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5.75" customHeight="1">
      <c r="A748" s="93"/>
      <c r="B748" s="93"/>
      <c r="C748" s="93"/>
      <c r="D748" s="93"/>
      <c r="E748" s="93"/>
      <c r="F748" s="105"/>
      <c r="G748" s="93"/>
      <c r="H748" s="93"/>
      <c r="I748" s="93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5.75" customHeight="1">
      <c r="A749" s="93"/>
      <c r="B749" s="93"/>
      <c r="C749" s="93"/>
      <c r="D749" s="93"/>
      <c r="E749" s="93"/>
      <c r="F749" s="105"/>
      <c r="G749" s="93"/>
      <c r="H749" s="93"/>
      <c r="I749" s="93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5.75" customHeight="1">
      <c r="A750" s="93"/>
      <c r="B750" s="93"/>
      <c r="C750" s="93"/>
      <c r="D750" s="93"/>
      <c r="E750" s="93"/>
      <c r="F750" s="105"/>
      <c r="G750" s="93"/>
      <c r="H750" s="93"/>
      <c r="I750" s="93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5.75" customHeight="1">
      <c r="A751" s="93"/>
      <c r="B751" s="93"/>
      <c r="C751" s="93"/>
      <c r="D751" s="93"/>
      <c r="E751" s="93"/>
      <c r="F751" s="105"/>
      <c r="G751" s="93"/>
      <c r="H751" s="93"/>
      <c r="I751" s="93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5.75" customHeight="1">
      <c r="A752" s="93"/>
      <c r="B752" s="93"/>
      <c r="C752" s="93"/>
      <c r="D752" s="93"/>
      <c r="E752" s="93"/>
      <c r="F752" s="105"/>
      <c r="G752" s="93"/>
      <c r="H752" s="93"/>
      <c r="I752" s="93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5.75" customHeight="1">
      <c r="A753" s="93"/>
      <c r="B753" s="93"/>
      <c r="C753" s="93"/>
      <c r="D753" s="93"/>
      <c r="E753" s="93"/>
      <c r="F753" s="105"/>
      <c r="G753" s="93"/>
      <c r="H753" s="93"/>
      <c r="I753" s="93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5.75" customHeight="1">
      <c r="A754" s="93"/>
      <c r="B754" s="93"/>
      <c r="C754" s="93"/>
      <c r="D754" s="93"/>
      <c r="E754" s="93"/>
      <c r="F754" s="105"/>
      <c r="G754" s="93"/>
      <c r="H754" s="93"/>
      <c r="I754" s="93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5.75" customHeight="1">
      <c r="A755" s="93"/>
      <c r="B755" s="93"/>
      <c r="C755" s="93"/>
      <c r="D755" s="93"/>
      <c r="E755" s="93"/>
      <c r="F755" s="105"/>
      <c r="G755" s="93"/>
      <c r="H755" s="93"/>
      <c r="I755" s="93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5.75" customHeight="1">
      <c r="A756" s="93"/>
      <c r="B756" s="93"/>
      <c r="C756" s="93"/>
      <c r="D756" s="93"/>
      <c r="E756" s="93"/>
      <c r="F756" s="105"/>
      <c r="G756" s="93"/>
      <c r="H756" s="93"/>
      <c r="I756" s="93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5.75" customHeight="1">
      <c r="A757" s="93"/>
      <c r="B757" s="93"/>
      <c r="C757" s="93"/>
      <c r="D757" s="93"/>
      <c r="E757" s="93"/>
      <c r="F757" s="105"/>
      <c r="G757" s="93"/>
      <c r="H757" s="93"/>
      <c r="I757" s="93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5.75" customHeight="1">
      <c r="A758" s="93"/>
      <c r="B758" s="93"/>
      <c r="C758" s="93"/>
      <c r="D758" s="93"/>
      <c r="E758" s="93"/>
      <c r="F758" s="105"/>
      <c r="G758" s="93"/>
      <c r="H758" s="93"/>
      <c r="I758" s="93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5.75" customHeight="1">
      <c r="A759" s="93"/>
      <c r="B759" s="93"/>
      <c r="C759" s="93"/>
      <c r="D759" s="93"/>
      <c r="E759" s="93"/>
      <c r="F759" s="105"/>
      <c r="G759" s="93"/>
      <c r="H759" s="93"/>
      <c r="I759" s="93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5.75" customHeight="1">
      <c r="A760" s="93"/>
      <c r="B760" s="93"/>
      <c r="C760" s="93"/>
      <c r="D760" s="93"/>
      <c r="E760" s="93"/>
      <c r="F760" s="105"/>
      <c r="G760" s="93"/>
      <c r="H760" s="93"/>
      <c r="I760" s="93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5.75" customHeight="1">
      <c r="A761" s="93"/>
      <c r="B761" s="93"/>
      <c r="C761" s="93"/>
      <c r="D761" s="93"/>
      <c r="E761" s="93"/>
      <c r="F761" s="105"/>
      <c r="G761" s="93"/>
      <c r="H761" s="93"/>
      <c r="I761" s="93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5.75" customHeight="1">
      <c r="A762" s="93"/>
      <c r="B762" s="93"/>
      <c r="C762" s="93"/>
      <c r="D762" s="93"/>
      <c r="E762" s="93"/>
      <c r="F762" s="105"/>
      <c r="G762" s="93"/>
      <c r="H762" s="93"/>
      <c r="I762" s="93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5.75" customHeight="1">
      <c r="A763" s="93"/>
      <c r="B763" s="93"/>
      <c r="C763" s="93"/>
      <c r="D763" s="93"/>
      <c r="E763" s="93"/>
      <c r="F763" s="105"/>
      <c r="G763" s="93"/>
      <c r="H763" s="93"/>
      <c r="I763" s="93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5.75" customHeight="1">
      <c r="A764" s="93"/>
      <c r="B764" s="93"/>
      <c r="C764" s="93"/>
      <c r="D764" s="93"/>
      <c r="E764" s="93"/>
      <c r="F764" s="105"/>
      <c r="G764" s="93"/>
      <c r="H764" s="93"/>
      <c r="I764" s="93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5.75" customHeight="1">
      <c r="A765" s="93"/>
      <c r="B765" s="93"/>
      <c r="C765" s="93"/>
      <c r="D765" s="93"/>
      <c r="E765" s="93"/>
      <c r="F765" s="105"/>
      <c r="G765" s="93"/>
      <c r="H765" s="93"/>
      <c r="I765" s="93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5.75" customHeight="1">
      <c r="A766" s="93"/>
      <c r="B766" s="93"/>
      <c r="C766" s="93"/>
      <c r="D766" s="93"/>
      <c r="E766" s="93"/>
      <c r="F766" s="105"/>
      <c r="G766" s="93"/>
      <c r="H766" s="93"/>
      <c r="I766" s="93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5.75" customHeight="1">
      <c r="A767" s="93"/>
      <c r="B767" s="93"/>
      <c r="C767" s="93"/>
      <c r="D767" s="93"/>
      <c r="E767" s="93"/>
      <c r="F767" s="105"/>
      <c r="G767" s="93"/>
      <c r="H767" s="93"/>
      <c r="I767" s="93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5.75" customHeight="1">
      <c r="A768" s="93"/>
      <c r="B768" s="93"/>
      <c r="C768" s="93"/>
      <c r="D768" s="93"/>
      <c r="E768" s="93"/>
      <c r="F768" s="105"/>
      <c r="G768" s="93"/>
      <c r="H768" s="93"/>
      <c r="I768" s="93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5.75" customHeight="1">
      <c r="A769" s="93"/>
      <c r="B769" s="93"/>
      <c r="C769" s="93"/>
      <c r="D769" s="93"/>
      <c r="E769" s="93"/>
      <c r="F769" s="105"/>
      <c r="G769" s="93"/>
      <c r="H769" s="93"/>
      <c r="I769" s="93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5.75" customHeight="1">
      <c r="A770" s="93"/>
      <c r="B770" s="93"/>
      <c r="C770" s="93"/>
      <c r="D770" s="93"/>
      <c r="E770" s="93"/>
      <c r="F770" s="105"/>
      <c r="G770" s="93"/>
      <c r="H770" s="93"/>
      <c r="I770" s="93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5.75" customHeight="1">
      <c r="A771" s="93"/>
      <c r="B771" s="93"/>
      <c r="C771" s="93"/>
      <c r="D771" s="93"/>
      <c r="E771" s="93"/>
      <c r="F771" s="105"/>
      <c r="G771" s="93"/>
      <c r="H771" s="93"/>
      <c r="I771" s="93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5.75" customHeight="1">
      <c r="A772" s="93"/>
      <c r="B772" s="93"/>
      <c r="C772" s="93"/>
      <c r="D772" s="93"/>
      <c r="E772" s="93"/>
      <c r="F772" s="105"/>
      <c r="G772" s="93"/>
      <c r="H772" s="93"/>
      <c r="I772" s="93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5.75" customHeight="1">
      <c r="A773" s="93"/>
      <c r="B773" s="93"/>
      <c r="C773" s="93"/>
      <c r="D773" s="93"/>
      <c r="E773" s="93"/>
      <c r="F773" s="105"/>
      <c r="G773" s="93"/>
      <c r="H773" s="93"/>
      <c r="I773" s="93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5.75" customHeight="1">
      <c r="A774" s="93"/>
      <c r="B774" s="93"/>
      <c r="C774" s="93"/>
      <c r="D774" s="93"/>
      <c r="E774" s="93"/>
      <c r="F774" s="105"/>
      <c r="G774" s="93"/>
      <c r="H774" s="93"/>
      <c r="I774" s="93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5.75" customHeight="1">
      <c r="A775" s="93"/>
      <c r="B775" s="93"/>
      <c r="C775" s="93"/>
      <c r="D775" s="93"/>
      <c r="E775" s="93"/>
      <c r="F775" s="105"/>
      <c r="G775" s="93"/>
      <c r="H775" s="93"/>
      <c r="I775" s="93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5.75" customHeight="1">
      <c r="A776" s="93"/>
      <c r="B776" s="93"/>
      <c r="C776" s="93"/>
      <c r="D776" s="93"/>
      <c r="E776" s="93"/>
      <c r="F776" s="105"/>
      <c r="G776" s="93"/>
      <c r="H776" s="93"/>
      <c r="I776" s="93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5.75" customHeight="1">
      <c r="A777" s="93"/>
      <c r="B777" s="93"/>
      <c r="C777" s="93"/>
      <c r="D777" s="93"/>
      <c r="E777" s="93"/>
      <c r="F777" s="105"/>
      <c r="G777" s="93"/>
      <c r="H777" s="93"/>
      <c r="I777" s="93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5.75" customHeight="1">
      <c r="A778" s="93"/>
      <c r="B778" s="93"/>
      <c r="C778" s="93"/>
      <c r="D778" s="93"/>
      <c r="E778" s="93"/>
      <c r="F778" s="105"/>
      <c r="G778" s="93"/>
      <c r="H778" s="93"/>
      <c r="I778" s="93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5.75" customHeight="1">
      <c r="A779" s="93"/>
      <c r="B779" s="93"/>
      <c r="C779" s="93"/>
      <c r="D779" s="93"/>
      <c r="E779" s="93"/>
      <c r="F779" s="105"/>
      <c r="G779" s="93"/>
      <c r="H779" s="93"/>
      <c r="I779" s="93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5.75" customHeight="1">
      <c r="A780" s="93"/>
      <c r="B780" s="93"/>
      <c r="C780" s="93"/>
      <c r="D780" s="93"/>
      <c r="E780" s="93"/>
      <c r="F780" s="105"/>
      <c r="G780" s="93"/>
      <c r="H780" s="93"/>
      <c r="I780" s="93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5.75" customHeight="1">
      <c r="A781" s="93"/>
      <c r="B781" s="93"/>
      <c r="C781" s="93"/>
      <c r="D781" s="93"/>
      <c r="E781" s="93"/>
      <c r="F781" s="105"/>
      <c r="G781" s="93"/>
      <c r="H781" s="93"/>
      <c r="I781" s="93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5.75" customHeight="1">
      <c r="A782" s="93"/>
      <c r="B782" s="93"/>
      <c r="C782" s="93"/>
      <c r="D782" s="93"/>
      <c r="E782" s="93"/>
      <c r="F782" s="105"/>
      <c r="G782" s="93"/>
      <c r="H782" s="93"/>
      <c r="I782" s="93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5.75" customHeight="1">
      <c r="A783" s="93"/>
      <c r="B783" s="93"/>
      <c r="C783" s="93"/>
      <c r="D783" s="93"/>
      <c r="E783" s="93"/>
      <c r="F783" s="105"/>
      <c r="G783" s="93"/>
      <c r="H783" s="93"/>
      <c r="I783" s="93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5.75" customHeight="1">
      <c r="A784" s="93"/>
      <c r="B784" s="93"/>
      <c r="C784" s="93"/>
      <c r="D784" s="93"/>
      <c r="E784" s="93"/>
      <c r="F784" s="105"/>
      <c r="G784" s="93"/>
      <c r="H784" s="93"/>
      <c r="I784" s="93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5.75" customHeight="1">
      <c r="A785" s="93"/>
      <c r="B785" s="93"/>
      <c r="C785" s="93"/>
      <c r="D785" s="93"/>
      <c r="E785" s="93"/>
      <c r="F785" s="105"/>
      <c r="G785" s="93"/>
      <c r="H785" s="93"/>
      <c r="I785" s="93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5.75" customHeight="1">
      <c r="A786" s="93"/>
      <c r="B786" s="93"/>
      <c r="C786" s="93"/>
      <c r="D786" s="93"/>
      <c r="E786" s="93"/>
      <c r="F786" s="105"/>
      <c r="G786" s="93"/>
      <c r="H786" s="93"/>
      <c r="I786" s="93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5.75" customHeight="1">
      <c r="A787" s="93"/>
      <c r="B787" s="93"/>
      <c r="C787" s="93"/>
      <c r="D787" s="93"/>
      <c r="E787" s="93"/>
      <c r="F787" s="105"/>
      <c r="G787" s="93"/>
      <c r="H787" s="93"/>
      <c r="I787" s="93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5.75" customHeight="1">
      <c r="A788" s="93"/>
      <c r="B788" s="93"/>
      <c r="C788" s="93"/>
      <c r="D788" s="93"/>
      <c r="E788" s="93"/>
      <c r="F788" s="105"/>
      <c r="G788" s="93"/>
      <c r="H788" s="93"/>
      <c r="I788" s="93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5.75" customHeight="1">
      <c r="A789" s="93"/>
      <c r="B789" s="93"/>
      <c r="C789" s="93"/>
      <c r="D789" s="93"/>
      <c r="E789" s="93"/>
      <c r="F789" s="105"/>
      <c r="G789" s="93"/>
      <c r="H789" s="93"/>
      <c r="I789" s="93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5.75" customHeight="1">
      <c r="A790" s="93"/>
      <c r="B790" s="93"/>
      <c r="C790" s="93"/>
      <c r="D790" s="93"/>
      <c r="E790" s="93"/>
      <c r="F790" s="105"/>
      <c r="G790" s="93"/>
      <c r="H790" s="93"/>
      <c r="I790" s="93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5.75" customHeight="1">
      <c r="A791" s="93"/>
      <c r="B791" s="93"/>
      <c r="C791" s="93"/>
      <c r="D791" s="93"/>
      <c r="E791" s="93"/>
      <c r="F791" s="105"/>
      <c r="G791" s="93"/>
      <c r="H791" s="93"/>
      <c r="I791" s="93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5.75" customHeight="1">
      <c r="A792" s="93"/>
      <c r="B792" s="93"/>
      <c r="C792" s="93"/>
      <c r="D792" s="93"/>
      <c r="E792" s="93"/>
      <c r="F792" s="105"/>
      <c r="G792" s="93"/>
      <c r="H792" s="93"/>
      <c r="I792" s="93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5.75" customHeight="1">
      <c r="A793" s="93"/>
      <c r="B793" s="93"/>
      <c r="C793" s="93"/>
      <c r="D793" s="93"/>
      <c r="E793" s="93"/>
      <c r="F793" s="105"/>
      <c r="G793" s="93"/>
      <c r="H793" s="93"/>
      <c r="I793" s="93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5.75" customHeight="1">
      <c r="A794" s="93"/>
      <c r="B794" s="93"/>
      <c r="C794" s="93"/>
      <c r="D794" s="93"/>
      <c r="E794" s="93"/>
      <c r="F794" s="105"/>
      <c r="G794" s="93"/>
      <c r="H794" s="93"/>
      <c r="I794" s="93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5.75" customHeight="1">
      <c r="A795" s="93"/>
      <c r="B795" s="93"/>
      <c r="C795" s="93"/>
      <c r="D795" s="93"/>
      <c r="E795" s="93"/>
      <c r="F795" s="105"/>
      <c r="G795" s="93"/>
      <c r="H795" s="93"/>
      <c r="I795" s="93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5.75" customHeight="1">
      <c r="A796" s="93"/>
      <c r="B796" s="93"/>
      <c r="C796" s="93"/>
      <c r="D796" s="93"/>
      <c r="E796" s="93"/>
      <c r="F796" s="105"/>
      <c r="G796" s="93"/>
      <c r="H796" s="93"/>
      <c r="I796" s="93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5.75" customHeight="1">
      <c r="A797" s="93"/>
      <c r="B797" s="93"/>
      <c r="C797" s="93"/>
      <c r="D797" s="93"/>
      <c r="E797" s="93"/>
      <c r="F797" s="105"/>
      <c r="G797" s="93"/>
      <c r="H797" s="93"/>
      <c r="I797" s="93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5.75" customHeight="1">
      <c r="A798" s="93"/>
      <c r="B798" s="93"/>
      <c r="C798" s="93"/>
      <c r="D798" s="93"/>
      <c r="E798" s="93"/>
      <c r="F798" s="105"/>
      <c r="G798" s="93"/>
      <c r="H798" s="93"/>
      <c r="I798" s="93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5.75" customHeight="1">
      <c r="A799" s="93"/>
      <c r="B799" s="93"/>
      <c r="C799" s="93"/>
      <c r="D799" s="93"/>
      <c r="E799" s="93"/>
      <c r="F799" s="105"/>
      <c r="G799" s="93"/>
      <c r="H799" s="93"/>
      <c r="I799" s="93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5.75" customHeight="1">
      <c r="A800" s="93"/>
      <c r="B800" s="93"/>
      <c r="C800" s="93"/>
      <c r="D800" s="93"/>
      <c r="E800" s="93"/>
      <c r="F800" s="105"/>
      <c r="G800" s="93"/>
      <c r="H800" s="93"/>
      <c r="I800" s="93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5.75" customHeight="1">
      <c r="A801" s="93"/>
      <c r="B801" s="93"/>
      <c r="C801" s="93"/>
      <c r="D801" s="93"/>
      <c r="E801" s="93"/>
      <c r="F801" s="105"/>
      <c r="G801" s="93"/>
      <c r="H801" s="93"/>
      <c r="I801" s="93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5.75" customHeight="1">
      <c r="A802" s="93"/>
      <c r="B802" s="93"/>
      <c r="C802" s="93"/>
      <c r="D802" s="93"/>
      <c r="E802" s="93"/>
      <c r="F802" s="105"/>
      <c r="G802" s="93"/>
      <c r="H802" s="93"/>
      <c r="I802" s="93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5.75" customHeight="1">
      <c r="A803" s="93"/>
      <c r="B803" s="93"/>
      <c r="C803" s="93"/>
      <c r="D803" s="93"/>
      <c r="E803" s="93"/>
      <c r="F803" s="105"/>
      <c r="G803" s="93"/>
      <c r="H803" s="93"/>
      <c r="I803" s="93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5.75" customHeight="1">
      <c r="A804" s="93"/>
      <c r="B804" s="93"/>
      <c r="C804" s="93"/>
      <c r="D804" s="93"/>
      <c r="E804" s="93"/>
      <c r="F804" s="105"/>
      <c r="G804" s="93"/>
      <c r="H804" s="93"/>
      <c r="I804" s="93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5.75" customHeight="1">
      <c r="A805" s="93"/>
      <c r="B805" s="93"/>
      <c r="C805" s="93"/>
      <c r="D805" s="93"/>
      <c r="E805" s="93"/>
      <c r="F805" s="105"/>
      <c r="G805" s="93"/>
      <c r="H805" s="93"/>
      <c r="I805" s="93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5.75" customHeight="1">
      <c r="A806" s="93"/>
      <c r="B806" s="93"/>
      <c r="C806" s="93"/>
      <c r="D806" s="93"/>
      <c r="E806" s="93"/>
      <c r="F806" s="105"/>
      <c r="G806" s="93"/>
      <c r="H806" s="93"/>
      <c r="I806" s="93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5.75" customHeight="1">
      <c r="A807" s="93"/>
      <c r="B807" s="93"/>
      <c r="C807" s="93"/>
      <c r="D807" s="93"/>
      <c r="E807" s="93"/>
      <c r="F807" s="105"/>
      <c r="G807" s="93"/>
      <c r="H807" s="93"/>
      <c r="I807" s="93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5.75" customHeight="1">
      <c r="A808" s="93"/>
      <c r="B808" s="93"/>
      <c r="C808" s="93"/>
      <c r="D808" s="93"/>
      <c r="E808" s="93"/>
      <c r="F808" s="105"/>
      <c r="G808" s="93"/>
      <c r="H808" s="93"/>
      <c r="I808" s="93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5.75" customHeight="1">
      <c r="A809" s="93"/>
      <c r="B809" s="93"/>
      <c r="C809" s="93"/>
      <c r="D809" s="93"/>
      <c r="E809" s="93"/>
      <c r="F809" s="105"/>
      <c r="G809" s="93"/>
      <c r="H809" s="93"/>
      <c r="I809" s="93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5.75" customHeight="1">
      <c r="A810" s="93"/>
      <c r="B810" s="93"/>
      <c r="C810" s="93"/>
      <c r="D810" s="93"/>
      <c r="E810" s="93"/>
      <c r="F810" s="105"/>
      <c r="G810" s="93"/>
      <c r="H810" s="93"/>
      <c r="I810" s="93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5.75" customHeight="1">
      <c r="A811" s="93"/>
      <c r="B811" s="93"/>
      <c r="C811" s="93"/>
      <c r="D811" s="93"/>
      <c r="E811" s="93"/>
      <c r="F811" s="105"/>
      <c r="G811" s="93"/>
      <c r="H811" s="93"/>
      <c r="I811" s="93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5.75" customHeight="1">
      <c r="A812" s="93"/>
      <c r="B812" s="93"/>
      <c r="C812" s="93"/>
      <c r="D812" s="93"/>
      <c r="E812" s="93"/>
      <c r="F812" s="105"/>
      <c r="G812" s="93"/>
      <c r="H812" s="93"/>
      <c r="I812" s="93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5.75" customHeight="1">
      <c r="A813" s="93"/>
      <c r="B813" s="93"/>
      <c r="C813" s="93"/>
      <c r="D813" s="93"/>
      <c r="E813" s="93"/>
      <c r="F813" s="105"/>
      <c r="G813" s="93"/>
      <c r="H813" s="93"/>
      <c r="I813" s="93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5.75" customHeight="1">
      <c r="A814" s="93"/>
      <c r="B814" s="93"/>
      <c r="C814" s="93"/>
      <c r="D814" s="93"/>
      <c r="E814" s="93"/>
      <c r="F814" s="105"/>
      <c r="G814" s="93"/>
      <c r="H814" s="93"/>
      <c r="I814" s="93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5.75" customHeight="1">
      <c r="A815" s="93"/>
      <c r="B815" s="93"/>
      <c r="C815" s="93"/>
      <c r="D815" s="93"/>
      <c r="E815" s="93"/>
      <c r="F815" s="105"/>
      <c r="G815" s="93"/>
      <c r="H815" s="93"/>
      <c r="I815" s="93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5.75" customHeight="1">
      <c r="A816" s="93"/>
      <c r="B816" s="93"/>
      <c r="C816" s="93"/>
      <c r="D816" s="93"/>
      <c r="E816" s="93"/>
      <c r="F816" s="105"/>
      <c r="G816" s="93"/>
      <c r="H816" s="93"/>
      <c r="I816" s="93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5.75" customHeight="1">
      <c r="A817" s="93"/>
      <c r="B817" s="93"/>
      <c r="C817" s="93"/>
      <c r="D817" s="93"/>
      <c r="E817" s="93"/>
      <c r="F817" s="105"/>
      <c r="G817" s="93"/>
      <c r="H817" s="93"/>
      <c r="I817" s="93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5.75" customHeight="1">
      <c r="A818" s="93"/>
      <c r="B818" s="93"/>
      <c r="C818" s="93"/>
      <c r="D818" s="93"/>
      <c r="E818" s="93"/>
      <c r="F818" s="105"/>
      <c r="G818" s="93"/>
      <c r="H818" s="93"/>
      <c r="I818" s="93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5.75" customHeight="1">
      <c r="A819" s="93"/>
      <c r="B819" s="93"/>
      <c r="C819" s="93"/>
      <c r="D819" s="93"/>
      <c r="E819" s="93"/>
      <c r="F819" s="105"/>
      <c r="G819" s="93"/>
      <c r="H819" s="93"/>
      <c r="I819" s="93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5.75" customHeight="1">
      <c r="A820" s="93"/>
      <c r="B820" s="93"/>
      <c r="C820" s="93"/>
      <c r="D820" s="93"/>
      <c r="E820" s="93"/>
      <c r="F820" s="105"/>
      <c r="G820" s="93"/>
      <c r="H820" s="93"/>
      <c r="I820" s="93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5.75" customHeight="1">
      <c r="A821" s="93"/>
      <c r="B821" s="93"/>
      <c r="C821" s="93"/>
      <c r="D821" s="93"/>
      <c r="E821" s="93"/>
      <c r="F821" s="105"/>
      <c r="G821" s="93"/>
      <c r="H821" s="93"/>
      <c r="I821" s="93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5.75" customHeight="1">
      <c r="A822" s="93"/>
      <c r="B822" s="93"/>
      <c r="C822" s="93"/>
      <c r="D822" s="93"/>
      <c r="E822" s="93"/>
      <c r="F822" s="105"/>
      <c r="G822" s="93"/>
      <c r="H822" s="93"/>
      <c r="I822" s="93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5.75" customHeight="1">
      <c r="A823" s="93"/>
      <c r="B823" s="93"/>
      <c r="C823" s="93"/>
      <c r="D823" s="93"/>
      <c r="E823" s="93"/>
      <c r="F823" s="105"/>
      <c r="G823" s="93"/>
      <c r="H823" s="93"/>
      <c r="I823" s="93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5.75" customHeight="1">
      <c r="A824" s="93"/>
      <c r="B824" s="93"/>
      <c r="C824" s="93"/>
      <c r="D824" s="93"/>
      <c r="E824" s="93"/>
      <c r="F824" s="105"/>
      <c r="G824" s="93"/>
      <c r="H824" s="93"/>
      <c r="I824" s="93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5.75" customHeight="1">
      <c r="A825" s="93"/>
      <c r="B825" s="93"/>
      <c r="C825" s="93"/>
      <c r="D825" s="93"/>
      <c r="E825" s="93"/>
      <c r="F825" s="105"/>
      <c r="G825" s="93"/>
      <c r="H825" s="93"/>
      <c r="I825" s="93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5.75" customHeight="1">
      <c r="A826" s="93"/>
      <c r="B826" s="93"/>
      <c r="C826" s="93"/>
      <c r="D826" s="93"/>
      <c r="E826" s="93"/>
      <c r="F826" s="105"/>
      <c r="G826" s="93"/>
      <c r="H826" s="93"/>
      <c r="I826" s="93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5.75" customHeight="1">
      <c r="A827" s="93"/>
      <c r="B827" s="93"/>
      <c r="C827" s="93"/>
      <c r="D827" s="93"/>
      <c r="E827" s="93"/>
      <c r="F827" s="105"/>
      <c r="G827" s="93"/>
      <c r="H827" s="93"/>
      <c r="I827" s="93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5.75" customHeight="1">
      <c r="A828" s="93"/>
      <c r="B828" s="93"/>
      <c r="C828" s="93"/>
      <c r="D828" s="93"/>
      <c r="E828" s="93"/>
      <c r="F828" s="105"/>
      <c r="G828" s="93"/>
      <c r="H828" s="93"/>
      <c r="I828" s="93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5.75" customHeight="1">
      <c r="A829" s="93"/>
      <c r="B829" s="93"/>
      <c r="C829" s="93"/>
      <c r="D829" s="93"/>
      <c r="E829" s="93"/>
      <c r="F829" s="105"/>
      <c r="G829" s="93"/>
      <c r="H829" s="93"/>
      <c r="I829" s="93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5.75" customHeight="1">
      <c r="A830" s="93"/>
      <c r="B830" s="93"/>
      <c r="C830" s="93"/>
      <c r="D830" s="93"/>
      <c r="E830" s="93"/>
      <c r="F830" s="105"/>
      <c r="G830" s="93"/>
      <c r="H830" s="93"/>
      <c r="I830" s="93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5.75" customHeight="1">
      <c r="A831" s="93"/>
      <c r="B831" s="93"/>
      <c r="C831" s="93"/>
      <c r="D831" s="93"/>
      <c r="E831" s="93"/>
      <c r="F831" s="105"/>
      <c r="G831" s="93"/>
      <c r="H831" s="93"/>
      <c r="I831" s="93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5.75" customHeight="1">
      <c r="A832" s="93"/>
      <c r="B832" s="93"/>
      <c r="C832" s="93"/>
      <c r="D832" s="93"/>
      <c r="E832" s="93"/>
      <c r="F832" s="105"/>
      <c r="G832" s="93"/>
      <c r="H832" s="93"/>
      <c r="I832" s="93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5.75" customHeight="1">
      <c r="A833" s="93"/>
      <c r="B833" s="93"/>
      <c r="C833" s="93"/>
      <c r="D833" s="93"/>
      <c r="E833" s="93"/>
      <c r="F833" s="105"/>
      <c r="G833" s="93"/>
      <c r="H833" s="93"/>
      <c r="I833" s="93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5.75" customHeight="1">
      <c r="A834" s="93"/>
      <c r="B834" s="93"/>
      <c r="C834" s="93"/>
      <c r="D834" s="93"/>
      <c r="E834" s="93"/>
      <c r="F834" s="105"/>
      <c r="G834" s="93"/>
      <c r="H834" s="93"/>
      <c r="I834" s="93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5.75" customHeight="1">
      <c r="A835" s="93"/>
      <c r="B835" s="93"/>
      <c r="C835" s="93"/>
      <c r="D835" s="93"/>
      <c r="E835" s="93"/>
      <c r="F835" s="105"/>
      <c r="G835" s="93"/>
      <c r="H835" s="93"/>
      <c r="I835" s="93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5.75" customHeight="1">
      <c r="A836" s="93"/>
      <c r="B836" s="93"/>
      <c r="C836" s="93"/>
      <c r="D836" s="93"/>
      <c r="E836" s="93"/>
      <c r="F836" s="105"/>
      <c r="G836" s="93"/>
      <c r="H836" s="93"/>
      <c r="I836" s="93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5.75" customHeight="1">
      <c r="A837" s="93"/>
      <c r="B837" s="93"/>
      <c r="C837" s="93"/>
      <c r="D837" s="93"/>
      <c r="E837" s="93"/>
      <c r="F837" s="105"/>
      <c r="G837" s="93"/>
      <c r="H837" s="93"/>
      <c r="I837" s="93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5.75" customHeight="1">
      <c r="A838" s="93"/>
      <c r="B838" s="93"/>
      <c r="C838" s="93"/>
      <c r="D838" s="93"/>
      <c r="E838" s="93"/>
      <c r="F838" s="105"/>
      <c r="G838" s="93"/>
      <c r="H838" s="93"/>
      <c r="I838" s="93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5.75" customHeight="1">
      <c r="A839" s="93"/>
      <c r="B839" s="93"/>
      <c r="C839" s="93"/>
      <c r="D839" s="93"/>
      <c r="E839" s="93"/>
      <c r="F839" s="105"/>
      <c r="G839" s="93"/>
      <c r="H839" s="93"/>
      <c r="I839" s="93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5.75" customHeight="1">
      <c r="A840" s="93"/>
      <c r="B840" s="93"/>
      <c r="C840" s="93"/>
      <c r="D840" s="93"/>
      <c r="E840" s="93"/>
      <c r="F840" s="105"/>
      <c r="G840" s="93"/>
      <c r="H840" s="93"/>
      <c r="I840" s="93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5.75" customHeight="1">
      <c r="A841" s="93"/>
      <c r="B841" s="93"/>
      <c r="C841" s="93"/>
      <c r="D841" s="93"/>
      <c r="E841" s="93"/>
      <c r="F841" s="105"/>
      <c r="G841" s="93"/>
      <c r="H841" s="93"/>
      <c r="I841" s="93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5.75" customHeight="1">
      <c r="A842" s="93"/>
      <c r="B842" s="93"/>
      <c r="C842" s="93"/>
      <c r="D842" s="93"/>
      <c r="E842" s="93"/>
      <c r="F842" s="105"/>
      <c r="G842" s="93"/>
      <c r="H842" s="93"/>
      <c r="I842" s="93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5.75" customHeight="1">
      <c r="A843" s="93"/>
      <c r="B843" s="93"/>
      <c r="C843" s="93"/>
      <c r="D843" s="93"/>
      <c r="E843" s="93"/>
      <c r="F843" s="105"/>
      <c r="G843" s="93"/>
      <c r="H843" s="93"/>
      <c r="I843" s="93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5.75" customHeight="1">
      <c r="A844" s="93"/>
      <c r="B844" s="93"/>
      <c r="C844" s="93"/>
      <c r="D844" s="93"/>
      <c r="E844" s="93"/>
      <c r="F844" s="105"/>
      <c r="G844" s="93"/>
      <c r="H844" s="93"/>
      <c r="I844" s="93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5.75" customHeight="1">
      <c r="A845" s="93"/>
      <c r="B845" s="93"/>
      <c r="C845" s="93"/>
      <c r="D845" s="93"/>
      <c r="E845" s="93"/>
      <c r="F845" s="105"/>
      <c r="G845" s="93"/>
      <c r="H845" s="93"/>
      <c r="I845" s="93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5.75" customHeight="1">
      <c r="A846" s="93"/>
      <c r="B846" s="93"/>
      <c r="C846" s="93"/>
      <c r="D846" s="93"/>
      <c r="E846" s="93"/>
      <c r="F846" s="105"/>
      <c r="G846" s="93"/>
      <c r="H846" s="93"/>
      <c r="I846" s="93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5.75" customHeight="1">
      <c r="A847" s="93"/>
      <c r="B847" s="93"/>
      <c r="C847" s="93"/>
      <c r="D847" s="93"/>
      <c r="E847" s="93"/>
      <c r="F847" s="105"/>
      <c r="G847" s="93"/>
      <c r="H847" s="93"/>
      <c r="I847" s="93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5.75" customHeight="1">
      <c r="A848" s="93"/>
      <c r="B848" s="93"/>
      <c r="C848" s="93"/>
      <c r="D848" s="93"/>
      <c r="E848" s="93"/>
      <c r="F848" s="105"/>
      <c r="G848" s="93"/>
      <c r="H848" s="93"/>
      <c r="I848" s="93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5.75" customHeight="1">
      <c r="A849" s="93"/>
      <c r="B849" s="93"/>
      <c r="C849" s="93"/>
      <c r="D849" s="93"/>
      <c r="E849" s="93"/>
      <c r="F849" s="105"/>
      <c r="G849" s="93"/>
      <c r="H849" s="93"/>
      <c r="I849" s="93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5.75" customHeight="1">
      <c r="A850" s="93"/>
      <c r="B850" s="93"/>
      <c r="C850" s="93"/>
      <c r="D850" s="93"/>
      <c r="E850" s="93"/>
      <c r="F850" s="105"/>
      <c r="G850" s="93"/>
      <c r="H850" s="93"/>
      <c r="I850" s="93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5.75" customHeight="1">
      <c r="A851" s="93"/>
      <c r="B851" s="93"/>
      <c r="C851" s="93"/>
      <c r="D851" s="93"/>
      <c r="E851" s="93"/>
      <c r="F851" s="105"/>
      <c r="G851" s="93"/>
      <c r="H851" s="93"/>
      <c r="I851" s="93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5.75" customHeight="1">
      <c r="A852" s="93"/>
      <c r="B852" s="93"/>
      <c r="C852" s="93"/>
      <c r="D852" s="93"/>
      <c r="E852" s="93"/>
      <c r="F852" s="105"/>
      <c r="G852" s="93"/>
      <c r="H852" s="93"/>
      <c r="I852" s="93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5.75" customHeight="1">
      <c r="A853" s="93"/>
      <c r="B853" s="93"/>
      <c r="C853" s="93"/>
      <c r="D853" s="93"/>
      <c r="E853" s="93"/>
      <c r="F853" s="105"/>
      <c r="G853" s="93"/>
      <c r="H853" s="93"/>
      <c r="I853" s="93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5.75" customHeight="1">
      <c r="A854" s="93"/>
      <c r="B854" s="93"/>
      <c r="C854" s="93"/>
      <c r="D854" s="93"/>
      <c r="E854" s="93"/>
      <c r="F854" s="105"/>
      <c r="G854" s="93"/>
      <c r="H854" s="93"/>
      <c r="I854" s="93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5.75" customHeight="1">
      <c r="A855" s="93"/>
      <c r="B855" s="93"/>
      <c r="C855" s="93"/>
      <c r="D855" s="93"/>
      <c r="E855" s="93"/>
      <c r="F855" s="105"/>
      <c r="G855" s="93"/>
      <c r="H855" s="93"/>
      <c r="I855" s="93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5.75" customHeight="1">
      <c r="A856" s="93"/>
      <c r="B856" s="93"/>
      <c r="C856" s="93"/>
      <c r="D856" s="93"/>
      <c r="E856" s="93"/>
      <c r="F856" s="105"/>
      <c r="G856" s="93"/>
      <c r="H856" s="93"/>
      <c r="I856" s="93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5.75" customHeight="1">
      <c r="A857" s="93"/>
      <c r="B857" s="93"/>
      <c r="C857" s="93"/>
      <c r="D857" s="93"/>
      <c r="E857" s="93"/>
      <c r="F857" s="105"/>
      <c r="G857" s="93"/>
      <c r="H857" s="93"/>
      <c r="I857" s="93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5.75" customHeight="1">
      <c r="A858" s="93"/>
      <c r="B858" s="93"/>
      <c r="C858" s="93"/>
      <c r="D858" s="93"/>
      <c r="E858" s="93"/>
      <c r="F858" s="105"/>
      <c r="G858" s="93"/>
      <c r="H858" s="93"/>
      <c r="I858" s="93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5.75" customHeight="1">
      <c r="A859" s="93"/>
      <c r="B859" s="93"/>
      <c r="C859" s="93"/>
      <c r="D859" s="93"/>
      <c r="E859" s="93"/>
      <c r="F859" s="105"/>
      <c r="G859" s="93"/>
      <c r="H859" s="93"/>
      <c r="I859" s="93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5.75" customHeight="1">
      <c r="A860" s="93"/>
      <c r="B860" s="93"/>
      <c r="C860" s="93"/>
      <c r="D860" s="93"/>
      <c r="E860" s="93"/>
      <c r="F860" s="105"/>
      <c r="G860" s="93"/>
      <c r="H860" s="93"/>
      <c r="I860" s="93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5.75" customHeight="1">
      <c r="A861" s="93"/>
      <c r="B861" s="93"/>
      <c r="C861" s="93"/>
      <c r="D861" s="93"/>
      <c r="E861" s="93"/>
      <c r="F861" s="105"/>
      <c r="G861" s="93"/>
      <c r="H861" s="93"/>
      <c r="I861" s="93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5.75" customHeight="1">
      <c r="A862" s="93"/>
      <c r="B862" s="93"/>
      <c r="C862" s="93"/>
      <c r="D862" s="93"/>
      <c r="E862" s="93"/>
      <c r="F862" s="105"/>
      <c r="G862" s="93"/>
      <c r="H862" s="93"/>
      <c r="I862" s="93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5.75" customHeight="1">
      <c r="A863" s="93"/>
      <c r="B863" s="93"/>
      <c r="C863" s="93"/>
      <c r="D863" s="93"/>
      <c r="E863" s="93"/>
      <c r="F863" s="105"/>
      <c r="G863" s="93"/>
      <c r="H863" s="93"/>
      <c r="I863" s="93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5.75" customHeight="1">
      <c r="A864" s="93"/>
      <c r="B864" s="93"/>
      <c r="C864" s="93"/>
      <c r="D864" s="93"/>
      <c r="E864" s="93"/>
      <c r="F864" s="105"/>
      <c r="G864" s="93"/>
      <c r="H864" s="93"/>
      <c r="I864" s="93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5.75" customHeight="1">
      <c r="A865" s="93"/>
      <c r="B865" s="93"/>
      <c r="C865" s="93"/>
      <c r="D865" s="93"/>
      <c r="E865" s="93"/>
      <c r="F865" s="105"/>
      <c r="G865" s="93"/>
      <c r="H865" s="93"/>
      <c r="I865" s="93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5.75" customHeight="1">
      <c r="A866" s="93"/>
      <c r="B866" s="93"/>
      <c r="C866" s="93"/>
      <c r="D866" s="93"/>
      <c r="E866" s="93"/>
      <c r="F866" s="105"/>
      <c r="G866" s="93"/>
      <c r="H866" s="93"/>
      <c r="I866" s="93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5.75" customHeight="1">
      <c r="A867" s="93"/>
      <c r="B867" s="93"/>
      <c r="C867" s="93"/>
      <c r="D867" s="93"/>
      <c r="E867" s="93"/>
      <c r="F867" s="105"/>
      <c r="G867" s="93"/>
      <c r="H867" s="93"/>
      <c r="I867" s="93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93"/>
      <c r="B868" s="93"/>
      <c r="C868" s="93"/>
      <c r="D868" s="93"/>
      <c r="E868" s="93"/>
      <c r="F868" s="105"/>
      <c r="G868" s="93"/>
      <c r="H868" s="93"/>
      <c r="I868" s="93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93"/>
      <c r="B869" s="93"/>
      <c r="C869" s="93"/>
      <c r="D869" s="93"/>
      <c r="E869" s="93"/>
      <c r="F869" s="105"/>
      <c r="G869" s="93"/>
      <c r="H869" s="93"/>
      <c r="I869" s="93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93"/>
      <c r="B870" s="93"/>
      <c r="C870" s="93"/>
      <c r="D870" s="93"/>
      <c r="E870" s="93"/>
      <c r="F870" s="105"/>
      <c r="G870" s="93"/>
      <c r="H870" s="93"/>
      <c r="I870" s="93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93"/>
      <c r="B871" s="93"/>
      <c r="C871" s="93"/>
      <c r="D871" s="93"/>
      <c r="E871" s="93"/>
      <c r="F871" s="105"/>
      <c r="G871" s="93"/>
      <c r="H871" s="93"/>
      <c r="I871" s="93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5.75" customHeight="1">
      <c r="A872" s="93"/>
      <c r="B872" s="93"/>
      <c r="C872" s="93"/>
      <c r="D872" s="93"/>
      <c r="E872" s="93"/>
      <c r="F872" s="105"/>
      <c r="G872" s="93"/>
      <c r="H872" s="93"/>
      <c r="I872" s="93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5.75" customHeight="1">
      <c r="A873" s="93"/>
      <c r="B873" s="93"/>
      <c r="C873" s="93"/>
      <c r="D873" s="93"/>
      <c r="E873" s="93"/>
      <c r="F873" s="105"/>
      <c r="G873" s="93"/>
      <c r="H873" s="93"/>
      <c r="I873" s="93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5.75" customHeight="1">
      <c r="A874" s="93"/>
      <c r="B874" s="93"/>
      <c r="C874" s="93"/>
      <c r="D874" s="93"/>
      <c r="E874" s="93"/>
      <c r="F874" s="105"/>
      <c r="G874" s="93"/>
      <c r="H874" s="93"/>
      <c r="I874" s="93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5.75" customHeight="1">
      <c r="A875" s="93"/>
      <c r="B875" s="93"/>
      <c r="C875" s="93"/>
      <c r="D875" s="93"/>
      <c r="E875" s="93"/>
      <c r="F875" s="105"/>
      <c r="G875" s="93"/>
      <c r="H875" s="93"/>
      <c r="I875" s="93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5.75" customHeight="1">
      <c r="A876" s="93"/>
      <c r="B876" s="93"/>
      <c r="C876" s="93"/>
      <c r="D876" s="93"/>
      <c r="E876" s="93"/>
      <c r="F876" s="105"/>
      <c r="G876" s="93"/>
      <c r="H876" s="93"/>
      <c r="I876" s="93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5.75" customHeight="1">
      <c r="A877" s="93"/>
      <c r="B877" s="93"/>
      <c r="C877" s="93"/>
      <c r="D877" s="93"/>
      <c r="E877" s="93"/>
      <c r="F877" s="105"/>
      <c r="G877" s="93"/>
      <c r="H877" s="93"/>
      <c r="I877" s="93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5.75" customHeight="1">
      <c r="A878" s="93"/>
      <c r="B878" s="93"/>
      <c r="C878" s="93"/>
      <c r="D878" s="93"/>
      <c r="E878" s="93"/>
      <c r="F878" s="105"/>
      <c r="G878" s="93"/>
      <c r="H878" s="93"/>
      <c r="I878" s="93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5.75" customHeight="1">
      <c r="A879" s="93"/>
      <c r="B879" s="93"/>
      <c r="C879" s="93"/>
      <c r="D879" s="93"/>
      <c r="E879" s="93"/>
      <c r="F879" s="105"/>
      <c r="G879" s="93"/>
      <c r="H879" s="93"/>
      <c r="I879" s="93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5.75" customHeight="1">
      <c r="A880" s="93"/>
      <c r="B880" s="93"/>
      <c r="C880" s="93"/>
      <c r="D880" s="93"/>
      <c r="E880" s="93"/>
      <c r="F880" s="105"/>
      <c r="G880" s="93"/>
      <c r="H880" s="93"/>
      <c r="I880" s="93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5.75" customHeight="1">
      <c r="A881" s="93"/>
      <c r="B881" s="93"/>
      <c r="C881" s="93"/>
      <c r="D881" s="93"/>
      <c r="E881" s="93"/>
      <c r="F881" s="105"/>
      <c r="G881" s="93"/>
      <c r="H881" s="93"/>
      <c r="I881" s="93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5.75" customHeight="1">
      <c r="A882" s="93"/>
      <c r="B882" s="93"/>
      <c r="C882" s="93"/>
      <c r="D882" s="93"/>
      <c r="E882" s="93"/>
      <c r="F882" s="105"/>
      <c r="G882" s="93"/>
      <c r="H882" s="93"/>
      <c r="I882" s="93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5.75" customHeight="1">
      <c r="A883" s="93"/>
      <c r="B883" s="93"/>
      <c r="C883" s="93"/>
      <c r="D883" s="93"/>
      <c r="E883" s="93"/>
      <c r="F883" s="105"/>
      <c r="G883" s="93"/>
      <c r="H883" s="93"/>
      <c r="I883" s="93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5.75" customHeight="1">
      <c r="A884" s="93"/>
      <c r="B884" s="93"/>
      <c r="C884" s="93"/>
      <c r="D884" s="93"/>
      <c r="E884" s="93"/>
      <c r="F884" s="105"/>
      <c r="G884" s="93"/>
      <c r="H884" s="93"/>
      <c r="I884" s="93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5.75" customHeight="1">
      <c r="A885" s="93"/>
      <c r="B885" s="93"/>
      <c r="C885" s="93"/>
      <c r="D885" s="93"/>
      <c r="E885" s="93"/>
      <c r="F885" s="105"/>
      <c r="G885" s="93"/>
      <c r="H885" s="93"/>
      <c r="I885" s="93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5.75" customHeight="1">
      <c r="A886" s="93"/>
      <c r="B886" s="93"/>
      <c r="C886" s="93"/>
      <c r="D886" s="93"/>
      <c r="E886" s="93"/>
      <c r="F886" s="105"/>
      <c r="G886" s="93"/>
      <c r="H886" s="93"/>
      <c r="I886" s="93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5.75" customHeight="1">
      <c r="A887" s="93"/>
      <c r="B887" s="93"/>
      <c r="C887" s="93"/>
      <c r="D887" s="93"/>
      <c r="E887" s="93"/>
      <c r="F887" s="105"/>
      <c r="G887" s="93"/>
      <c r="H887" s="93"/>
      <c r="I887" s="93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5.75" customHeight="1">
      <c r="A888" s="93"/>
      <c r="B888" s="93"/>
      <c r="C888" s="93"/>
      <c r="D888" s="93"/>
      <c r="E888" s="93"/>
      <c r="F888" s="105"/>
      <c r="G888" s="93"/>
      <c r="H888" s="93"/>
      <c r="I888" s="93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5.75" customHeight="1">
      <c r="A889" s="93"/>
      <c r="B889" s="93"/>
      <c r="C889" s="93"/>
      <c r="D889" s="93"/>
      <c r="E889" s="93"/>
      <c r="F889" s="105"/>
      <c r="G889" s="93"/>
      <c r="H889" s="93"/>
      <c r="I889" s="93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5.75" customHeight="1">
      <c r="A890" s="93"/>
      <c r="B890" s="93"/>
      <c r="C890" s="93"/>
      <c r="D890" s="93"/>
      <c r="E890" s="93"/>
      <c r="F890" s="105"/>
      <c r="G890" s="93"/>
      <c r="H890" s="93"/>
      <c r="I890" s="93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5.75" customHeight="1">
      <c r="A891" s="93"/>
      <c r="B891" s="93"/>
      <c r="C891" s="93"/>
      <c r="D891" s="93"/>
      <c r="E891" s="93"/>
      <c r="F891" s="105"/>
      <c r="G891" s="93"/>
      <c r="H891" s="93"/>
      <c r="I891" s="93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5.75" customHeight="1">
      <c r="A892" s="93"/>
      <c r="B892" s="93"/>
      <c r="C892" s="93"/>
      <c r="D892" s="93"/>
      <c r="E892" s="93"/>
      <c r="F892" s="105"/>
      <c r="G892" s="93"/>
      <c r="H892" s="93"/>
      <c r="I892" s="93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5.75" customHeight="1">
      <c r="A893" s="93"/>
      <c r="B893" s="93"/>
      <c r="C893" s="93"/>
      <c r="D893" s="93"/>
      <c r="E893" s="93"/>
      <c r="F893" s="105"/>
      <c r="G893" s="93"/>
      <c r="H893" s="93"/>
      <c r="I893" s="93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5.75" customHeight="1">
      <c r="A894" s="93"/>
      <c r="B894" s="93"/>
      <c r="C894" s="93"/>
      <c r="D894" s="93"/>
      <c r="E894" s="93"/>
      <c r="F894" s="105"/>
      <c r="G894" s="93"/>
      <c r="H894" s="93"/>
      <c r="I894" s="93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5.75" customHeight="1">
      <c r="A895" s="93"/>
      <c r="B895" s="93"/>
      <c r="C895" s="93"/>
      <c r="D895" s="93"/>
      <c r="E895" s="93"/>
      <c r="F895" s="105"/>
      <c r="G895" s="93"/>
      <c r="H895" s="93"/>
      <c r="I895" s="93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5.75" customHeight="1">
      <c r="A896" s="93"/>
      <c r="B896" s="93"/>
      <c r="C896" s="93"/>
      <c r="D896" s="93"/>
      <c r="E896" s="93"/>
      <c r="F896" s="105"/>
      <c r="G896" s="93"/>
      <c r="H896" s="93"/>
      <c r="I896" s="93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5.75" customHeight="1">
      <c r="A897" s="93"/>
      <c r="B897" s="93"/>
      <c r="C897" s="93"/>
      <c r="D897" s="93"/>
      <c r="E897" s="93"/>
      <c r="F897" s="105"/>
      <c r="G897" s="93"/>
      <c r="H897" s="93"/>
      <c r="I897" s="93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5.75" customHeight="1">
      <c r="A898" s="93"/>
      <c r="B898" s="93"/>
      <c r="C898" s="93"/>
      <c r="D898" s="93"/>
      <c r="E898" s="93"/>
      <c r="F898" s="105"/>
      <c r="G898" s="93"/>
      <c r="H898" s="93"/>
      <c r="I898" s="93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5.75" customHeight="1">
      <c r="A899" s="93"/>
      <c r="B899" s="93"/>
      <c r="C899" s="93"/>
      <c r="D899" s="93"/>
      <c r="E899" s="93"/>
      <c r="F899" s="105"/>
      <c r="G899" s="93"/>
      <c r="H899" s="93"/>
      <c r="I899" s="93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5.75" customHeight="1">
      <c r="A900" s="93"/>
      <c r="B900" s="93"/>
      <c r="C900" s="93"/>
      <c r="D900" s="93"/>
      <c r="E900" s="93"/>
      <c r="F900" s="105"/>
      <c r="G900" s="93"/>
      <c r="H900" s="93"/>
      <c r="I900" s="93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5.75" customHeight="1">
      <c r="A901" s="93"/>
      <c r="B901" s="93"/>
      <c r="C901" s="93"/>
      <c r="D901" s="93"/>
      <c r="E901" s="93"/>
      <c r="F901" s="105"/>
      <c r="G901" s="93"/>
      <c r="H901" s="93"/>
      <c r="I901" s="93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5.75" customHeight="1">
      <c r="A902" s="93"/>
      <c r="B902" s="93"/>
      <c r="C902" s="93"/>
      <c r="D902" s="93"/>
      <c r="E902" s="93"/>
      <c r="F902" s="105"/>
      <c r="G902" s="93"/>
      <c r="H902" s="93"/>
      <c r="I902" s="93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5.75" customHeight="1">
      <c r="A903" s="93"/>
      <c r="B903" s="93"/>
      <c r="C903" s="93"/>
      <c r="D903" s="93"/>
      <c r="E903" s="93"/>
      <c r="F903" s="105"/>
      <c r="G903" s="93"/>
      <c r="H903" s="93"/>
      <c r="I903" s="93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5.75" customHeight="1">
      <c r="A904" s="93"/>
      <c r="B904" s="93"/>
      <c r="C904" s="93"/>
      <c r="D904" s="93"/>
      <c r="E904" s="93"/>
      <c r="F904" s="105"/>
      <c r="G904" s="93"/>
      <c r="H904" s="93"/>
      <c r="I904" s="93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5.75" customHeight="1">
      <c r="A905" s="93"/>
      <c r="B905" s="93"/>
      <c r="C905" s="93"/>
      <c r="D905" s="93"/>
      <c r="E905" s="93"/>
      <c r="F905" s="105"/>
      <c r="G905" s="93"/>
      <c r="H905" s="93"/>
      <c r="I905" s="93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5.75" customHeight="1">
      <c r="A906" s="93"/>
      <c r="B906" s="93"/>
      <c r="C906" s="93"/>
      <c r="D906" s="93"/>
      <c r="E906" s="93"/>
      <c r="F906" s="105"/>
      <c r="G906" s="93"/>
      <c r="H906" s="93"/>
      <c r="I906" s="93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5.75" customHeight="1">
      <c r="A907" s="93"/>
      <c r="B907" s="93"/>
      <c r="C907" s="93"/>
      <c r="D907" s="93"/>
      <c r="E907" s="93"/>
      <c r="F907" s="105"/>
      <c r="G907" s="93"/>
      <c r="H907" s="93"/>
      <c r="I907" s="93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5.75" customHeight="1">
      <c r="A908" s="93"/>
      <c r="B908" s="93"/>
      <c r="C908" s="93"/>
      <c r="D908" s="93"/>
      <c r="E908" s="93"/>
      <c r="F908" s="105"/>
      <c r="G908" s="93"/>
      <c r="H908" s="93"/>
      <c r="I908" s="93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5.75" customHeight="1">
      <c r="A909" s="93"/>
      <c r="B909" s="93"/>
      <c r="C909" s="93"/>
      <c r="D909" s="93"/>
      <c r="E909" s="93"/>
      <c r="F909" s="105"/>
      <c r="G909" s="93"/>
      <c r="H909" s="93"/>
      <c r="I909" s="93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5.75" customHeight="1">
      <c r="A910" s="93"/>
      <c r="B910" s="93"/>
      <c r="C910" s="93"/>
      <c r="D910" s="93"/>
      <c r="E910" s="93"/>
      <c r="F910" s="105"/>
      <c r="G910" s="93"/>
      <c r="H910" s="93"/>
      <c r="I910" s="93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5.75" customHeight="1">
      <c r="A911" s="93"/>
      <c r="B911" s="93"/>
      <c r="C911" s="93"/>
      <c r="D911" s="93"/>
      <c r="E911" s="93"/>
      <c r="F911" s="105"/>
      <c r="G911" s="93"/>
      <c r="H911" s="93"/>
      <c r="I911" s="93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5.75" customHeight="1">
      <c r="A912" s="93"/>
      <c r="B912" s="93"/>
      <c r="C912" s="93"/>
      <c r="D912" s="93"/>
      <c r="E912" s="93"/>
      <c r="F912" s="105"/>
      <c r="G912" s="93"/>
      <c r="H912" s="93"/>
      <c r="I912" s="93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5.75" customHeight="1">
      <c r="A913" s="93"/>
      <c r="B913" s="93"/>
      <c r="C913" s="93"/>
      <c r="D913" s="93"/>
      <c r="E913" s="93"/>
      <c r="F913" s="105"/>
      <c r="G913" s="93"/>
      <c r="H913" s="93"/>
      <c r="I913" s="93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5.75" customHeight="1">
      <c r="A914" s="93"/>
      <c r="B914" s="93"/>
      <c r="C914" s="93"/>
      <c r="D914" s="93"/>
      <c r="E914" s="93"/>
      <c r="F914" s="105"/>
      <c r="G914" s="93"/>
      <c r="H914" s="93"/>
      <c r="I914" s="93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5.75" customHeight="1">
      <c r="A915" s="93"/>
      <c r="B915" s="93"/>
      <c r="C915" s="93"/>
      <c r="D915" s="93"/>
      <c r="E915" s="93"/>
      <c r="F915" s="105"/>
      <c r="G915" s="93"/>
      <c r="H915" s="93"/>
      <c r="I915" s="93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5.75" customHeight="1">
      <c r="A916" s="93"/>
      <c r="B916" s="93"/>
      <c r="C916" s="93"/>
      <c r="D916" s="93"/>
      <c r="E916" s="93"/>
      <c r="F916" s="105"/>
      <c r="G916" s="93"/>
      <c r="H916" s="93"/>
      <c r="I916" s="93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5.75" customHeight="1">
      <c r="A917" s="93"/>
      <c r="B917" s="93"/>
      <c r="C917" s="93"/>
      <c r="D917" s="93"/>
      <c r="E917" s="93"/>
      <c r="F917" s="105"/>
      <c r="G917" s="93"/>
      <c r="H917" s="93"/>
      <c r="I917" s="93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5.75" customHeight="1">
      <c r="A918" s="93"/>
      <c r="B918" s="93"/>
      <c r="C918" s="93"/>
      <c r="D918" s="93"/>
      <c r="E918" s="93"/>
      <c r="F918" s="105"/>
      <c r="G918" s="93"/>
      <c r="H918" s="93"/>
      <c r="I918" s="93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5.75" customHeight="1">
      <c r="A919" s="93"/>
      <c r="B919" s="93"/>
      <c r="C919" s="93"/>
      <c r="D919" s="93"/>
      <c r="E919" s="93"/>
      <c r="F919" s="105"/>
      <c r="G919" s="93"/>
      <c r="H919" s="93"/>
      <c r="I919" s="93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5.75" customHeight="1">
      <c r="A920" s="93"/>
      <c r="B920" s="93"/>
      <c r="C920" s="93"/>
      <c r="D920" s="93"/>
      <c r="E920" s="93"/>
      <c r="F920" s="105"/>
      <c r="G920" s="93"/>
      <c r="H920" s="93"/>
      <c r="I920" s="93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5.75" customHeight="1">
      <c r="A921" s="93"/>
      <c r="B921" s="93"/>
      <c r="C921" s="93"/>
      <c r="D921" s="93"/>
      <c r="E921" s="93"/>
      <c r="F921" s="105"/>
      <c r="G921" s="93"/>
      <c r="H921" s="93"/>
      <c r="I921" s="93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5.75" customHeight="1">
      <c r="A922" s="93"/>
      <c r="B922" s="93"/>
      <c r="C922" s="93"/>
      <c r="D922" s="93"/>
      <c r="E922" s="93"/>
      <c r="F922" s="105"/>
      <c r="G922" s="93"/>
      <c r="H922" s="93"/>
      <c r="I922" s="93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5.75" customHeight="1">
      <c r="A923" s="93"/>
      <c r="B923" s="93"/>
      <c r="C923" s="93"/>
      <c r="D923" s="93"/>
      <c r="E923" s="93"/>
      <c r="F923" s="105"/>
      <c r="G923" s="93"/>
      <c r="H923" s="93"/>
      <c r="I923" s="93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5.75" customHeight="1">
      <c r="A924" s="93"/>
      <c r="B924" s="93"/>
      <c r="C924" s="93"/>
      <c r="D924" s="93"/>
      <c r="E924" s="93"/>
      <c r="F924" s="105"/>
      <c r="G924" s="93"/>
      <c r="H924" s="93"/>
      <c r="I924" s="93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5.75" customHeight="1">
      <c r="A925" s="93"/>
      <c r="B925" s="93"/>
      <c r="C925" s="93"/>
      <c r="D925" s="93"/>
      <c r="E925" s="93"/>
      <c r="F925" s="105"/>
      <c r="G925" s="93"/>
      <c r="H925" s="93"/>
      <c r="I925" s="93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5.75" customHeight="1">
      <c r="A926" s="93"/>
      <c r="B926" s="93"/>
      <c r="C926" s="93"/>
      <c r="D926" s="93"/>
      <c r="E926" s="93"/>
      <c r="F926" s="105"/>
      <c r="G926" s="93"/>
      <c r="H926" s="93"/>
      <c r="I926" s="93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5.75" customHeight="1">
      <c r="A927" s="93"/>
      <c r="B927" s="93"/>
      <c r="C927" s="93"/>
      <c r="D927" s="93"/>
      <c r="E927" s="93"/>
      <c r="F927" s="105"/>
      <c r="G927" s="93"/>
      <c r="H927" s="93"/>
      <c r="I927" s="93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5.75" customHeight="1">
      <c r="A928" s="93"/>
      <c r="B928" s="93"/>
      <c r="C928" s="93"/>
      <c r="D928" s="93"/>
      <c r="E928" s="93"/>
      <c r="F928" s="105"/>
      <c r="G928" s="93"/>
      <c r="H928" s="93"/>
      <c r="I928" s="93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5.75" customHeight="1">
      <c r="A929" s="93"/>
      <c r="B929" s="93"/>
      <c r="C929" s="93"/>
      <c r="D929" s="93"/>
      <c r="E929" s="93"/>
      <c r="F929" s="105"/>
      <c r="G929" s="93"/>
      <c r="H929" s="93"/>
      <c r="I929" s="93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5.75" customHeight="1">
      <c r="A930" s="93"/>
      <c r="B930" s="93"/>
      <c r="C930" s="93"/>
      <c r="D930" s="93"/>
      <c r="E930" s="93"/>
      <c r="F930" s="105"/>
      <c r="G930" s="93"/>
      <c r="H930" s="93"/>
      <c r="I930" s="93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5.75" customHeight="1">
      <c r="A931" s="93"/>
      <c r="B931" s="93"/>
      <c r="C931" s="93"/>
      <c r="D931" s="93"/>
      <c r="E931" s="93"/>
      <c r="F931" s="105"/>
      <c r="G931" s="93"/>
      <c r="H931" s="93"/>
      <c r="I931" s="93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5.75" customHeight="1">
      <c r="A932" s="93"/>
      <c r="B932" s="93"/>
      <c r="C932" s="93"/>
      <c r="D932" s="93"/>
      <c r="E932" s="93"/>
      <c r="F932" s="105"/>
      <c r="G932" s="93"/>
      <c r="H932" s="93"/>
      <c r="I932" s="93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5.75" customHeight="1">
      <c r="A933" s="93"/>
      <c r="B933" s="93"/>
      <c r="C933" s="93"/>
      <c r="D933" s="93"/>
      <c r="E933" s="93"/>
      <c r="F933" s="105"/>
      <c r="G933" s="93"/>
      <c r="H933" s="93"/>
      <c r="I933" s="93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5.75" customHeight="1">
      <c r="A934" s="93"/>
      <c r="B934" s="93"/>
      <c r="C934" s="93"/>
      <c r="D934" s="93"/>
      <c r="E934" s="93"/>
      <c r="F934" s="105"/>
      <c r="G934" s="93"/>
      <c r="H934" s="93"/>
      <c r="I934" s="93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5.75" customHeight="1">
      <c r="A935" s="93"/>
      <c r="B935" s="93"/>
      <c r="C935" s="93"/>
      <c r="D935" s="93"/>
      <c r="E935" s="93"/>
      <c r="F935" s="105"/>
      <c r="G935" s="93"/>
      <c r="H935" s="93"/>
      <c r="I935" s="93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5.75" customHeight="1">
      <c r="A936" s="93"/>
      <c r="B936" s="93"/>
      <c r="C936" s="93"/>
      <c r="D936" s="93"/>
      <c r="E936" s="93"/>
      <c r="F936" s="105"/>
      <c r="G936" s="93"/>
      <c r="H936" s="93"/>
      <c r="I936" s="93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5.75" customHeight="1">
      <c r="A937" s="93"/>
      <c r="B937" s="93"/>
      <c r="C937" s="93"/>
      <c r="D937" s="93"/>
      <c r="E937" s="93"/>
      <c r="F937" s="105"/>
      <c r="G937" s="93"/>
      <c r="H937" s="93"/>
      <c r="I937" s="93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5.75" customHeight="1">
      <c r="A938" s="93"/>
      <c r="B938" s="93"/>
      <c r="C938" s="93"/>
      <c r="D938" s="93"/>
      <c r="E938" s="93"/>
      <c r="F938" s="105"/>
      <c r="G938" s="93"/>
      <c r="H938" s="93"/>
      <c r="I938" s="93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5.75" customHeight="1">
      <c r="A939" s="93"/>
      <c r="B939" s="93"/>
      <c r="C939" s="93"/>
      <c r="D939" s="93"/>
      <c r="E939" s="93"/>
      <c r="F939" s="105"/>
      <c r="G939" s="93"/>
      <c r="H939" s="93"/>
      <c r="I939" s="93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5.75" customHeight="1">
      <c r="A940" s="93"/>
      <c r="B940" s="93"/>
      <c r="C940" s="93"/>
      <c r="D940" s="93"/>
      <c r="E940" s="93"/>
      <c r="F940" s="105"/>
      <c r="G940" s="93"/>
      <c r="H940" s="93"/>
      <c r="I940" s="93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5.75" customHeight="1">
      <c r="A941" s="93"/>
      <c r="B941" s="93"/>
      <c r="C941" s="93"/>
      <c r="D941" s="93"/>
      <c r="E941" s="93"/>
      <c r="F941" s="105"/>
      <c r="G941" s="93"/>
      <c r="H941" s="93"/>
      <c r="I941" s="93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5.75" customHeight="1">
      <c r="A942" s="93"/>
      <c r="B942" s="93"/>
      <c r="C942" s="93"/>
      <c r="D942" s="93"/>
      <c r="E942" s="93"/>
      <c r="F942" s="105"/>
      <c r="G942" s="93"/>
      <c r="H942" s="93"/>
      <c r="I942" s="93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5.75" customHeight="1">
      <c r="A943" s="93"/>
      <c r="B943" s="93"/>
      <c r="C943" s="93"/>
      <c r="D943" s="93"/>
      <c r="E943" s="93"/>
      <c r="F943" s="105"/>
      <c r="G943" s="93"/>
      <c r="H943" s="93"/>
      <c r="I943" s="93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5.75" customHeight="1">
      <c r="A944" s="93"/>
      <c r="B944" s="93"/>
      <c r="C944" s="93"/>
      <c r="D944" s="93"/>
      <c r="E944" s="93"/>
      <c r="F944" s="105"/>
      <c r="G944" s="93"/>
      <c r="H944" s="93"/>
      <c r="I944" s="93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5.75" customHeight="1">
      <c r="A945" s="93"/>
      <c r="B945" s="93"/>
      <c r="C945" s="93"/>
      <c r="D945" s="93"/>
      <c r="E945" s="93"/>
      <c r="F945" s="105"/>
      <c r="G945" s="93"/>
      <c r="H945" s="93"/>
      <c r="I945" s="93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5.75" customHeight="1">
      <c r="A946" s="93"/>
      <c r="B946" s="93"/>
      <c r="C946" s="93"/>
      <c r="D946" s="93"/>
      <c r="E946" s="93"/>
      <c r="F946" s="105"/>
      <c r="G946" s="93"/>
      <c r="H946" s="93"/>
      <c r="I946" s="93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5.75" customHeight="1">
      <c r="A947" s="93"/>
      <c r="B947" s="93"/>
      <c r="C947" s="93"/>
      <c r="D947" s="93"/>
      <c r="E947" s="93"/>
      <c r="F947" s="105"/>
      <c r="G947" s="93"/>
      <c r="H947" s="93"/>
      <c r="I947" s="93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5.75" customHeight="1">
      <c r="A948" s="93"/>
      <c r="B948" s="93"/>
      <c r="C948" s="93"/>
      <c r="D948" s="93"/>
      <c r="E948" s="93"/>
      <c r="F948" s="105"/>
      <c r="G948" s="93"/>
      <c r="H948" s="93"/>
      <c r="I948" s="93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5.75" customHeight="1">
      <c r="A949" s="93"/>
      <c r="B949" s="93"/>
      <c r="C949" s="93"/>
      <c r="D949" s="93"/>
      <c r="E949" s="93"/>
      <c r="F949" s="105"/>
      <c r="G949" s="93"/>
      <c r="H949" s="93"/>
      <c r="I949" s="93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5.75" customHeight="1">
      <c r="A950" s="93"/>
      <c r="B950" s="93"/>
      <c r="C950" s="93"/>
      <c r="D950" s="93"/>
      <c r="E950" s="93"/>
      <c r="F950" s="105"/>
      <c r="G950" s="93"/>
      <c r="H950" s="93"/>
      <c r="I950" s="93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5.75" customHeight="1">
      <c r="A951" s="93"/>
      <c r="B951" s="93"/>
      <c r="C951" s="93"/>
      <c r="D951" s="93"/>
      <c r="E951" s="93"/>
      <c r="F951" s="105"/>
      <c r="G951" s="93"/>
      <c r="H951" s="93"/>
      <c r="I951" s="93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5.75" customHeight="1">
      <c r="A952" s="93"/>
      <c r="B952" s="93"/>
      <c r="C952" s="93"/>
      <c r="D952" s="93"/>
      <c r="E952" s="93"/>
      <c r="F952" s="105"/>
      <c r="G952" s="93"/>
      <c r="H952" s="93"/>
      <c r="I952" s="93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5.75" customHeight="1">
      <c r="A953" s="93"/>
      <c r="B953" s="93"/>
      <c r="C953" s="93"/>
      <c r="D953" s="93"/>
      <c r="E953" s="93"/>
      <c r="F953" s="105"/>
      <c r="G953" s="93"/>
      <c r="H953" s="93"/>
      <c r="I953" s="93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5.75" customHeight="1">
      <c r="A954" s="93"/>
      <c r="B954" s="93"/>
      <c r="C954" s="93"/>
      <c r="D954" s="93"/>
      <c r="E954" s="93"/>
      <c r="F954" s="105"/>
      <c r="G954" s="93"/>
      <c r="H954" s="93"/>
      <c r="I954" s="93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5.75" customHeight="1">
      <c r="A955" s="93"/>
      <c r="B955" s="93"/>
      <c r="C955" s="93"/>
      <c r="D955" s="93"/>
      <c r="E955" s="93"/>
      <c r="F955" s="105"/>
      <c r="G955" s="93"/>
      <c r="H955" s="93"/>
      <c r="I955" s="93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5.75" customHeight="1">
      <c r="A956" s="93"/>
      <c r="B956" s="93"/>
      <c r="C956" s="93"/>
      <c r="D956" s="93"/>
      <c r="E956" s="93"/>
      <c r="F956" s="105"/>
      <c r="G956" s="93"/>
      <c r="H956" s="93"/>
      <c r="I956" s="93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5.75" customHeight="1">
      <c r="A957" s="93"/>
      <c r="B957" s="93"/>
      <c r="C957" s="93"/>
      <c r="D957" s="93"/>
      <c r="E957" s="93"/>
      <c r="F957" s="105"/>
      <c r="G957" s="93"/>
      <c r="H957" s="93"/>
      <c r="I957" s="93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5.75" customHeight="1">
      <c r="A958" s="93"/>
      <c r="B958" s="93"/>
      <c r="C958" s="93"/>
      <c r="D958" s="93"/>
      <c r="E958" s="93"/>
      <c r="F958" s="105"/>
      <c r="G958" s="93"/>
      <c r="H958" s="93"/>
      <c r="I958" s="93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5.75" customHeight="1">
      <c r="A959" s="93"/>
      <c r="B959" s="93"/>
      <c r="C959" s="93"/>
      <c r="D959" s="93"/>
      <c r="E959" s="93"/>
      <c r="F959" s="105"/>
      <c r="G959" s="93"/>
      <c r="H959" s="93"/>
      <c r="I959" s="93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5.75" customHeight="1">
      <c r="A960" s="93"/>
      <c r="B960" s="93"/>
      <c r="C960" s="93"/>
      <c r="D960" s="93"/>
      <c r="E960" s="93"/>
      <c r="F960" s="105"/>
      <c r="G960" s="93"/>
      <c r="H960" s="93"/>
      <c r="I960" s="93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5.75" customHeight="1">
      <c r="A961" s="93"/>
      <c r="B961" s="93"/>
      <c r="C961" s="93"/>
      <c r="D961" s="93"/>
      <c r="E961" s="93"/>
      <c r="F961" s="105"/>
      <c r="G961" s="93"/>
      <c r="H961" s="93"/>
      <c r="I961" s="93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5.75" customHeight="1">
      <c r="A962" s="93"/>
      <c r="B962" s="93"/>
      <c r="C962" s="93"/>
      <c r="D962" s="93"/>
      <c r="E962" s="93"/>
      <c r="F962" s="105"/>
      <c r="G962" s="93"/>
      <c r="H962" s="93"/>
      <c r="I962" s="93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5.75" customHeight="1">
      <c r="A963" s="93"/>
      <c r="B963" s="93"/>
      <c r="C963" s="93"/>
      <c r="D963" s="93"/>
      <c r="E963" s="93"/>
      <c r="F963" s="105"/>
      <c r="G963" s="93"/>
      <c r="H963" s="93"/>
      <c r="I963" s="93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5.75" customHeight="1">
      <c r="A964" s="93"/>
      <c r="B964" s="93"/>
      <c r="C964" s="93"/>
      <c r="D964" s="93"/>
      <c r="E964" s="93"/>
      <c r="F964" s="105"/>
      <c r="G964" s="93"/>
      <c r="H964" s="93"/>
      <c r="I964" s="93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5.75" customHeight="1">
      <c r="A965" s="93"/>
      <c r="B965" s="93"/>
      <c r="C965" s="93"/>
      <c r="D965" s="93"/>
      <c r="E965" s="93"/>
      <c r="F965" s="105"/>
      <c r="G965" s="93"/>
      <c r="H965" s="93"/>
      <c r="I965" s="93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5.75" customHeight="1">
      <c r="A966" s="93"/>
      <c r="B966" s="93"/>
      <c r="C966" s="93"/>
      <c r="D966" s="93"/>
      <c r="E966" s="93"/>
      <c r="F966" s="105"/>
      <c r="G966" s="93"/>
      <c r="H966" s="93"/>
      <c r="I966" s="93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5.75" customHeight="1">
      <c r="A967" s="93"/>
      <c r="B967" s="93"/>
      <c r="C967" s="93"/>
      <c r="D967" s="93"/>
      <c r="E967" s="93"/>
      <c r="F967" s="105"/>
      <c r="G967" s="93"/>
      <c r="H967" s="93"/>
      <c r="I967" s="93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5.75" customHeight="1">
      <c r="A968" s="93"/>
      <c r="B968" s="93"/>
      <c r="C968" s="93"/>
      <c r="D968" s="93"/>
      <c r="E968" s="93"/>
      <c r="F968" s="105"/>
      <c r="G968" s="93"/>
      <c r="H968" s="93"/>
      <c r="I968" s="93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5.75" customHeight="1">
      <c r="A969" s="93"/>
      <c r="B969" s="93"/>
      <c r="C969" s="93"/>
      <c r="D969" s="93"/>
      <c r="E969" s="93"/>
      <c r="F969" s="105"/>
      <c r="G969" s="93"/>
      <c r="H969" s="93"/>
      <c r="I969" s="93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5.75" customHeight="1">
      <c r="A970" s="93"/>
      <c r="B970" s="93"/>
      <c r="C970" s="93"/>
      <c r="D970" s="93"/>
      <c r="E970" s="93"/>
      <c r="F970" s="105"/>
      <c r="G970" s="93"/>
      <c r="H970" s="93"/>
      <c r="I970" s="93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5.75" customHeight="1">
      <c r="A971" s="93"/>
      <c r="B971" s="93"/>
      <c r="C971" s="93"/>
      <c r="D971" s="93"/>
      <c r="E971" s="93"/>
      <c r="F971" s="105"/>
      <c r="G971" s="93"/>
      <c r="H971" s="93"/>
      <c r="I971" s="93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5.75" customHeight="1">
      <c r="A972" s="93"/>
      <c r="B972" s="93"/>
      <c r="C972" s="93"/>
      <c r="D972" s="93"/>
      <c r="E972" s="93"/>
      <c r="F972" s="105"/>
      <c r="G972" s="93"/>
      <c r="H972" s="93"/>
      <c r="I972" s="93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5.75" customHeight="1">
      <c r="A973" s="93"/>
      <c r="B973" s="93"/>
      <c r="C973" s="93"/>
      <c r="D973" s="93"/>
      <c r="E973" s="93"/>
      <c r="F973" s="105"/>
      <c r="G973" s="93"/>
      <c r="H973" s="93"/>
      <c r="I973" s="93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5.75" customHeight="1">
      <c r="A974" s="93"/>
      <c r="B974" s="93"/>
      <c r="C974" s="93"/>
      <c r="D974" s="93"/>
      <c r="E974" s="93"/>
      <c r="F974" s="105"/>
      <c r="G974" s="93"/>
      <c r="H974" s="93"/>
      <c r="I974" s="93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5.75" customHeight="1">
      <c r="A975" s="93"/>
      <c r="B975" s="93"/>
      <c r="C975" s="93"/>
      <c r="D975" s="93"/>
      <c r="E975" s="93"/>
      <c r="F975" s="105"/>
      <c r="G975" s="93"/>
      <c r="H975" s="93"/>
      <c r="I975" s="93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5.75" customHeight="1">
      <c r="A976" s="93"/>
      <c r="B976" s="93"/>
      <c r="C976" s="93"/>
      <c r="D976" s="93"/>
      <c r="E976" s="93"/>
      <c r="F976" s="105"/>
      <c r="G976" s="93"/>
      <c r="H976" s="93"/>
      <c r="I976" s="93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5.75" customHeight="1">
      <c r="A977" s="93"/>
      <c r="B977" s="93"/>
      <c r="C977" s="93"/>
      <c r="D977" s="93"/>
      <c r="E977" s="93"/>
      <c r="F977" s="105"/>
      <c r="G977" s="93"/>
      <c r="H977" s="93"/>
      <c r="I977" s="93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5.75" customHeight="1">
      <c r="A978" s="93"/>
      <c r="B978" s="93"/>
      <c r="C978" s="93"/>
      <c r="D978" s="93"/>
      <c r="E978" s="93"/>
      <c r="F978" s="105"/>
      <c r="G978" s="93"/>
      <c r="H978" s="93"/>
      <c r="I978" s="93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5.75" customHeight="1">
      <c r="A979" s="93"/>
      <c r="B979" s="93"/>
      <c r="C979" s="93"/>
      <c r="D979" s="93"/>
      <c r="E979" s="93"/>
      <c r="F979" s="105"/>
      <c r="G979" s="93"/>
      <c r="H979" s="93"/>
      <c r="I979" s="93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5.75" customHeight="1">
      <c r="A980" s="93"/>
      <c r="B980" s="93"/>
      <c r="C980" s="93"/>
      <c r="D980" s="93"/>
      <c r="E980" s="93"/>
      <c r="F980" s="105"/>
      <c r="G980" s="93"/>
      <c r="H980" s="93"/>
      <c r="I980" s="93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5.75" customHeight="1">
      <c r="A981" s="93"/>
      <c r="B981" s="93"/>
      <c r="C981" s="93"/>
      <c r="D981" s="93"/>
      <c r="E981" s="93"/>
      <c r="F981" s="105"/>
      <c r="G981" s="93"/>
      <c r="H981" s="93"/>
      <c r="I981" s="93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5.75" customHeight="1">
      <c r="A982" s="93"/>
      <c r="B982" s="93"/>
      <c r="C982" s="93"/>
      <c r="D982" s="93"/>
      <c r="E982" s="93"/>
      <c r="F982" s="105"/>
      <c r="G982" s="93"/>
      <c r="H982" s="93"/>
      <c r="I982" s="93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5.75" customHeight="1">
      <c r="A983" s="93"/>
      <c r="B983" s="93"/>
      <c r="C983" s="93"/>
      <c r="D983" s="93"/>
      <c r="E983" s="93"/>
      <c r="F983" s="105"/>
      <c r="G983" s="93"/>
      <c r="H983" s="93"/>
      <c r="I983" s="93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5.75" customHeight="1">
      <c r="A984" s="93"/>
      <c r="B984" s="93"/>
      <c r="C984" s="93"/>
      <c r="D984" s="93"/>
      <c r="E984" s="93"/>
      <c r="F984" s="105"/>
      <c r="G984" s="93"/>
      <c r="H984" s="93"/>
      <c r="I984" s="93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5.75" customHeight="1">
      <c r="A985" s="93"/>
      <c r="B985" s="93"/>
      <c r="C985" s="93"/>
      <c r="D985" s="93"/>
      <c r="E985" s="93"/>
      <c r="F985" s="105"/>
      <c r="G985" s="93"/>
      <c r="H985" s="93"/>
      <c r="I985" s="93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5.75" customHeight="1">
      <c r="A986" s="93"/>
      <c r="B986" s="93"/>
      <c r="C986" s="93"/>
      <c r="D986" s="93"/>
      <c r="E986" s="93"/>
      <c r="F986" s="105"/>
      <c r="G986" s="93"/>
      <c r="H986" s="93"/>
      <c r="I986" s="93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5.75" customHeight="1">
      <c r="A987" s="93"/>
      <c r="B987" s="93"/>
      <c r="C987" s="93"/>
      <c r="D987" s="93"/>
      <c r="E987" s="93"/>
      <c r="F987" s="105"/>
      <c r="G987" s="93"/>
      <c r="H987" s="93"/>
      <c r="I987" s="93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5.75" customHeight="1">
      <c r="A988" s="93"/>
      <c r="B988" s="93"/>
      <c r="C988" s="93"/>
      <c r="D988" s="93"/>
      <c r="E988" s="93"/>
      <c r="F988" s="105"/>
      <c r="G988" s="93"/>
      <c r="H988" s="93"/>
      <c r="I988" s="93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5.75" customHeight="1">
      <c r="A989" s="93"/>
      <c r="B989" s="93"/>
      <c r="C989" s="93"/>
      <c r="D989" s="93"/>
      <c r="E989" s="93"/>
      <c r="F989" s="105"/>
      <c r="G989" s="93"/>
      <c r="H989" s="93"/>
      <c r="I989" s="93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5.75" customHeight="1">
      <c r="A990" s="93"/>
      <c r="B990" s="93"/>
      <c r="C990" s="93"/>
      <c r="D990" s="93"/>
      <c r="E990" s="93"/>
      <c r="F990" s="105"/>
      <c r="G990" s="93"/>
      <c r="H990" s="93"/>
      <c r="I990" s="93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5.75" customHeight="1">
      <c r="A991" s="93"/>
      <c r="B991" s="93"/>
      <c r="C991" s="93"/>
      <c r="D991" s="93"/>
      <c r="E991" s="93"/>
      <c r="F991" s="105"/>
      <c r="G991" s="93"/>
      <c r="H991" s="93"/>
      <c r="I991" s="93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5.75" customHeight="1">
      <c r="A992" s="93"/>
      <c r="B992" s="93"/>
      <c r="C992" s="93"/>
      <c r="D992" s="93"/>
      <c r="E992" s="93"/>
      <c r="F992" s="105"/>
      <c r="G992" s="93"/>
      <c r="H992" s="93"/>
      <c r="I992" s="93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5.75" customHeight="1">
      <c r="A993" s="93"/>
      <c r="B993" s="93"/>
      <c r="C993" s="93"/>
      <c r="D993" s="93"/>
      <c r="E993" s="93"/>
      <c r="F993" s="105"/>
      <c r="G993" s="93"/>
      <c r="H993" s="93"/>
      <c r="I993" s="93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5.75" customHeight="1">
      <c r="A994" s="93"/>
      <c r="B994" s="93"/>
      <c r="C994" s="93"/>
      <c r="D994" s="93"/>
      <c r="E994" s="93"/>
      <c r="F994" s="105"/>
      <c r="G994" s="93"/>
      <c r="H994" s="93"/>
      <c r="I994" s="93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5.75" customHeight="1">
      <c r="A995" s="93"/>
      <c r="B995" s="93"/>
      <c r="C995" s="93"/>
      <c r="D995" s="93"/>
      <c r="E995" s="93"/>
      <c r="F995" s="105"/>
      <c r="G995" s="93"/>
      <c r="H995" s="93"/>
      <c r="I995" s="93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5.75" customHeight="1">
      <c r="A996" s="93"/>
      <c r="B996" s="93"/>
      <c r="C996" s="93"/>
      <c r="D996" s="93"/>
      <c r="E996" s="93"/>
      <c r="F996" s="105"/>
      <c r="G996" s="93"/>
      <c r="H996" s="93"/>
      <c r="I996" s="93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5.75" customHeight="1">
      <c r="A997" s="93"/>
      <c r="B997" s="93"/>
      <c r="C997" s="93"/>
      <c r="D997" s="93"/>
      <c r="E997" s="93"/>
      <c r="F997" s="105"/>
      <c r="G997" s="93"/>
      <c r="H997" s="93"/>
      <c r="I997" s="93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</sheetData>
  <autoFilter ref="$A$1:$I$219">
    <sortState ref="A1:I219">
      <sortCondition ref="B1:B219"/>
    </sortState>
  </autoFilter>
  <conditionalFormatting sqref="A2:A997 B2:B166 C2:E997 F2:F207 G2:H997 B168:B170 B172:B201 B203:B204 B206:B209 F209 B216:B997 F216:F997">
    <cfRule type="expression" dxfId="0" priority="1">
      <formula>$D2="Assigned"</formula>
    </cfRule>
  </conditionalFormatting>
  <conditionalFormatting sqref="A2:A997 B2:B166 C2:E997 F2:F207 G2:H997 B168:B170 B172:B201 B203:B204 B206:B209 F209 B216:B997 F216:F997">
    <cfRule type="expression" dxfId="1" priority="2">
      <formula>$D2="Pending"</formula>
    </cfRule>
  </conditionalFormatting>
  <conditionalFormatting sqref="A2:A997 B2:B166 C2:E997 F2:F207 G2:H997 B168:B170 B172:B201 B203:B204 B206:B209 F209 B216:B997 F216:F997">
    <cfRule type="expression" dxfId="2" priority="3">
      <formula>$D2="Removed"</formula>
    </cfRule>
  </conditionalFormatting>
  <conditionalFormatting sqref="A2:A997 B2:B166 C2:E997 F2:F207 G2:H997 B168:B170 B172:B201 B203:B204 B206:B209 F209 B216:B997 F216:F997">
    <cfRule type="expression" dxfId="3" priority="4">
      <formula>$D2="Available"</formula>
    </cfRule>
  </conditionalFormatting>
  <dataValidations>
    <dataValidation type="list" allowBlank="1" sqref="D2:D980">
      <formula1>"Assigned,Pending,Removed,Available"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5E4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0"/>
    <col customWidth="1" min="4" max="4" width="22.0"/>
    <col customWidth="1" min="5" max="5" width="18.0"/>
    <col customWidth="1" min="6" max="6" width="14.0"/>
    <col customWidth="1" min="7" max="7" width="8.0"/>
    <col customWidth="1" min="8" max="8" width="10.0"/>
    <col customWidth="1" min="9" max="9" width="36.0"/>
  </cols>
  <sheetData>
    <row r="1" ht="27.75" customHeight="1">
      <c r="A1" s="9" t="s">
        <v>55</v>
      </c>
      <c r="B1" s="9" t="s">
        <v>56</v>
      </c>
      <c r="C1" s="9" t="s">
        <v>28</v>
      </c>
      <c r="D1" s="9" t="s">
        <v>57</v>
      </c>
      <c r="E1" s="9" t="s">
        <v>538</v>
      </c>
      <c r="F1" s="9" t="s">
        <v>539</v>
      </c>
      <c r="G1" s="9" t="s">
        <v>540</v>
      </c>
      <c r="H1" s="9" t="s">
        <v>541</v>
      </c>
      <c r="I1" s="9" t="s">
        <v>68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 t="s">
        <v>206</v>
      </c>
      <c r="B2" s="2" t="s">
        <v>211</v>
      </c>
      <c r="C2" s="2" t="s">
        <v>30</v>
      </c>
      <c r="D2" s="2" t="s">
        <v>204</v>
      </c>
      <c r="E2" s="2" t="s">
        <v>30</v>
      </c>
      <c r="F2" s="2" t="s">
        <v>542</v>
      </c>
      <c r="G2" s="2">
        <v>10.0</v>
      </c>
      <c r="H2" s="2" t="b">
        <f t="shared" ref="H2:H18" si="1">TRUE()</f>
        <v>1</v>
      </c>
      <c r="I2" s="2" t="s">
        <v>543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 t="s">
        <v>177</v>
      </c>
      <c r="B3" s="2" t="s">
        <v>544</v>
      </c>
      <c r="C3" s="2" t="s">
        <v>30</v>
      </c>
      <c r="D3" s="2" t="s">
        <v>175</v>
      </c>
      <c r="E3" s="2" t="s">
        <v>30</v>
      </c>
      <c r="F3" s="2" t="s">
        <v>545</v>
      </c>
      <c r="G3" s="2">
        <v>20.0</v>
      </c>
      <c r="H3" s="2" t="b">
        <f t="shared" si="1"/>
        <v>1</v>
      </c>
      <c r="I3" s="2" t="s">
        <v>543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 t="s">
        <v>111</v>
      </c>
      <c r="B4" s="2" t="s">
        <v>546</v>
      </c>
      <c r="C4" s="2" t="s">
        <v>30</v>
      </c>
      <c r="D4" s="2" t="s">
        <v>125</v>
      </c>
      <c r="E4" s="2" t="s">
        <v>30</v>
      </c>
      <c r="F4" s="2" t="s">
        <v>547</v>
      </c>
      <c r="G4" s="2">
        <v>30.0</v>
      </c>
      <c r="H4" s="2" t="b">
        <f t="shared" si="1"/>
        <v>1</v>
      </c>
      <c r="I4" s="2" t="s">
        <v>543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 t="s">
        <v>164</v>
      </c>
      <c r="B5" s="2" t="s">
        <v>548</v>
      </c>
      <c r="C5" s="2" t="s">
        <v>30</v>
      </c>
      <c r="D5" s="2" t="s">
        <v>162</v>
      </c>
      <c r="E5" s="2" t="s">
        <v>30</v>
      </c>
      <c r="F5" s="2" t="s">
        <v>549</v>
      </c>
      <c r="G5" s="2">
        <v>40.0</v>
      </c>
      <c r="H5" s="2" t="b">
        <f t="shared" si="1"/>
        <v>1</v>
      </c>
      <c r="I5" s="2" t="s">
        <v>543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 t="s">
        <v>98</v>
      </c>
      <c r="B6" s="2" t="s">
        <v>550</v>
      </c>
      <c r="C6" s="2" t="s">
        <v>30</v>
      </c>
      <c r="D6" s="2" t="s">
        <v>96</v>
      </c>
      <c r="E6" s="2" t="s">
        <v>30</v>
      </c>
      <c r="F6" s="2" t="s">
        <v>551</v>
      </c>
      <c r="G6" s="2">
        <v>50.0</v>
      </c>
      <c r="H6" s="2" t="b">
        <f t="shared" si="1"/>
        <v>1</v>
      </c>
      <c r="I6" s="2" t="s">
        <v>543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 t="s">
        <v>76</v>
      </c>
      <c r="B7" s="2" t="s">
        <v>552</v>
      </c>
      <c r="C7" s="2" t="s">
        <v>30</v>
      </c>
      <c r="D7" s="2" t="s">
        <v>30</v>
      </c>
      <c r="E7" s="2" t="s">
        <v>30</v>
      </c>
      <c r="F7" s="2" t="s">
        <v>553</v>
      </c>
      <c r="G7" s="2">
        <v>60.0</v>
      </c>
      <c r="H7" s="2" t="b">
        <f t="shared" si="1"/>
        <v>1</v>
      </c>
      <c r="I7" s="2" t="s">
        <v>543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 t="s">
        <v>184</v>
      </c>
      <c r="B8" s="2" t="s">
        <v>554</v>
      </c>
      <c r="C8" s="2" t="s">
        <v>31</v>
      </c>
      <c r="D8" s="2" t="s">
        <v>31</v>
      </c>
      <c r="E8" s="2" t="s">
        <v>31</v>
      </c>
      <c r="F8" s="2" t="s">
        <v>555</v>
      </c>
      <c r="G8" s="2">
        <v>70.0</v>
      </c>
      <c r="H8" s="2" t="b">
        <f t="shared" si="1"/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 t="s">
        <v>189</v>
      </c>
      <c r="B9" s="2" t="s">
        <v>556</v>
      </c>
      <c r="C9" s="2" t="s">
        <v>31</v>
      </c>
      <c r="D9" s="2" t="s">
        <v>187</v>
      </c>
      <c r="E9" s="2" t="s">
        <v>31</v>
      </c>
      <c r="F9" s="2" t="s">
        <v>557</v>
      </c>
      <c r="G9" s="2">
        <v>80.0</v>
      </c>
      <c r="H9" s="2" t="b">
        <f t="shared" si="1"/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 t="s">
        <v>224</v>
      </c>
      <c r="B10" s="2" t="s">
        <v>558</v>
      </c>
      <c r="C10" s="2" t="s">
        <v>31</v>
      </c>
      <c r="D10" s="2" t="s">
        <v>222</v>
      </c>
      <c r="E10" s="2" t="s">
        <v>31</v>
      </c>
      <c r="F10" s="2" t="s">
        <v>559</v>
      </c>
      <c r="G10" s="2">
        <v>100.0</v>
      </c>
      <c r="H10" s="2" t="b">
        <f t="shared" si="1"/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">
        <v>254</v>
      </c>
      <c r="B11" s="2" t="s">
        <v>560</v>
      </c>
      <c r="C11" s="2" t="s">
        <v>31</v>
      </c>
      <c r="D11" s="2" t="s">
        <v>252</v>
      </c>
      <c r="E11" s="2" t="s">
        <v>31</v>
      </c>
      <c r="F11" s="2" t="s">
        <v>561</v>
      </c>
      <c r="G11" s="2">
        <v>110.0</v>
      </c>
      <c r="H11" s="2" t="b">
        <f t="shared" si="1"/>
        <v>1</v>
      </c>
      <c r="I11" s="2" t="s">
        <v>562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 t="s">
        <v>286</v>
      </c>
      <c r="B12" s="2" t="s">
        <v>554</v>
      </c>
      <c r="C12" s="2" t="s">
        <v>32</v>
      </c>
      <c r="D12" s="2" t="s">
        <v>32</v>
      </c>
      <c r="E12" s="2" t="s">
        <v>32</v>
      </c>
      <c r="F12" s="2" t="s">
        <v>563</v>
      </c>
      <c r="G12" s="2">
        <v>120.0</v>
      </c>
      <c r="H12" s="2" t="b">
        <f t="shared" si="1"/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 t="s">
        <v>290</v>
      </c>
      <c r="B13" s="2" t="s">
        <v>564</v>
      </c>
      <c r="C13" s="2" t="s">
        <v>32</v>
      </c>
      <c r="D13" s="2" t="s">
        <v>288</v>
      </c>
      <c r="E13" s="2" t="s">
        <v>32</v>
      </c>
      <c r="F13" s="2" t="s">
        <v>565</v>
      </c>
      <c r="G13" s="2">
        <v>130.0</v>
      </c>
      <c r="H13" s="2" t="b">
        <f t="shared" si="1"/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 t="s">
        <v>321</v>
      </c>
      <c r="B14" s="2" t="s">
        <v>566</v>
      </c>
      <c r="C14" s="2" t="s">
        <v>32</v>
      </c>
      <c r="D14" s="2" t="s">
        <v>319</v>
      </c>
      <c r="E14" s="2" t="s">
        <v>32</v>
      </c>
      <c r="F14" s="2" t="s">
        <v>567</v>
      </c>
      <c r="G14" s="2">
        <v>140.0</v>
      </c>
      <c r="H14" s="2" t="b">
        <f t="shared" si="1"/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 t="s">
        <v>354</v>
      </c>
      <c r="B15" s="2" t="s">
        <v>554</v>
      </c>
      <c r="C15" s="2" t="s">
        <v>33</v>
      </c>
      <c r="D15" s="2" t="s">
        <v>33</v>
      </c>
      <c r="E15" s="2" t="s">
        <v>33</v>
      </c>
      <c r="F15" s="2" t="s">
        <v>568</v>
      </c>
      <c r="G15" s="2">
        <v>150.0</v>
      </c>
      <c r="H15" s="2" t="b">
        <f t="shared" si="1"/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 t="s">
        <v>360</v>
      </c>
      <c r="B16" s="2" t="s">
        <v>569</v>
      </c>
      <c r="C16" s="2" t="s">
        <v>33</v>
      </c>
      <c r="D16" s="2" t="s">
        <v>358</v>
      </c>
      <c r="E16" s="2" t="s">
        <v>33</v>
      </c>
      <c r="F16" s="2" t="s">
        <v>570</v>
      </c>
      <c r="G16" s="2">
        <v>160.0</v>
      </c>
      <c r="H16" s="2" t="b">
        <f t="shared" si="1"/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 t="s">
        <v>397</v>
      </c>
      <c r="B17" s="2" t="s">
        <v>571</v>
      </c>
      <c r="C17" s="2" t="s">
        <v>33</v>
      </c>
      <c r="D17" s="2" t="s">
        <v>395</v>
      </c>
      <c r="E17" s="2" t="s">
        <v>33</v>
      </c>
      <c r="F17" s="2" t="s">
        <v>572</v>
      </c>
      <c r="G17" s="2">
        <v>170.0</v>
      </c>
      <c r="H17" s="2" t="b">
        <f t="shared" si="1"/>
        <v>1</v>
      </c>
      <c r="I17" s="2" t="s">
        <v>573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 t="s">
        <v>444</v>
      </c>
      <c r="B18" s="2" t="s">
        <v>574</v>
      </c>
      <c r="C18" s="2" t="s">
        <v>33</v>
      </c>
      <c r="D18" s="2" t="s">
        <v>442</v>
      </c>
      <c r="E18" s="2" t="s">
        <v>33</v>
      </c>
      <c r="F18" s="2" t="s">
        <v>575</v>
      </c>
      <c r="G18" s="2">
        <v>180.0</v>
      </c>
      <c r="H18" s="2" t="b">
        <f t="shared" si="1"/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A35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43.43"/>
    <col customWidth="1" min="4" max="6" width="18.0"/>
    <col customWidth="1" min="7" max="7" width="18.43"/>
    <col customWidth="1" min="8" max="8" width="12.71"/>
    <col customWidth="1" min="9" max="10" width="12.0"/>
    <col customWidth="1" min="11" max="11" width="14.0"/>
    <col customWidth="1" min="12" max="12" width="10.0"/>
    <col customWidth="1" min="13" max="13" width="22.0"/>
    <col customWidth="1" min="14" max="14" width="24.0"/>
    <col customWidth="1" min="15" max="15" width="12.0"/>
    <col customWidth="1" min="16" max="18" width="14.0"/>
    <col customWidth="1" min="19" max="19" width="12.0"/>
    <col customWidth="1" min="20" max="20" width="26.0"/>
    <col customWidth="1" min="21" max="21" width="23.71"/>
  </cols>
  <sheetData>
    <row r="1" ht="27.75" customHeight="1">
      <c r="A1" s="9" t="s">
        <v>576</v>
      </c>
      <c r="B1" s="9" t="s">
        <v>577</v>
      </c>
      <c r="C1" s="9" t="s">
        <v>578</v>
      </c>
      <c r="D1" s="9" t="s">
        <v>579</v>
      </c>
      <c r="E1" s="9" t="s">
        <v>580</v>
      </c>
      <c r="F1" s="9" t="s">
        <v>581</v>
      </c>
      <c r="G1" s="9" t="s">
        <v>582</v>
      </c>
      <c r="H1" s="9" t="s">
        <v>583</v>
      </c>
      <c r="I1" s="111" t="s">
        <v>584</v>
      </c>
      <c r="J1" s="111" t="s">
        <v>585</v>
      </c>
      <c r="K1" s="9" t="s">
        <v>586</v>
      </c>
      <c r="L1" s="9" t="s">
        <v>468</v>
      </c>
      <c r="M1" s="9" t="s">
        <v>587</v>
      </c>
      <c r="N1" s="9" t="s">
        <v>588</v>
      </c>
      <c r="O1" s="9" t="s">
        <v>589</v>
      </c>
      <c r="P1" s="9" t="s">
        <v>590</v>
      </c>
      <c r="Q1" s="9" t="s">
        <v>17</v>
      </c>
      <c r="R1" s="9" t="s">
        <v>18</v>
      </c>
      <c r="S1" s="9" t="s">
        <v>591</v>
      </c>
      <c r="T1" s="9" t="s">
        <v>68</v>
      </c>
      <c r="U1" s="9" t="s">
        <v>472</v>
      </c>
      <c r="V1" s="2"/>
      <c r="W1" s="2"/>
      <c r="X1" s="2"/>
      <c r="Y1" s="2"/>
      <c r="Z1" s="2"/>
    </row>
    <row r="2" ht="15.0" customHeight="1">
      <c r="A2" s="11" t="s">
        <v>592</v>
      </c>
      <c r="B2" s="11" t="s">
        <v>593</v>
      </c>
      <c r="C2" s="11" t="s">
        <v>482</v>
      </c>
      <c r="D2" s="11" t="s">
        <v>594</v>
      </c>
      <c r="E2" s="11">
        <v>1.10005089936E11</v>
      </c>
      <c r="F2" s="11" t="s">
        <v>595</v>
      </c>
      <c r="G2" s="11" t="s">
        <v>596</v>
      </c>
      <c r="H2" s="11">
        <v>25.0</v>
      </c>
      <c r="I2" s="112">
        <v>45970.0</v>
      </c>
      <c r="J2" s="112">
        <v>46335.0</v>
      </c>
      <c r="K2" s="11" t="s">
        <v>478</v>
      </c>
      <c r="L2" s="11" t="s">
        <v>541</v>
      </c>
      <c r="M2" s="11" t="s">
        <v>597</v>
      </c>
      <c r="N2" s="11" t="s">
        <v>168</v>
      </c>
      <c r="O2" s="113">
        <f t="shared" ref="O2:O29" si="1">IF(J2="","",J2-TODAY())</f>
        <v>160</v>
      </c>
      <c r="P2" s="11" t="str">
        <f t="shared" ref="P2:P29" si="2">IF(J2="","No End Date",IF(J2-TODAY()&lt;0,"Expired",IF(J2-TODAY()&lt;=30,"Expiring Soon",IF(J2-TODAY()&lt;=90,"Watch","Active"))))</f>
        <v>Active</v>
      </c>
      <c r="Q2" s="11">
        <v>83.0</v>
      </c>
      <c r="R2" s="11">
        <v>0.0</v>
      </c>
      <c r="S2" s="114">
        <f>IFERROR(IF(H2=0,"",COUNTIF(Licenses!$B:$B,C2)/H2),"")</f>
        <v>3.68</v>
      </c>
      <c r="T2" s="11"/>
      <c r="U2" s="115" t="s">
        <v>598</v>
      </c>
      <c r="V2" s="2"/>
      <c r="W2" s="2"/>
      <c r="X2" s="2"/>
      <c r="Y2" s="2"/>
      <c r="Z2" s="2"/>
    </row>
    <row r="3" ht="15.0" customHeight="1">
      <c r="A3" s="11" t="s">
        <v>599</v>
      </c>
      <c r="B3" s="11" t="s">
        <v>593</v>
      </c>
      <c r="C3" s="11" t="s">
        <v>482</v>
      </c>
      <c r="D3" s="11" t="s">
        <v>594</v>
      </c>
      <c r="E3" s="11">
        <v>1.10003617657E11</v>
      </c>
      <c r="F3" s="11" t="s">
        <v>595</v>
      </c>
      <c r="G3" s="11" t="s">
        <v>600</v>
      </c>
      <c r="H3" s="11">
        <v>10.0</v>
      </c>
      <c r="I3" s="112">
        <v>45830.0</v>
      </c>
      <c r="J3" s="112">
        <v>46195.0</v>
      </c>
      <c r="K3" s="11" t="s">
        <v>478</v>
      </c>
      <c r="L3" s="11" t="s">
        <v>541</v>
      </c>
      <c r="M3" s="11" t="s">
        <v>597</v>
      </c>
      <c r="N3" s="11" t="s">
        <v>168</v>
      </c>
      <c r="O3" s="113">
        <f t="shared" si="1"/>
        <v>20</v>
      </c>
      <c r="P3" s="11" t="str">
        <f t="shared" si="2"/>
        <v>Expiring Soon</v>
      </c>
      <c r="Q3" s="11">
        <v>83.0</v>
      </c>
      <c r="R3" s="11">
        <v>0.0</v>
      </c>
      <c r="S3" s="114">
        <f>IFERROR(IF(H3=0,"",COUNTIF(Licenses!$B:$B,C3)/H3),"")</f>
        <v>9.2</v>
      </c>
      <c r="T3" s="11"/>
      <c r="U3" s="115" t="s">
        <v>598</v>
      </c>
      <c r="V3" s="2"/>
      <c r="W3" s="2"/>
      <c r="X3" s="2"/>
      <c r="Y3" s="2"/>
      <c r="Z3" s="2"/>
    </row>
    <row r="4" ht="15.0" customHeight="1">
      <c r="A4" s="11" t="s">
        <v>601</v>
      </c>
      <c r="B4" s="11" t="s">
        <v>593</v>
      </c>
      <c r="C4" s="11" t="s">
        <v>482</v>
      </c>
      <c r="D4" s="11" t="s">
        <v>594</v>
      </c>
      <c r="E4" s="11">
        <v>1.10004469439E11</v>
      </c>
      <c r="F4" s="11" t="s">
        <v>595</v>
      </c>
      <c r="G4" s="11" t="s">
        <v>602</v>
      </c>
      <c r="H4" s="11">
        <v>10.0</v>
      </c>
      <c r="I4" s="112">
        <v>45864.0</v>
      </c>
      <c r="J4" s="112">
        <v>46229.0</v>
      </c>
      <c r="K4" s="11" t="s">
        <v>478</v>
      </c>
      <c r="L4" s="11" t="s">
        <v>541</v>
      </c>
      <c r="M4" s="11" t="s">
        <v>603</v>
      </c>
      <c r="N4" s="11" t="s">
        <v>168</v>
      </c>
      <c r="O4" s="113">
        <f t="shared" si="1"/>
        <v>54</v>
      </c>
      <c r="P4" s="11" t="str">
        <f t="shared" si="2"/>
        <v>Watch</v>
      </c>
      <c r="Q4" s="11">
        <v>83.0</v>
      </c>
      <c r="R4" s="11">
        <v>0.0</v>
      </c>
      <c r="S4" s="114">
        <f>IFERROR(IF(H4=0,"",COUNTIF(Licenses!$B:$B,C4)/H4),"")</f>
        <v>9.2</v>
      </c>
      <c r="T4" s="11"/>
      <c r="U4" s="115" t="s">
        <v>598</v>
      </c>
      <c r="V4" s="2"/>
      <c r="W4" s="2"/>
      <c r="X4" s="2"/>
      <c r="Y4" s="2"/>
      <c r="Z4" s="2"/>
    </row>
    <row r="5" ht="15.0" customHeight="1">
      <c r="A5" s="11" t="s">
        <v>604</v>
      </c>
      <c r="B5" s="11" t="s">
        <v>593</v>
      </c>
      <c r="C5" s="11" t="s">
        <v>482</v>
      </c>
      <c r="D5" s="11" t="s">
        <v>594</v>
      </c>
      <c r="E5" s="11">
        <v>1.10003696736E11</v>
      </c>
      <c r="F5" s="11" t="s">
        <v>595</v>
      </c>
      <c r="G5" s="11" t="s">
        <v>605</v>
      </c>
      <c r="H5" s="11">
        <v>10.0</v>
      </c>
      <c r="I5" s="112">
        <v>45898.0</v>
      </c>
      <c r="J5" s="112">
        <v>46263.0</v>
      </c>
      <c r="K5" s="11" t="s">
        <v>478</v>
      </c>
      <c r="L5" s="11" t="s">
        <v>541</v>
      </c>
      <c r="M5" s="11" t="s">
        <v>597</v>
      </c>
      <c r="N5" s="11" t="s">
        <v>168</v>
      </c>
      <c r="O5" s="113">
        <f t="shared" si="1"/>
        <v>88</v>
      </c>
      <c r="P5" s="11" t="str">
        <f t="shared" si="2"/>
        <v>Watch</v>
      </c>
      <c r="Q5" s="11">
        <v>83.0</v>
      </c>
      <c r="R5" s="11">
        <v>0.0</v>
      </c>
      <c r="S5" s="114">
        <f>IFERROR(IF(H5=0,"",COUNTIF(Licenses!$B:$B,C5)/H5),"")</f>
        <v>9.2</v>
      </c>
      <c r="T5" s="11"/>
      <c r="U5" s="115" t="s">
        <v>598</v>
      </c>
      <c r="V5" s="2"/>
      <c r="W5" s="2"/>
      <c r="X5" s="2"/>
      <c r="Y5" s="2"/>
      <c r="Z5" s="2"/>
    </row>
    <row r="6" ht="15.0" customHeight="1">
      <c r="A6" s="11" t="s">
        <v>606</v>
      </c>
      <c r="B6" s="11" t="s">
        <v>593</v>
      </c>
      <c r="C6" s="11" t="s">
        <v>482</v>
      </c>
      <c r="D6" s="11" t="s">
        <v>594</v>
      </c>
      <c r="E6" s="11">
        <v>1.10004850159E11</v>
      </c>
      <c r="F6" s="11" t="s">
        <v>595</v>
      </c>
      <c r="G6" s="11" t="s">
        <v>607</v>
      </c>
      <c r="H6" s="11">
        <v>20.0</v>
      </c>
      <c r="I6" s="112">
        <v>45898.0</v>
      </c>
      <c r="J6" s="112">
        <v>46263.0</v>
      </c>
      <c r="K6" s="11" t="s">
        <v>478</v>
      </c>
      <c r="L6" s="11" t="s">
        <v>541</v>
      </c>
      <c r="M6" s="11" t="s">
        <v>603</v>
      </c>
      <c r="N6" s="11" t="s">
        <v>168</v>
      </c>
      <c r="O6" s="113">
        <f t="shared" si="1"/>
        <v>88</v>
      </c>
      <c r="P6" s="11" t="str">
        <f t="shared" si="2"/>
        <v>Watch</v>
      </c>
      <c r="Q6" s="11">
        <v>83.0</v>
      </c>
      <c r="R6" s="11">
        <v>0.0</v>
      </c>
      <c r="S6" s="114">
        <f>IFERROR(IF(H6=0,"",COUNTIF(Licenses!$B:$B,C6)/H6),"")</f>
        <v>4.6</v>
      </c>
      <c r="T6" s="11"/>
      <c r="U6" s="115" t="s">
        <v>598</v>
      </c>
      <c r="V6" s="2"/>
      <c r="W6" s="2"/>
      <c r="X6" s="2"/>
      <c r="Y6" s="2"/>
      <c r="Z6" s="2"/>
    </row>
    <row r="7" ht="15.0" customHeight="1">
      <c r="A7" s="11" t="s">
        <v>608</v>
      </c>
      <c r="B7" s="11" t="s">
        <v>593</v>
      </c>
      <c r="C7" s="11" t="s">
        <v>482</v>
      </c>
      <c r="D7" s="11" t="s">
        <v>594</v>
      </c>
      <c r="E7" s="11">
        <v>1.1000485019E11</v>
      </c>
      <c r="F7" s="11" t="s">
        <v>595</v>
      </c>
      <c r="G7" s="11" t="s">
        <v>609</v>
      </c>
      <c r="H7" s="11">
        <v>10.0</v>
      </c>
      <c r="I7" s="112">
        <v>45898.0</v>
      </c>
      <c r="J7" s="112">
        <v>46263.0</v>
      </c>
      <c r="K7" s="11" t="s">
        <v>478</v>
      </c>
      <c r="L7" s="11" t="s">
        <v>541</v>
      </c>
      <c r="M7" s="11" t="s">
        <v>610</v>
      </c>
      <c r="N7" s="11" t="s">
        <v>168</v>
      </c>
      <c r="O7" s="113">
        <f t="shared" si="1"/>
        <v>88</v>
      </c>
      <c r="P7" s="11" t="str">
        <f t="shared" si="2"/>
        <v>Watch</v>
      </c>
      <c r="Q7" s="11">
        <v>83.0</v>
      </c>
      <c r="R7" s="11">
        <v>0.0</v>
      </c>
      <c r="S7" s="114">
        <f>IFERROR(IF(H7=0,"",COUNTIF(Licenses!$B:$B,C7)/H7),"")</f>
        <v>9.2</v>
      </c>
      <c r="T7" s="11"/>
      <c r="U7" s="115" t="s">
        <v>598</v>
      </c>
      <c r="V7" s="2"/>
      <c r="W7" s="2"/>
      <c r="X7" s="2"/>
      <c r="Y7" s="2"/>
      <c r="Z7" s="2"/>
    </row>
    <row r="8" ht="15.0" hidden="1" customHeight="1">
      <c r="A8" s="11" t="s">
        <v>611</v>
      </c>
      <c r="B8" s="11" t="s">
        <v>593</v>
      </c>
      <c r="C8" s="11" t="s">
        <v>612</v>
      </c>
      <c r="D8" s="11" t="s">
        <v>594</v>
      </c>
      <c r="E8" s="11">
        <v>1.10004508222E11</v>
      </c>
      <c r="F8" s="11" t="s">
        <v>595</v>
      </c>
      <c r="G8" s="11" t="s">
        <v>613</v>
      </c>
      <c r="H8" s="11">
        <v>1.0</v>
      </c>
      <c r="I8" s="112">
        <v>45905.0</v>
      </c>
      <c r="J8" s="112">
        <v>46270.0</v>
      </c>
      <c r="K8" s="11" t="s">
        <v>478</v>
      </c>
      <c r="L8" s="11" t="s">
        <v>541</v>
      </c>
      <c r="M8" s="11" t="s">
        <v>603</v>
      </c>
      <c r="N8" s="11" t="s">
        <v>168</v>
      </c>
      <c r="O8" s="113">
        <f t="shared" si="1"/>
        <v>95</v>
      </c>
      <c r="P8" s="11" t="str">
        <f t="shared" si="2"/>
        <v>Active</v>
      </c>
      <c r="Q8" s="11">
        <v>1.0</v>
      </c>
      <c r="R8" s="11">
        <v>0.0</v>
      </c>
      <c r="S8" s="114">
        <f>IFERROR(IF(H8=0,"",COUNTIF(Licenses!$B:$B,C8)/H8),"")</f>
        <v>1</v>
      </c>
      <c r="T8" s="11"/>
      <c r="U8" s="115" t="s">
        <v>612</v>
      </c>
      <c r="V8" s="2"/>
      <c r="W8" s="2"/>
      <c r="X8" s="2"/>
      <c r="Y8" s="2"/>
      <c r="Z8" s="2"/>
    </row>
    <row r="9" ht="15.0" customHeight="1">
      <c r="A9" s="11" t="s">
        <v>614</v>
      </c>
      <c r="B9" s="11" t="s">
        <v>615</v>
      </c>
      <c r="C9" s="11" t="s">
        <v>482</v>
      </c>
      <c r="D9" s="11" t="s">
        <v>594</v>
      </c>
      <c r="E9" s="11">
        <v>1.1000364075E11</v>
      </c>
      <c r="F9" s="11" t="s">
        <v>595</v>
      </c>
      <c r="G9" s="11" t="s">
        <v>616</v>
      </c>
      <c r="H9" s="11">
        <v>6.0</v>
      </c>
      <c r="I9" s="112">
        <v>44386.0</v>
      </c>
      <c r="J9" s="112"/>
      <c r="K9" s="11" t="s">
        <v>478</v>
      </c>
      <c r="L9" s="11" t="s">
        <v>541</v>
      </c>
      <c r="M9" s="11"/>
      <c r="N9" s="11"/>
      <c r="O9" s="113" t="str">
        <f t="shared" si="1"/>
        <v/>
      </c>
      <c r="P9" s="11" t="str">
        <f t="shared" si="2"/>
        <v>No End Date</v>
      </c>
      <c r="Q9" s="11">
        <v>83.0</v>
      </c>
      <c r="R9" s="11">
        <v>0.0</v>
      </c>
      <c r="S9" s="114">
        <f>IFERROR(IF(H9=0,"",COUNTIF(Licenses!$B:$B,C9)/H9),"")</f>
        <v>15.33333333</v>
      </c>
      <c r="T9" s="11"/>
      <c r="U9" s="115" t="s">
        <v>598</v>
      </c>
      <c r="V9" s="2"/>
      <c r="W9" s="2"/>
      <c r="X9" s="2"/>
      <c r="Y9" s="2"/>
      <c r="Z9" s="2"/>
    </row>
    <row r="10" ht="15.0" customHeight="1">
      <c r="A10" s="11" t="s">
        <v>617</v>
      </c>
      <c r="B10" s="11" t="s">
        <v>615</v>
      </c>
      <c r="C10" s="11" t="s">
        <v>482</v>
      </c>
      <c r="D10" s="11" t="s">
        <v>594</v>
      </c>
      <c r="E10" s="11">
        <v>1.10003651805E11</v>
      </c>
      <c r="F10" s="11" t="s">
        <v>595</v>
      </c>
      <c r="G10" s="11" t="s">
        <v>618</v>
      </c>
      <c r="H10" s="11">
        <v>7.0</v>
      </c>
      <c r="I10" s="112">
        <v>44395.0</v>
      </c>
      <c r="J10" s="112"/>
      <c r="K10" s="11" t="s">
        <v>478</v>
      </c>
      <c r="L10" s="11" t="s">
        <v>541</v>
      </c>
      <c r="M10" s="11"/>
      <c r="N10" s="11"/>
      <c r="O10" s="113" t="str">
        <f t="shared" si="1"/>
        <v/>
      </c>
      <c r="P10" s="11" t="str">
        <f t="shared" si="2"/>
        <v>No End Date</v>
      </c>
      <c r="Q10" s="11">
        <v>83.0</v>
      </c>
      <c r="R10" s="11">
        <v>0.0</v>
      </c>
      <c r="S10" s="114">
        <f>IFERROR(IF(H10=0,"",COUNTIF(Licenses!$B:$B,C10)/H10),"")</f>
        <v>13.14285714</v>
      </c>
      <c r="T10" s="11"/>
      <c r="U10" s="115" t="s">
        <v>598</v>
      </c>
      <c r="V10" s="2"/>
      <c r="W10" s="2"/>
      <c r="X10" s="2"/>
      <c r="Y10" s="2"/>
      <c r="Z10" s="2"/>
    </row>
    <row r="11" ht="15.0" customHeight="1">
      <c r="A11" s="11" t="s">
        <v>619</v>
      </c>
      <c r="B11" s="11" t="s">
        <v>620</v>
      </c>
      <c r="C11" s="11" t="s">
        <v>482</v>
      </c>
      <c r="D11" s="11" t="s">
        <v>594</v>
      </c>
      <c r="E11" s="11">
        <v>1.1000348429E11</v>
      </c>
      <c r="F11" s="11" t="s">
        <v>595</v>
      </c>
      <c r="G11" s="11"/>
      <c r="H11" s="11">
        <v>1.0</v>
      </c>
      <c r="I11" s="112">
        <v>44630.0</v>
      </c>
      <c r="J11" s="112"/>
      <c r="K11" s="11" t="s">
        <v>478</v>
      </c>
      <c r="L11" s="11" t="s">
        <v>541</v>
      </c>
      <c r="M11" s="11"/>
      <c r="N11" s="11"/>
      <c r="O11" s="113" t="str">
        <f t="shared" si="1"/>
        <v/>
      </c>
      <c r="P11" s="11" t="str">
        <f t="shared" si="2"/>
        <v>No End Date</v>
      </c>
      <c r="Q11" s="11">
        <v>83.0</v>
      </c>
      <c r="R11" s="11">
        <v>0.0</v>
      </c>
      <c r="S11" s="114">
        <f>IFERROR(IF(H11=0,"",COUNTIF(Licenses!$B:$B,C11)/H11),"")</f>
        <v>92</v>
      </c>
      <c r="T11" s="11"/>
      <c r="U11" s="115" t="s">
        <v>598</v>
      </c>
      <c r="V11" s="2"/>
      <c r="W11" s="2"/>
      <c r="X11" s="2"/>
      <c r="Y11" s="2"/>
      <c r="Z11" s="2"/>
    </row>
    <row r="12" ht="15.0" hidden="1" customHeight="1">
      <c r="A12" s="11" t="s">
        <v>621</v>
      </c>
      <c r="B12" s="11" t="s">
        <v>593</v>
      </c>
      <c r="C12" s="11" t="s">
        <v>622</v>
      </c>
      <c r="D12" s="11" t="s">
        <v>623</v>
      </c>
      <c r="E12" s="11"/>
      <c r="F12" s="11" t="s">
        <v>595</v>
      </c>
      <c r="G12" s="11"/>
      <c r="H12" s="11">
        <v>20.0</v>
      </c>
      <c r="I12" s="112">
        <v>45674.0</v>
      </c>
      <c r="J12" s="112">
        <v>46732.0</v>
      </c>
      <c r="K12" s="11" t="s">
        <v>624</v>
      </c>
      <c r="L12" s="11" t="s">
        <v>541</v>
      </c>
      <c r="M12" s="11" t="s">
        <v>603</v>
      </c>
      <c r="N12" s="11" t="s">
        <v>219</v>
      </c>
      <c r="O12" s="113">
        <f t="shared" si="1"/>
        <v>557</v>
      </c>
      <c r="P12" s="11" t="str">
        <f t="shared" si="2"/>
        <v>Active</v>
      </c>
      <c r="Q12" s="11">
        <v>0.0</v>
      </c>
      <c r="R12" s="11">
        <v>20.0</v>
      </c>
      <c r="S12" s="114">
        <f>IFERROR(IF(H12=0,"",COUNTIF(Licenses!$B:$B,C12)/H12),"")</f>
        <v>0</v>
      </c>
      <c r="T12" s="11"/>
      <c r="U12" s="115" t="s">
        <v>625</v>
      </c>
      <c r="V12" s="2"/>
      <c r="W12" s="2"/>
      <c r="X12" s="2"/>
      <c r="Y12" s="2"/>
      <c r="Z12" s="2"/>
    </row>
    <row r="13" ht="15.0" hidden="1" customHeight="1">
      <c r="A13" s="11" t="s">
        <v>626</v>
      </c>
      <c r="B13" s="11" t="s">
        <v>593</v>
      </c>
      <c r="C13" s="11" t="s">
        <v>627</v>
      </c>
      <c r="D13" s="11" t="s">
        <v>623</v>
      </c>
      <c r="E13" s="11"/>
      <c r="F13" s="11" t="s">
        <v>595</v>
      </c>
      <c r="G13" s="11"/>
      <c r="H13" s="11">
        <v>2.0</v>
      </c>
      <c r="I13" s="112">
        <v>45674.0</v>
      </c>
      <c r="J13" s="112">
        <v>46732.0</v>
      </c>
      <c r="K13" s="11" t="s">
        <v>624</v>
      </c>
      <c r="L13" s="11" t="s">
        <v>541</v>
      </c>
      <c r="M13" s="11" t="s">
        <v>603</v>
      </c>
      <c r="N13" s="11" t="s">
        <v>219</v>
      </c>
      <c r="O13" s="113">
        <f t="shared" si="1"/>
        <v>557</v>
      </c>
      <c r="P13" s="11" t="str">
        <f t="shared" si="2"/>
        <v>Active</v>
      </c>
      <c r="Q13" s="11">
        <v>2.0</v>
      </c>
      <c r="R13" s="11">
        <v>0.0</v>
      </c>
      <c r="S13" s="114">
        <f>IFERROR(IF(H13=0,"",COUNTIF(Licenses!$B:$B,C13)/H13),"")</f>
        <v>0.5</v>
      </c>
      <c r="T13" s="11"/>
      <c r="U13" s="115" t="s">
        <v>627</v>
      </c>
      <c r="V13" s="2"/>
      <c r="W13" s="2"/>
      <c r="X13" s="2"/>
      <c r="Y13" s="2"/>
      <c r="Z13" s="2"/>
    </row>
    <row r="14" ht="15.0" hidden="1" customHeight="1">
      <c r="A14" s="11" t="s">
        <v>628</v>
      </c>
      <c r="B14" s="11" t="s">
        <v>593</v>
      </c>
      <c r="C14" s="11" t="s">
        <v>629</v>
      </c>
      <c r="D14" s="11" t="s">
        <v>623</v>
      </c>
      <c r="E14" s="11"/>
      <c r="F14" s="11" t="s">
        <v>595</v>
      </c>
      <c r="G14" s="11"/>
      <c r="H14" s="11">
        <v>4.0</v>
      </c>
      <c r="I14" s="112">
        <v>45674.0</v>
      </c>
      <c r="J14" s="112">
        <v>46732.0</v>
      </c>
      <c r="K14" s="11" t="s">
        <v>624</v>
      </c>
      <c r="L14" s="11" t="s">
        <v>541</v>
      </c>
      <c r="M14" s="11" t="s">
        <v>603</v>
      </c>
      <c r="N14" s="11" t="s">
        <v>219</v>
      </c>
      <c r="O14" s="113">
        <f t="shared" si="1"/>
        <v>557</v>
      </c>
      <c r="P14" s="11" t="str">
        <f t="shared" si="2"/>
        <v>Active</v>
      </c>
      <c r="Q14" s="11">
        <v>4.0</v>
      </c>
      <c r="R14" s="11">
        <v>0.0</v>
      </c>
      <c r="S14" s="114">
        <f>IFERROR(IF(H14=0,"",COUNTIF(Licenses!$B:$B,C14)/H14),"")</f>
        <v>1</v>
      </c>
      <c r="T14" s="11"/>
      <c r="U14" s="115" t="s">
        <v>629</v>
      </c>
      <c r="V14" s="2"/>
      <c r="W14" s="2"/>
      <c r="X14" s="2"/>
      <c r="Y14" s="2"/>
      <c r="Z14" s="2"/>
    </row>
    <row r="15" ht="15.0" hidden="1" customHeight="1">
      <c r="A15" s="11" t="s">
        <v>630</v>
      </c>
      <c r="B15" s="11" t="s">
        <v>593</v>
      </c>
      <c r="C15" s="11" t="s">
        <v>631</v>
      </c>
      <c r="D15" s="11" t="s">
        <v>623</v>
      </c>
      <c r="E15" s="11"/>
      <c r="F15" s="11" t="s">
        <v>595</v>
      </c>
      <c r="G15" s="11"/>
      <c r="H15" s="11">
        <v>3.0</v>
      </c>
      <c r="I15" s="112">
        <v>45674.0</v>
      </c>
      <c r="J15" s="112">
        <v>46732.0</v>
      </c>
      <c r="K15" s="11" t="s">
        <v>624</v>
      </c>
      <c r="L15" s="11" t="s">
        <v>541</v>
      </c>
      <c r="M15" s="11" t="s">
        <v>603</v>
      </c>
      <c r="N15" s="11" t="s">
        <v>219</v>
      </c>
      <c r="O15" s="113">
        <f t="shared" si="1"/>
        <v>557</v>
      </c>
      <c r="P15" s="11" t="str">
        <f t="shared" si="2"/>
        <v>Active</v>
      </c>
      <c r="Q15" s="11">
        <v>3.0</v>
      </c>
      <c r="R15" s="11">
        <v>0.0</v>
      </c>
      <c r="S15" s="114">
        <f>IFERROR(IF(H15=0,"",COUNTIF(Licenses!$B:$B,C15)/H15),"")</f>
        <v>1</v>
      </c>
      <c r="T15" s="11"/>
      <c r="U15" s="115" t="s">
        <v>631</v>
      </c>
      <c r="V15" s="2"/>
      <c r="W15" s="2"/>
      <c r="X15" s="2"/>
      <c r="Y15" s="2"/>
      <c r="Z15" s="2"/>
    </row>
    <row r="16" ht="15.0" hidden="1" customHeight="1">
      <c r="A16" s="11" t="s">
        <v>632</v>
      </c>
      <c r="B16" s="11" t="s">
        <v>593</v>
      </c>
      <c r="C16" s="11" t="s">
        <v>493</v>
      </c>
      <c r="D16" s="11" t="s">
        <v>633</v>
      </c>
      <c r="E16" s="11"/>
      <c r="F16" s="11" t="s">
        <v>595</v>
      </c>
      <c r="G16" s="11"/>
      <c r="H16" s="11">
        <v>10.0</v>
      </c>
      <c r="I16" s="112">
        <v>45992.0</v>
      </c>
      <c r="J16" s="112">
        <v>46357.0</v>
      </c>
      <c r="K16" s="11" t="s">
        <v>624</v>
      </c>
      <c r="L16" s="11" t="s">
        <v>541</v>
      </c>
      <c r="M16" s="11" t="s">
        <v>634</v>
      </c>
      <c r="N16" s="11"/>
      <c r="O16" s="113">
        <f t="shared" si="1"/>
        <v>182</v>
      </c>
      <c r="P16" s="11" t="str">
        <f t="shared" si="2"/>
        <v>Active</v>
      </c>
      <c r="Q16" s="11">
        <v>0.0</v>
      </c>
      <c r="R16" s="11">
        <v>87.0</v>
      </c>
      <c r="S16" s="114">
        <f>IFERROR(IF(H16=0,"",COUNTIF(Licenses!$B:$B,C16)/H16),"")</f>
        <v>1</v>
      </c>
      <c r="T16" s="11"/>
      <c r="U16" s="115" t="s">
        <v>635</v>
      </c>
      <c r="V16" s="2"/>
      <c r="W16" s="2"/>
      <c r="X16" s="2"/>
      <c r="Y16" s="2"/>
      <c r="Z16" s="2"/>
    </row>
    <row r="17" ht="23.25" hidden="1" customHeight="1">
      <c r="A17" s="11" t="s">
        <v>636</v>
      </c>
      <c r="B17" s="11" t="s">
        <v>593</v>
      </c>
      <c r="C17" s="11" t="s">
        <v>504</v>
      </c>
      <c r="D17" s="11" t="s">
        <v>633</v>
      </c>
      <c r="E17" s="11"/>
      <c r="F17" s="11" t="s">
        <v>595</v>
      </c>
      <c r="G17" s="11"/>
      <c r="H17" s="11">
        <v>95.0</v>
      </c>
      <c r="I17" s="112">
        <v>45992.0</v>
      </c>
      <c r="J17" s="112">
        <v>46357.0</v>
      </c>
      <c r="K17" s="11" t="s">
        <v>624</v>
      </c>
      <c r="L17" s="11" t="s">
        <v>541</v>
      </c>
      <c r="M17" s="11" t="s">
        <v>634</v>
      </c>
      <c r="N17" s="11"/>
      <c r="O17" s="113">
        <f t="shared" si="1"/>
        <v>182</v>
      </c>
      <c r="P17" s="11" t="str">
        <f t="shared" si="2"/>
        <v>Active</v>
      </c>
      <c r="Q17" s="11">
        <v>0.0</v>
      </c>
      <c r="R17" s="11">
        <v>31.0</v>
      </c>
      <c r="S17" s="114">
        <f>IFERROR(IF(H17=0,"",COUNTIF(Licenses!$B:$B,C17)/H17),"")</f>
        <v>0.3368421053</v>
      </c>
      <c r="T17" s="11"/>
      <c r="U17" s="115" t="s">
        <v>637</v>
      </c>
      <c r="V17" s="2"/>
      <c r="W17" s="2"/>
      <c r="X17" s="2"/>
      <c r="Y17" s="2"/>
      <c r="Z17" s="2"/>
    </row>
    <row r="18" ht="15.0" hidden="1" customHeight="1">
      <c r="A18" s="11" t="s">
        <v>638</v>
      </c>
      <c r="B18" s="11" t="s">
        <v>593</v>
      </c>
      <c r="C18" s="116" t="s">
        <v>639</v>
      </c>
      <c r="D18" s="11" t="s">
        <v>594</v>
      </c>
      <c r="E18" s="11"/>
      <c r="F18" s="11" t="s">
        <v>595</v>
      </c>
      <c r="G18" s="11"/>
      <c r="H18" s="11">
        <v>19.0</v>
      </c>
      <c r="I18" s="112">
        <v>45813.0</v>
      </c>
      <c r="J18" s="112">
        <v>46178.0</v>
      </c>
      <c r="K18" s="11" t="s">
        <v>624</v>
      </c>
      <c r="L18" s="11" t="s">
        <v>541</v>
      </c>
      <c r="M18" s="11" t="s">
        <v>603</v>
      </c>
      <c r="N18" s="11"/>
      <c r="O18" s="113">
        <f t="shared" si="1"/>
        <v>3</v>
      </c>
      <c r="P18" s="11" t="str">
        <f t="shared" si="2"/>
        <v>Expiring Soon</v>
      </c>
      <c r="Q18" s="11">
        <v>0.0</v>
      </c>
      <c r="R18" s="11">
        <v>19.0</v>
      </c>
      <c r="S18" s="114">
        <f>IFERROR(IF(H18=0,"",COUNTIF(Licenses!$B:$B,C18)/H18),"")</f>
        <v>2.578947368</v>
      </c>
      <c r="T18" s="11"/>
      <c r="U18" s="115" t="s">
        <v>639</v>
      </c>
      <c r="V18" s="2"/>
      <c r="W18" s="2"/>
      <c r="X18" s="2"/>
      <c r="Y18" s="2"/>
      <c r="Z18" s="2"/>
    </row>
    <row r="19" ht="15.0" hidden="1" customHeight="1">
      <c r="A19" s="11" t="s">
        <v>640</v>
      </c>
      <c r="B19" s="11" t="s">
        <v>593</v>
      </c>
      <c r="C19" s="116" t="s">
        <v>639</v>
      </c>
      <c r="D19" s="11" t="s">
        <v>594</v>
      </c>
      <c r="E19" s="11"/>
      <c r="F19" s="11" t="s">
        <v>595</v>
      </c>
      <c r="G19" s="11"/>
      <c r="H19" s="11">
        <v>12.0</v>
      </c>
      <c r="I19" s="112">
        <v>45890.0</v>
      </c>
      <c r="J19" s="112">
        <v>46255.0</v>
      </c>
      <c r="K19" s="11" t="s">
        <v>624</v>
      </c>
      <c r="L19" s="11" t="s">
        <v>541</v>
      </c>
      <c r="M19" s="11" t="s">
        <v>603</v>
      </c>
      <c r="N19" s="11"/>
      <c r="O19" s="113">
        <f t="shared" si="1"/>
        <v>80</v>
      </c>
      <c r="P19" s="11" t="str">
        <f t="shared" si="2"/>
        <v>Watch</v>
      </c>
      <c r="Q19" s="11">
        <v>0.0</v>
      </c>
      <c r="R19" s="11">
        <v>12.0</v>
      </c>
      <c r="S19" s="114">
        <f>IFERROR(IF(H19=0,"",COUNTIF(Licenses!$B:$B,C19)/H19),"")</f>
        <v>4.083333333</v>
      </c>
      <c r="T19" s="11"/>
      <c r="U19" s="115" t="s">
        <v>639</v>
      </c>
      <c r="V19" s="2"/>
      <c r="W19" s="2"/>
      <c r="X19" s="2"/>
      <c r="Y19" s="2"/>
      <c r="Z19" s="2"/>
    </row>
    <row r="20" ht="15.75" hidden="1" customHeight="1">
      <c r="A20" s="11" t="s">
        <v>641</v>
      </c>
      <c r="B20" s="11" t="s">
        <v>593</v>
      </c>
      <c r="C20" s="116" t="s">
        <v>639</v>
      </c>
      <c r="D20" s="11" t="s">
        <v>594</v>
      </c>
      <c r="E20" s="11"/>
      <c r="F20" s="11" t="s">
        <v>595</v>
      </c>
      <c r="G20" s="11"/>
      <c r="H20" s="11">
        <v>3.0</v>
      </c>
      <c r="I20" s="112">
        <v>45915.0</v>
      </c>
      <c r="J20" s="112">
        <v>46280.0</v>
      </c>
      <c r="K20" s="11" t="s">
        <v>624</v>
      </c>
      <c r="L20" s="11" t="s">
        <v>541</v>
      </c>
      <c r="M20" s="11" t="s">
        <v>603</v>
      </c>
      <c r="N20" s="11"/>
      <c r="O20" s="113">
        <f t="shared" si="1"/>
        <v>105</v>
      </c>
      <c r="P20" s="11" t="str">
        <f t="shared" si="2"/>
        <v>Active</v>
      </c>
      <c r="Q20" s="11">
        <v>0.0</v>
      </c>
      <c r="R20" s="11">
        <v>3.0</v>
      </c>
      <c r="S20" s="114">
        <f>IFERROR(IF(H20=0,"",COUNTIF(Licenses!$B:$B,C20)/H20),"")</f>
        <v>16.33333333</v>
      </c>
      <c r="T20" s="11"/>
      <c r="U20" s="115" t="s">
        <v>639</v>
      </c>
      <c r="V20" s="2"/>
      <c r="W20" s="2"/>
      <c r="X20" s="2"/>
      <c r="Y20" s="2"/>
      <c r="Z20" s="2"/>
    </row>
    <row r="21" ht="15.75" hidden="1" customHeight="1">
      <c r="A21" s="11" t="s">
        <v>642</v>
      </c>
      <c r="B21" s="11" t="s">
        <v>593</v>
      </c>
      <c r="C21" s="116" t="s">
        <v>639</v>
      </c>
      <c r="D21" s="11" t="s">
        <v>594</v>
      </c>
      <c r="E21" s="11"/>
      <c r="F21" s="11" t="s">
        <v>595</v>
      </c>
      <c r="G21" s="11"/>
      <c r="H21" s="11">
        <v>6.0</v>
      </c>
      <c r="I21" s="112">
        <v>45926.0</v>
      </c>
      <c r="J21" s="112">
        <v>46291.0</v>
      </c>
      <c r="K21" s="11" t="s">
        <v>624</v>
      </c>
      <c r="L21" s="11" t="s">
        <v>541</v>
      </c>
      <c r="M21" s="11" t="s">
        <v>603</v>
      </c>
      <c r="N21" s="11"/>
      <c r="O21" s="113">
        <f t="shared" si="1"/>
        <v>116</v>
      </c>
      <c r="P21" s="11" t="str">
        <f t="shared" si="2"/>
        <v>Active</v>
      </c>
      <c r="Q21" s="11">
        <v>0.0</v>
      </c>
      <c r="R21" s="11">
        <v>6.0</v>
      </c>
      <c r="S21" s="114">
        <f>IFERROR(IF(H21=0,"",COUNTIF(Licenses!$B:$B,C21)/H21),"")</f>
        <v>8.166666667</v>
      </c>
      <c r="T21" s="11"/>
      <c r="U21" s="115" t="s">
        <v>639</v>
      </c>
      <c r="V21" s="2"/>
      <c r="W21" s="2"/>
      <c r="X21" s="2"/>
      <c r="Y21" s="2"/>
      <c r="Z21" s="2"/>
    </row>
    <row r="22" ht="15.75" hidden="1" customHeight="1">
      <c r="A22" s="11" t="s">
        <v>643</v>
      </c>
      <c r="B22" s="11" t="s">
        <v>593</v>
      </c>
      <c r="C22" s="116" t="s">
        <v>639</v>
      </c>
      <c r="D22" s="11" t="s">
        <v>594</v>
      </c>
      <c r="E22" s="11"/>
      <c r="F22" s="11" t="s">
        <v>595</v>
      </c>
      <c r="G22" s="11"/>
      <c r="H22" s="11">
        <v>5.0</v>
      </c>
      <c r="I22" s="112">
        <v>45957.0</v>
      </c>
      <c r="J22" s="112">
        <v>46322.0</v>
      </c>
      <c r="K22" s="11" t="s">
        <v>624</v>
      </c>
      <c r="L22" s="11" t="s">
        <v>541</v>
      </c>
      <c r="M22" s="11" t="s">
        <v>603</v>
      </c>
      <c r="N22" s="11"/>
      <c r="O22" s="113">
        <f t="shared" si="1"/>
        <v>147</v>
      </c>
      <c r="P22" s="11" t="str">
        <f t="shared" si="2"/>
        <v>Active</v>
      </c>
      <c r="Q22" s="11">
        <v>0.0</v>
      </c>
      <c r="R22" s="11">
        <v>5.0</v>
      </c>
      <c r="S22" s="114">
        <f>IFERROR(IF(H22=0,"",COUNTIF(Licenses!$B:$B,C22)/H22),"")</f>
        <v>9.8</v>
      </c>
      <c r="T22" s="11"/>
      <c r="U22" s="115" t="s">
        <v>639</v>
      </c>
      <c r="V22" s="2"/>
      <c r="W22" s="2"/>
      <c r="X22" s="2"/>
      <c r="Y22" s="2"/>
      <c r="Z22" s="2"/>
    </row>
    <row r="23" ht="15.75" hidden="1" customHeight="1">
      <c r="A23" s="11" t="s">
        <v>644</v>
      </c>
      <c r="B23" s="11" t="s">
        <v>593</v>
      </c>
      <c r="C23" s="116" t="s">
        <v>639</v>
      </c>
      <c r="D23" s="11" t="s">
        <v>594</v>
      </c>
      <c r="E23" s="11"/>
      <c r="F23" s="11" t="s">
        <v>595</v>
      </c>
      <c r="G23" s="11"/>
      <c r="H23" s="11">
        <v>4.0</v>
      </c>
      <c r="I23" s="112">
        <v>46008.0</v>
      </c>
      <c r="J23" s="112">
        <v>46373.0</v>
      </c>
      <c r="K23" s="11" t="s">
        <v>624</v>
      </c>
      <c r="L23" s="11" t="s">
        <v>541</v>
      </c>
      <c r="M23" s="11" t="s">
        <v>603</v>
      </c>
      <c r="N23" s="11"/>
      <c r="O23" s="113">
        <f t="shared" si="1"/>
        <v>198</v>
      </c>
      <c r="P23" s="11" t="str">
        <f t="shared" si="2"/>
        <v>Active</v>
      </c>
      <c r="Q23" s="11">
        <v>0.0</v>
      </c>
      <c r="R23" s="11">
        <v>4.0</v>
      </c>
      <c r="S23" s="114">
        <f>IFERROR(IF(H23=0,"",COUNTIF(Licenses!$B:$B,C23)/H23),"")</f>
        <v>12.25</v>
      </c>
      <c r="T23" s="11"/>
      <c r="U23" s="115" t="s">
        <v>639</v>
      </c>
      <c r="V23" s="2"/>
      <c r="W23" s="2"/>
      <c r="X23" s="2"/>
      <c r="Y23" s="2"/>
      <c r="Z23" s="2"/>
    </row>
    <row r="24" ht="15.75" hidden="1" customHeight="1">
      <c r="A24" s="11" t="s">
        <v>645</v>
      </c>
      <c r="B24" s="11" t="s">
        <v>593</v>
      </c>
      <c r="C24" s="116" t="s">
        <v>639</v>
      </c>
      <c r="D24" s="11" t="s">
        <v>594</v>
      </c>
      <c r="E24" s="11"/>
      <c r="F24" s="11" t="s">
        <v>595</v>
      </c>
      <c r="G24" s="11"/>
      <c r="H24" s="11">
        <v>1.0</v>
      </c>
      <c r="I24" s="112">
        <v>46009.0</v>
      </c>
      <c r="J24" s="112">
        <v>46374.0</v>
      </c>
      <c r="K24" s="11" t="s">
        <v>624</v>
      </c>
      <c r="L24" s="11" t="s">
        <v>541</v>
      </c>
      <c r="M24" s="11" t="s">
        <v>603</v>
      </c>
      <c r="N24" s="11"/>
      <c r="O24" s="113">
        <f t="shared" si="1"/>
        <v>199</v>
      </c>
      <c r="P24" s="11" t="str">
        <f t="shared" si="2"/>
        <v>Active</v>
      </c>
      <c r="Q24" s="11">
        <v>0.0</v>
      </c>
      <c r="R24" s="11">
        <v>1.0</v>
      </c>
      <c r="S24" s="114">
        <f>IFERROR(IF(H24=0,"",COUNTIF(Licenses!$B:$B,C24)/H24),"")</f>
        <v>49</v>
      </c>
      <c r="T24" s="11"/>
      <c r="U24" s="115" t="s">
        <v>639</v>
      </c>
      <c r="V24" s="2"/>
      <c r="W24" s="2"/>
      <c r="X24" s="2"/>
      <c r="Y24" s="2"/>
      <c r="Z24" s="2"/>
    </row>
    <row r="25" ht="15.75" hidden="1" customHeight="1">
      <c r="A25" s="11" t="s">
        <v>646</v>
      </c>
      <c r="B25" s="11" t="s">
        <v>593</v>
      </c>
      <c r="C25" s="11" t="s">
        <v>647</v>
      </c>
      <c r="D25" s="11" t="s">
        <v>648</v>
      </c>
      <c r="E25" s="11"/>
      <c r="F25" s="11" t="s">
        <v>595</v>
      </c>
      <c r="G25" s="11"/>
      <c r="H25" s="11">
        <v>4.0</v>
      </c>
      <c r="I25" s="112">
        <v>46106.0</v>
      </c>
      <c r="J25" s="112">
        <v>46471.0</v>
      </c>
      <c r="K25" s="11" t="s">
        <v>624</v>
      </c>
      <c r="L25" s="11" t="s">
        <v>541</v>
      </c>
      <c r="M25" s="11" t="s">
        <v>603</v>
      </c>
      <c r="N25" s="11"/>
      <c r="O25" s="113">
        <f t="shared" si="1"/>
        <v>296</v>
      </c>
      <c r="P25" s="11" t="str">
        <f t="shared" si="2"/>
        <v>Active</v>
      </c>
      <c r="Q25" s="11">
        <v>0.0</v>
      </c>
      <c r="R25" s="11">
        <v>4.0</v>
      </c>
      <c r="S25" s="114">
        <f>IFERROR(IF(H25=0,"",COUNTIF(Licenses!$B:$B,C25)/H25),"")</f>
        <v>1.5</v>
      </c>
      <c r="T25" s="11"/>
      <c r="U25" s="115" t="s">
        <v>647</v>
      </c>
      <c r="V25" s="2"/>
      <c r="W25" s="2"/>
      <c r="X25" s="2"/>
      <c r="Y25" s="2"/>
      <c r="Z25" s="2"/>
    </row>
    <row r="26" ht="15.75" hidden="1" customHeight="1">
      <c r="A26" s="11" t="s">
        <v>649</v>
      </c>
      <c r="B26" s="11" t="s">
        <v>593</v>
      </c>
      <c r="C26" s="11" t="s">
        <v>647</v>
      </c>
      <c r="D26" s="11" t="s">
        <v>648</v>
      </c>
      <c r="E26" s="11"/>
      <c r="F26" s="11" t="s">
        <v>595</v>
      </c>
      <c r="G26" s="11"/>
      <c r="H26" s="11">
        <v>1.0</v>
      </c>
      <c r="I26" s="112">
        <v>46050.0</v>
      </c>
      <c r="J26" s="112">
        <v>46415.0</v>
      </c>
      <c r="K26" s="11" t="s">
        <v>624</v>
      </c>
      <c r="L26" s="11" t="s">
        <v>541</v>
      </c>
      <c r="M26" s="11" t="s">
        <v>603</v>
      </c>
      <c r="N26" s="11"/>
      <c r="O26" s="113">
        <f t="shared" si="1"/>
        <v>240</v>
      </c>
      <c r="P26" s="11" t="str">
        <f t="shared" si="2"/>
        <v>Active</v>
      </c>
      <c r="Q26" s="11">
        <v>0.0</v>
      </c>
      <c r="R26" s="11">
        <v>1.0</v>
      </c>
      <c r="S26" s="114">
        <f>IFERROR(IF(H26=0,"",COUNTIF(Licenses!$B:$B,C26)/H26),"")</f>
        <v>6</v>
      </c>
      <c r="T26" s="11"/>
      <c r="U26" s="115" t="s">
        <v>647</v>
      </c>
      <c r="V26" s="2"/>
      <c r="W26" s="2"/>
      <c r="X26" s="2"/>
      <c r="Y26" s="2"/>
      <c r="Z26" s="2"/>
    </row>
    <row r="27" ht="15.75" hidden="1" customHeight="1">
      <c r="A27" s="11" t="s">
        <v>650</v>
      </c>
      <c r="B27" s="11" t="s">
        <v>593</v>
      </c>
      <c r="C27" s="11" t="s">
        <v>647</v>
      </c>
      <c r="D27" s="11" t="s">
        <v>648</v>
      </c>
      <c r="E27" s="11"/>
      <c r="F27" s="11" t="s">
        <v>595</v>
      </c>
      <c r="G27" s="11"/>
      <c r="H27" s="11">
        <v>1.0</v>
      </c>
      <c r="I27" s="112">
        <v>46070.0</v>
      </c>
      <c r="J27" s="112">
        <v>46435.0</v>
      </c>
      <c r="K27" s="11" t="s">
        <v>624</v>
      </c>
      <c r="L27" s="11" t="s">
        <v>541</v>
      </c>
      <c r="M27" s="11" t="s">
        <v>603</v>
      </c>
      <c r="N27" s="11"/>
      <c r="O27" s="113">
        <f t="shared" si="1"/>
        <v>260</v>
      </c>
      <c r="P27" s="11" t="str">
        <f t="shared" si="2"/>
        <v>Active</v>
      </c>
      <c r="Q27" s="11">
        <v>0.0</v>
      </c>
      <c r="R27" s="11">
        <v>1.0</v>
      </c>
      <c r="S27" s="114">
        <f>IFERROR(IF(H27=0,"",COUNTIF(Licenses!$B:$B,C27)/H27),"")</f>
        <v>6</v>
      </c>
      <c r="T27" s="11"/>
      <c r="U27" s="115" t="s">
        <v>647</v>
      </c>
      <c r="V27" s="2"/>
      <c r="W27" s="2"/>
      <c r="X27" s="2"/>
      <c r="Y27" s="2"/>
      <c r="Z27" s="2"/>
    </row>
    <row r="28" ht="15.75" hidden="1" customHeight="1">
      <c r="A28" s="11" t="s">
        <v>651</v>
      </c>
      <c r="B28" s="11" t="s">
        <v>593</v>
      </c>
      <c r="C28" s="11" t="s">
        <v>652</v>
      </c>
      <c r="D28" s="11" t="s">
        <v>648</v>
      </c>
      <c r="E28" s="11"/>
      <c r="F28" s="11" t="s">
        <v>595</v>
      </c>
      <c r="G28" s="11"/>
      <c r="H28" s="11">
        <v>1.0</v>
      </c>
      <c r="I28" s="112">
        <v>45848.0</v>
      </c>
      <c r="J28" s="112">
        <v>46213.0</v>
      </c>
      <c r="K28" s="11" t="s">
        <v>624</v>
      </c>
      <c r="L28" s="11" t="s">
        <v>541</v>
      </c>
      <c r="M28" s="11" t="s">
        <v>603</v>
      </c>
      <c r="N28" s="11"/>
      <c r="O28" s="113">
        <f t="shared" si="1"/>
        <v>38</v>
      </c>
      <c r="P28" s="11" t="str">
        <f t="shared" si="2"/>
        <v>Watch</v>
      </c>
      <c r="Q28" s="11">
        <v>0.0</v>
      </c>
      <c r="R28" s="11">
        <v>1.0</v>
      </c>
      <c r="S28" s="114">
        <f>IFERROR(IF(H28=0,"",COUNTIF(Licenses!$B:$B,C28)/H28),"")</f>
        <v>1</v>
      </c>
      <c r="T28" s="11"/>
      <c r="U28" s="115" t="s">
        <v>652</v>
      </c>
      <c r="V28" s="2"/>
      <c r="W28" s="2"/>
      <c r="X28" s="2"/>
      <c r="Y28" s="2"/>
      <c r="Z28" s="2"/>
    </row>
    <row r="29" ht="15.75" customHeight="1">
      <c r="A29" s="11" t="s">
        <v>653</v>
      </c>
      <c r="B29" s="115" t="s">
        <v>593</v>
      </c>
      <c r="C29" s="115" t="s">
        <v>482</v>
      </c>
      <c r="D29" s="115" t="s">
        <v>594</v>
      </c>
      <c r="E29" s="115"/>
      <c r="F29" s="115" t="s">
        <v>595</v>
      </c>
      <c r="G29" s="115"/>
      <c r="H29" s="115">
        <v>6.0</v>
      </c>
      <c r="I29" s="117">
        <v>46013.0</v>
      </c>
      <c r="J29" s="117">
        <v>46378.0</v>
      </c>
      <c r="K29" s="115" t="s">
        <v>478</v>
      </c>
      <c r="L29" s="115" t="s">
        <v>541</v>
      </c>
      <c r="M29" s="115" t="s">
        <v>597</v>
      </c>
      <c r="N29" s="115" t="s">
        <v>168</v>
      </c>
      <c r="O29" s="115">
        <f t="shared" si="1"/>
        <v>203</v>
      </c>
      <c r="P29" s="115" t="str">
        <f t="shared" si="2"/>
        <v>Active</v>
      </c>
      <c r="Q29" s="115">
        <v>0.0</v>
      </c>
      <c r="R29" s="115">
        <v>6.0</v>
      </c>
      <c r="S29" s="115">
        <f>IFERROR(IF(H29=0,"",COUNTIF(Licenses!$B:$B,C29)/H29),"")</f>
        <v>15.33333333</v>
      </c>
      <c r="T29" s="11" t="s">
        <v>654</v>
      </c>
      <c r="U29" s="115" t="s">
        <v>598</v>
      </c>
      <c r="V29" s="2"/>
      <c r="W29" s="2"/>
      <c r="X29" s="2"/>
      <c r="Y29" s="2"/>
      <c r="Z29" s="2"/>
    </row>
    <row r="30" ht="15.75" customHeight="1">
      <c r="A30" s="11"/>
      <c r="B30" s="2"/>
      <c r="C30" s="2"/>
      <c r="D30" s="2"/>
      <c r="E30" s="2"/>
      <c r="F30" s="2"/>
      <c r="G30" s="2"/>
      <c r="H30" s="2"/>
      <c r="I30" s="118"/>
      <c r="J30" s="118"/>
      <c r="K30" s="2"/>
      <c r="L30" s="2"/>
      <c r="M30" s="2"/>
      <c r="N30" s="2"/>
      <c r="O30" s="2"/>
      <c r="P30" s="2"/>
      <c r="Q30" s="2"/>
      <c r="R30" s="2"/>
      <c r="S30" s="2"/>
      <c r="T30" s="119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118"/>
      <c r="J31" s="1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118"/>
      <c r="J32" s="1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118"/>
      <c r="J33" s="1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118"/>
      <c r="J34" s="1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118"/>
      <c r="J35" s="1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118"/>
      <c r="J36" s="1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118"/>
      <c r="J37" s="1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118"/>
      <c r="J38" s="1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118"/>
      <c r="J39" s="1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118"/>
      <c r="J40" s="1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118"/>
      <c r="J41" s="1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118"/>
      <c r="J42" s="11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118"/>
      <c r="J43" s="1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118"/>
      <c r="J44" s="1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118"/>
      <c r="J45" s="11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118"/>
      <c r="J46" s="11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118"/>
      <c r="J47" s="11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118"/>
      <c r="J48" s="11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118"/>
      <c r="J49" s="11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118"/>
      <c r="J50" s="11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118"/>
      <c r="J51" s="11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118"/>
      <c r="J52" s="11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118"/>
      <c r="J53" s="11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118"/>
      <c r="J54" s="11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118"/>
      <c r="J55" s="11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118"/>
      <c r="J56" s="11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118"/>
      <c r="J57" s="11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118"/>
      <c r="J58" s="11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118"/>
      <c r="J59" s="11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118"/>
      <c r="J60" s="11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118"/>
      <c r="J61" s="11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18"/>
      <c r="J62" s="11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118"/>
      <c r="J63" s="11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118"/>
      <c r="J64" s="11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118"/>
      <c r="J65" s="11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118"/>
      <c r="J66" s="11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118"/>
      <c r="J67" s="11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118"/>
      <c r="J68" s="11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118"/>
      <c r="J69" s="11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118"/>
      <c r="J70" s="11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118"/>
      <c r="J71" s="11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118"/>
      <c r="J72" s="11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118"/>
      <c r="J73" s="11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118"/>
      <c r="J74" s="11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118"/>
      <c r="J75" s="11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118"/>
      <c r="J76" s="11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118"/>
      <c r="J77" s="11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118"/>
      <c r="J78" s="11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118"/>
      <c r="J79" s="11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118"/>
      <c r="J80" s="11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118"/>
      <c r="J81" s="11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118"/>
      <c r="J82" s="11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118"/>
      <c r="J83" s="11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118"/>
      <c r="J84" s="11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118"/>
      <c r="J85" s="11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118"/>
      <c r="J86" s="11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118"/>
      <c r="J87" s="11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118"/>
      <c r="J88" s="11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118"/>
      <c r="J89" s="11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118"/>
      <c r="J90" s="11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118"/>
      <c r="J91" s="11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118"/>
      <c r="J92" s="11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118"/>
      <c r="J93" s="11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118"/>
      <c r="J94" s="11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118"/>
      <c r="J95" s="11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118"/>
      <c r="J96" s="11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118"/>
      <c r="J97" s="11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118"/>
      <c r="J98" s="11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118"/>
      <c r="J99" s="11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118"/>
      <c r="J100" s="11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118"/>
      <c r="J101" s="11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118"/>
      <c r="J102" s="11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118"/>
      <c r="J103" s="11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118"/>
      <c r="J104" s="11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118"/>
      <c r="J105" s="11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118"/>
      <c r="J106" s="11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118"/>
      <c r="J107" s="11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118"/>
      <c r="J108" s="11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118"/>
      <c r="J109" s="11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118"/>
      <c r="J110" s="11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118"/>
      <c r="J111" s="11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118"/>
      <c r="J112" s="11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118"/>
      <c r="J113" s="11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118"/>
      <c r="J114" s="11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118"/>
      <c r="J115" s="11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118"/>
      <c r="J116" s="11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118"/>
      <c r="J117" s="11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118"/>
      <c r="J118" s="11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118"/>
      <c r="J119" s="11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118"/>
      <c r="J120" s="11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118"/>
      <c r="J121" s="11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118"/>
      <c r="J122" s="11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118"/>
      <c r="J123" s="11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118"/>
      <c r="J124" s="11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118"/>
      <c r="J125" s="11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118"/>
      <c r="J126" s="11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118"/>
      <c r="J127" s="11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118"/>
      <c r="J128" s="11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118"/>
      <c r="J129" s="11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118"/>
      <c r="J130" s="11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118"/>
      <c r="J131" s="11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118"/>
      <c r="J132" s="11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118"/>
      <c r="J133" s="11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118"/>
      <c r="J134" s="11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118"/>
      <c r="J135" s="11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118"/>
      <c r="J136" s="11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118"/>
      <c r="J137" s="11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118"/>
      <c r="J138" s="11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118"/>
      <c r="J139" s="11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118"/>
      <c r="J140" s="11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118"/>
      <c r="J141" s="11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118"/>
      <c r="J142" s="11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118"/>
      <c r="J143" s="11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118"/>
      <c r="J144" s="11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118"/>
      <c r="J145" s="11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118"/>
      <c r="J146" s="11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118"/>
      <c r="J147" s="11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118"/>
      <c r="J148" s="11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118"/>
      <c r="J149" s="11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118"/>
      <c r="J150" s="11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118"/>
      <c r="J151" s="11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118"/>
      <c r="J152" s="11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118"/>
      <c r="J153" s="11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118"/>
      <c r="J154" s="11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118"/>
      <c r="J155" s="11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118"/>
      <c r="J156" s="11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118"/>
      <c r="J157" s="11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118"/>
      <c r="J158" s="11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118"/>
      <c r="J159" s="11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118"/>
      <c r="J160" s="11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118"/>
      <c r="J161" s="11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118"/>
      <c r="J162" s="11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118"/>
      <c r="J163" s="11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118"/>
      <c r="J164" s="11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118"/>
      <c r="J165" s="11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118"/>
      <c r="J166" s="11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118"/>
      <c r="J167" s="11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118"/>
      <c r="J168" s="11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118"/>
      <c r="J169" s="11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118"/>
      <c r="J170" s="11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118"/>
      <c r="J171" s="11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118"/>
      <c r="J172" s="11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118"/>
      <c r="J173" s="11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118"/>
      <c r="J174" s="11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118"/>
      <c r="J175" s="11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118"/>
      <c r="J176" s="11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118"/>
      <c r="J177" s="11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118"/>
      <c r="J178" s="11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118"/>
      <c r="J179" s="11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118"/>
      <c r="J180" s="11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118"/>
      <c r="J181" s="11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118"/>
      <c r="J182" s="11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118"/>
      <c r="J183" s="11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118"/>
      <c r="J184" s="11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118"/>
      <c r="J185" s="11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118"/>
      <c r="J186" s="11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118"/>
      <c r="J187" s="11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118"/>
      <c r="J188" s="11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118"/>
      <c r="J189" s="11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118"/>
      <c r="J190" s="11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118"/>
      <c r="J191" s="11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118"/>
      <c r="J192" s="11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118"/>
      <c r="J193" s="11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118"/>
      <c r="J194" s="11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118"/>
      <c r="J195" s="11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118"/>
      <c r="J196" s="11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118"/>
      <c r="J197" s="11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118"/>
      <c r="J198" s="11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118"/>
      <c r="J199" s="11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118"/>
      <c r="J200" s="11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118"/>
      <c r="J201" s="11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118"/>
      <c r="J202" s="11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118"/>
      <c r="J203" s="11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118"/>
      <c r="J204" s="11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118"/>
      <c r="J205" s="11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118"/>
      <c r="J206" s="11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118"/>
      <c r="J207" s="11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118"/>
      <c r="J208" s="11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118"/>
      <c r="J209" s="11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118"/>
      <c r="J210" s="11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118"/>
      <c r="J211" s="11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118"/>
      <c r="J212" s="11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118"/>
      <c r="J213" s="11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118"/>
      <c r="J214" s="11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118"/>
      <c r="J215" s="11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118"/>
      <c r="J216" s="11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118"/>
      <c r="J217" s="11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118"/>
      <c r="J218" s="11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118"/>
      <c r="J219" s="11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118"/>
      <c r="J220" s="11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118"/>
      <c r="J221" s="11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118"/>
      <c r="J222" s="11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118"/>
      <c r="J223" s="11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118"/>
      <c r="J224" s="11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118"/>
      <c r="J225" s="11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118"/>
      <c r="J226" s="11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118"/>
      <c r="J227" s="11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118"/>
      <c r="J228" s="11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118"/>
      <c r="J229" s="11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</sheetData>
  <autoFilter ref="$A$1:$U$29">
    <filterColumn colId="2">
      <filters>
        <filter val="AutoCAD LT"/>
      </filters>
    </filterColumn>
  </autoFilter>
  <conditionalFormatting sqref="P2:P999">
    <cfRule type="expression" dxfId="4" priority="1">
      <formula>$P2="Expired"</formula>
    </cfRule>
  </conditionalFormatting>
  <conditionalFormatting sqref="P2:P999">
    <cfRule type="expression" dxfId="5" priority="2">
      <formula>$P2="Expiring Soon"</formula>
    </cfRule>
  </conditionalFormatting>
  <conditionalFormatting sqref="P2:P999">
    <cfRule type="expression" dxfId="6" priority="3">
      <formula>$P2="Watch"</formula>
    </cfRule>
  </conditionalFormatting>
  <conditionalFormatting sqref="P2:P999">
    <cfRule type="expression" dxfId="7" priority="4">
      <formula>$P2="Active"</formula>
    </cfRule>
  </conditionalFormatting>
  <conditionalFormatting sqref="O2:O999">
    <cfRule type="cellIs" dxfId="4" priority="5" operator="lessThan">
      <formula>0</formula>
    </cfRule>
  </conditionalFormatting>
  <conditionalFormatting sqref="O2:O999">
    <cfRule type="cellIs" dxfId="5" priority="6" operator="between">
      <formula>0</formula>
      <formula>30</formula>
    </cfRule>
  </conditionalFormatting>
  <dataValidations>
    <dataValidation type="list" allowBlank="1" sqref="F2:F994">
      <formula1>"Subscription,Perpetual,Trial"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6A3C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3" width="18.0"/>
    <col customWidth="1" min="4" max="5" width="22.0"/>
    <col customWidth="1" min="6" max="12" width="13.0"/>
    <col customWidth="1" min="13" max="13" width="9.0"/>
  </cols>
  <sheetData>
    <row r="1" ht="31.5" customHeight="1">
      <c r="A1" s="120" t="s">
        <v>655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ht="15.0" customHeight="1">
      <c r="A2" s="122" t="s">
        <v>656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3" ht="15.0" customHeight="1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</row>
    <row r="4" ht="27.75" customHeight="1">
      <c r="A4" s="123" t="s">
        <v>657</v>
      </c>
      <c r="B4" s="123" t="s">
        <v>451</v>
      </c>
      <c r="C4" s="123" t="s">
        <v>28</v>
      </c>
      <c r="D4" s="123" t="s">
        <v>658</v>
      </c>
      <c r="E4" s="123" t="s">
        <v>59</v>
      </c>
      <c r="F4" s="124" t="s">
        <v>482</v>
      </c>
      <c r="G4" s="124" t="s">
        <v>537</v>
      </c>
      <c r="H4" s="124" t="s">
        <v>504</v>
      </c>
      <c r="I4" s="124" t="s">
        <v>481</v>
      </c>
      <c r="J4" s="124" t="s">
        <v>493</v>
      </c>
      <c r="K4" s="124" t="s">
        <v>492</v>
      </c>
      <c r="L4" s="124" t="s">
        <v>479</v>
      </c>
      <c r="M4" s="124" t="s">
        <v>477</v>
      </c>
      <c r="N4" s="124" t="s">
        <v>473</v>
      </c>
      <c r="O4" s="124" t="s">
        <v>480</v>
      </c>
      <c r="P4" s="124" t="s">
        <v>491</v>
      </c>
      <c r="Q4" s="124" t="s">
        <v>659</v>
      </c>
    </row>
    <row r="5" ht="15.0" customHeight="1">
      <c r="A5" s="125" t="s">
        <v>31</v>
      </c>
      <c r="B5" s="125" t="s">
        <v>183</v>
      </c>
      <c r="C5" s="125" t="s">
        <v>31</v>
      </c>
      <c r="D5" s="125" t="s">
        <v>554</v>
      </c>
      <c r="E5" s="125" t="s">
        <v>28</v>
      </c>
      <c r="F5" s="121"/>
      <c r="G5" s="121"/>
      <c r="H5" s="121"/>
      <c r="I5" s="121"/>
      <c r="J5" s="121"/>
      <c r="K5" s="121"/>
      <c r="L5" s="121"/>
      <c r="M5" s="121"/>
      <c r="O5" s="121"/>
      <c r="Q5" s="126">
        <v>0.0</v>
      </c>
    </row>
    <row r="6" ht="15.0" customHeight="1">
      <c r="A6" s="125" t="s">
        <v>192</v>
      </c>
      <c r="B6" s="125" t="s">
        <v>193</v>
      </c>
      <c r="C6" s="125" t="s">
        <v>31</v>
      </c>
      <c r="D6" s="125" t="s">
        <v>556</v>
      </c>
      <c r="E6" s="125" t="s">
        <v>92</v>
      </c>
      <c r="F6" s="125" t="s">
        <v>660</v>
      </c>
      <c r="G6" s="125" t="s">
        <v>660</v>
      </c>
      <c r="H6" s="125" t="s">
        <v>660</v>
      </c>
      <c r="I6" s="121"/>
      <c r="J6" s="121"/>
      <c r="K6" s="121"/>
      <c r="L6" s="121"/>
      <c r="M6" s="121"/>
      <c r="O6" s="121"/>
      <c r="Q6" s="126">
        <v>3.0</v>
      </c>
    </row>
    <row r="7" ht="15.0" customHeight="1">
      <c r="A7" s="125" t="s">
        <v>195</v>
      </c>
      <c r="B7" s="125" t="s">
        <v>196</v>
      </c>
      <c r="C7" s="125" t="s">
        <v>31</v>
      </c>
      <c r="D7" s="125" t="s">
        <v>556</v>
      </c>
      <c r="E7" s="125" t="s">
        <v>92</v>
      </c>
      <c r="F7" s="125" t="s">
        <v>660</v>
      </c>
      <c r="G7" s="125" t="s">
        <v>660</v>
      </c>
      <c r="H7" s="125" t="s">
        <v>660</v>
      </c>
      <c r="I7" s="121"/>
      <c r="J7" s="121"/>
      <c r="K7" s="121"/>
      <c r="L7" s="121"/>
      <c r="M7" s="121"/>
      <c r="O7" s="121"/>
      <c r="Q7" s="126">
        <v>3.0</v>
      </c>
    </row>
    <row r="8" ht="15.0" customHeight="1">
      <c r="A8" s="125" t="s">
        <v>187</v>
      </c>
      <c r="B8" s="125" t="s">
        <v>188</v>
      </c>
      <c r="C8" s="125" t="s">
        <v>31</v>
      </c>
      <c r="D8" s="125" t="s">
        <v>556</v>
      </c>
      <c r="E8" s="125" t="s">
        <v>116</v>
      </c>
      <c r="F8" s="125" t="s">
        <v>660</v>
      </c>
      <c r="G8" s="125" t="s">
        <v>660</v>
      </c>
      <c r="H8" s="125" t="s">
        <v>660</v>
      </c>
      <c r="I8" s="125" t="s">
        <v>660</v>
      </c>
      <c r="J8" s="121"/>
      <c r="K8" s="121"/>
      <c r="L8" s="121"/>
      <c r="M8" s="121"/>
      <c r="O8" s="121"/>
      <c r="Q8" s="126">
        <v>4.0</v>
      </c>
    </row>
    <row r="9" ht="15.0" customHeight="1">
      <c r="A9" s="125" t="s">
        <v>198</v>
      </c>
      <c r="B9" s="125" t="s">
        <v>199</v>
      </c>
      <c r="C9" s="125" t="s">
        <v>31</v>
      </c>
      <c r="D9" s="125" t="s">
        <v>556</v>
      </c>
      <c r="E9" s="125" t="s">
        <v>92</v>
      </c>
      <c r="F9" s="125" t="s">
        <v>660</v>
      </c>
      <c r="G9" s="125" t="s">
        <v>660</v>
      </c>
      <c r="H9" s="121"/>
      <c r="I9" s="121"/>
      <c r="J9" s="121"/>
      <c r="K9" s="121"/>
      <c r="L9" s="121"/>
      <c r="M9" s="121"/>
      <c r="O9" s="121"/>
      <c r="Q9" s="126">
        <v>2.0</v>
      </c>
    </row>
    <row r="10" ht="15.0" customHeight="1">
      <c r="A10" s="125" t="s">
        <v>201</v>
      </c>
      <c r="B10" s="125" t="s">
        <v>202</v>
      </c>
      <c r="C10" s="125" t="s">
        <v>31</v>
      </c>
      <c r="D10" s="125" t="s">
        <v>556</v>
      </c>
      <c r="E10" s="125" t="s">
        <v>92</v>
      </c>
      <c r="F10" s="125" t="s">
        <v>660</v>
      </c>
      <c r="G10" s="125" t="s">
        <v>660</v>
      </c>
      <c r="H10" s="125" t="s">
        <v>660</v>
      </c>
      <c r="I10" s="121"/>
      <c r="J10" s="121"/>
      <c r="K10" s="121"/>
      <c r="L10" s="121"/>
      <c r="M10" s="121"/>
      <c r="O10" s="121"/>
      <c r="Q10" s="126">
        <v>3.0</v>
      </c>
    </row>
    <row r="11" ht="15.0" customHeight="1">
      <c r="A11" s="125" t="s">
        <v>228</v>
      </c>
      <c r="B11" s="125" t="s">
        <v>229</v>
      </c>
      <c r="C11" s="125" t="s">
        <v>31</v>
      </c>
      <c r="D11" s="125" t="s">
        <v>558</v>
      </c>
      <c r="E11" s="125" t="s">
        <v>84</v>
      </c>
      <c r="F11" s="125" t="s">
        <v>660</v>
      </c>
      <c r="G11" s="125" t="s">
        <v>660</v>
      </c>
      <c r="H11" s="121"/>
      <c r="I11" s="121"/>
      <c r="J11" s="121"/>
      <c r="K11" s="121"/>
      <c r="L11" s="121"/>
      <c r="M11" s="121"/>
      <c r="O11" s="121"/>
      <c r="Q11" s="126">
        <v>2.0</v>
      </c>
    </row>
    <row r="12" ht="15.0" customHeight="1">
      <c r="A12" s="125" t="s">
        <v>231</v>
      </c>
      <c r="B12" s="125" t="s">
        <v>232</v>
      </c>
      <c r="C12" s="125" t="s">
        <v>31</v>
      </c>
      <c r="D12" s="125" t="s">
        <v>558</v>
      </c>
      <c r="E12" s="125" t="s">
        <v>92</v>
      </c>
      <c r="F12" s="125" t="s">
        <v>660</v>
      </c>
      <c r="G12" s="121"/>
      <c r="H12" s="125" t="s">
        <v>660</v>
      </c>
      <c r="I12" s="121"/>
      <c r="J12" s="121"/>
      <c r="K12" s="121"/>
      <c r="L12" s="121"/>
      <c r="M12" s="121"/>
      <c r="O12" s="121"/>
      <c r="Q12" s="126">
        <v>2.0</v>
      </c>
    </row>
    <row r="13" ht="15.0" customHeight="1">
      <c r="A13" s="125" t="s">
        <v>234</v>
      </c>
      <c r="B13" s="125" t="s">
        <v>235</v>
      </c>
      <c r="C13" s="125" t="s">
        <v>31</v>
      </c>
      <c r="D13" s="125" t="s">
        <v>558</v>
      </c>
      <c r="E13" s="125" t="s">
        <v>116</v>
      </c>
      <c r="F13" s="125" t="s">
        <v>660</v>
      </c>
      <c r="G13" s="121"/>
      <c r="H13" s="121"/>
      <c r="I13" s="121"/>
      <c r="J13" s="121"/>
      <c r="K13" s="121"/>
      <c r="L13" s="121"/>
      <c r="M13" s="121"/>
      <c r="O13" s="121"/>
      <c r="Q13" s="126">
        <v>1.0</v>
      </c>
    </row>
    <row r="14" ht="15.0" customHeight="1">
      <c r="A14" s="125" t="s">
        <v>237</v>
      </c>
      <c r="B14" s="125" t="s">
        <v>238</v>
      </c>
      <c r="C14" s="125" t="s">
        <v>31</v>
      </c>
      <c r="D14" s="125" t="s">
        <v>558</v>
      </c>
      <c r="E14" s="125" t="s">
        <v>116</v>
      </c>
      <c r="F14" s="125" t="s">
        <v>660</v>
      </c>
      <c r="G14" s="121"/>
      <c r="H14" s="121"/>
      <c r="I14" s="121"/>
      <c r="J14" s="121"/>
      <c r="K14" s="125" t="s">
        <v>660</v>
      </c>
      <c r="L14" s="121"/>
      <c r="M14" s="121"/>
      <c r="O14" s="121"/>
      <c r="Q14" s="126">
        <v>2.0</v>
      </c>
    </row>
    <row r="15" ht="15.0" customHeight="1">
      <c r="A15" s="125" t="s">
        <v>240</v>
      </c>
      <c r="B15" s="125" t="s">
        <v>241</v>
      </c>
      <c r="C15" s="125" t="s">
        <v>31</v>
      </c>
      <c r="D15" s="125" t="s">
        <v>558</v>
      </c>
      <c r="E15" s="125" t="s">
        <v>92</v>
      </c>
      <c r="F15" s="125" t="s">
        <v>660</v>
      </c>
      <c r="G15" s="125" t="s">
        <v>660</v>
      </c>
      <c r="H15" s="121"/>
      <c r="I15" s="121"/>
      <c r="J15" s="121"/>
      <c r="K15" s="121"/>
      <c r="L15" s="121"/>
      <c r="M15" s="121"/>
      <c r="O15" s="121"/>
      <c r="Q15" s="126">
        <v>2.0</v>
      </c>
    </row>
    <row r="16" ht="15.0" customHeight="1">
      <c r="A16" s="125" t="s">
        <v>243</v>
      </c>
      <c r="B16" s="125" t="s">
        <v>244</v>
      </c>
      <c r="C16" s="125" t="s">
        <v>31</v>
      </c>
      <c r="D16" s="125" t="s">
        <v>558</v>
      </c>
      <c r="E16" s="125" t="s">
        <v>92</v>
      </c>
      <c r="F16" s="125" t="s">
        <v>660</v>
      </c>
      <c r="G16" s="125" t="s">
        <v>660</v>
      </c>
      <c r="H16" s="121"/>
      <c r="I16" s="125" t="s">
        <v>660</v>
      </c>
      <c r="J16" s="121"/>
      <c r="K16" s="121"/>
      <c r="L16" s="121"/>
      <c r="M16" s="121"/>
      <c r="O16" s="121"/>
      <c r="Q16" s="126">
        <v>3.0</v>
      </c>
    </row>
    <row r="17" ht="15.0" customHeight="1">
      <c r="A17" s="125" t="s">
        <v>246</v>
      </c>
      <c r="B17" s="125" t="s">
        <v>247</v>
      </c>
      <c r="C17" s="125" t="s">
        <v>31</v>
      </c>
      <c r="D17" s="125" t="s">
        <v>558</v>
      </c>
      <c r="E17" s="125" t="s">
        <v>84</v>
      </c>
      <c r="F17" s="125" t="s">
        <v>660</v>
      </c>
      <c r="G17" s="125" t="s">
        <v>660</v>
      </c>
      <c r="H17" s="125" t="s">
        <v>660</v>
      </c>
      <c r="I17" s="121"/>
      <c r="J17" s="121"/>
      <c r="K17" s="121"/>
      <c r="L17" s="121"/>
      <c r="M17" s="121"/>
      <c r="O17" s="121"/>
      <c r="Q17" s="126">
        <v>3.0</v>
      </c>
    </row>
    <row r="18" ht="15.0" customHeight="1">
      <c r="A18" s="125" t="s">
        <v>222</v>
      </c>
      <c r="B18" s="125" t="s">
        <v>223</v>
      </c>
      <c r="C18" s="125" t="s">
        <v>31</v>
      </c>
      <c r="D18" s="125" t="s">
        <v>558</v>
      </c>
      <c r="E18" s="125" t="s">
        <v>225</v>
      </c>
      <c r="F18" s="125" t="s">
        <v>660</v>
      </c>
      <c r="G18" s="125" t="s">
        <v>660</v>
      </c>
      <c r="H18" s="121"/>
      <c r="I18" s="121"/>
      <c r="J18" s="125" t="s">
        <v>660</v>
      </c>
      <c r="K18" s="121"/>
      <c r="L18" s="121"/>
      <c r="M18" s="121"/>
      <c r="O18" s="121"/>
      <c r="Q18" s="126">
        <v>3.0</v>
      </c>
    </row>
    <row r="19" ht="15.0" customHeight="1">
      <c r="A19" s="125" t="s">
        <v>249</v>
      </c>
      <c r="B19" s="125" t="s">
        <v>250</v>
      </c>
      <c r="C19" s="125" t="s">
        <v>31</v>
      </c>
      <c r="D19" s="125" t="s">
        <v>558</v>
      </c>
      <c r="E19" s="125" t="s">
        <v>84</v>
      </c>
      <c r="F19" s="125" t="s">
        <v>660</v>
      </c>
      <c r="G19" s="125" t="s">
        <v>660</v>
      </c>
      <c r="H19" s="125" t="s">
        <v>660</v>
      </c>
      <c r="I19" s="121"/>
      <c r="J19" s="121"/>
      <c r="K19" s="121"/>
      <c r="L19" s="121"/>
      <c r="M19" s="121"/>
      <c r="O19" s="121"/>
      <c r="Q19" s="126">
        <v>3.0</v>
      </c>
    </row>
    <row r="20" ht="15.0" customHeight="1">
      <c r="A20" s="125" t="s">
        <v>257</v>
      </c>
      <c r="B20" s="125" t="s">
        <v>258</v>
      </c>
      <c r="C20" s="125" t="s">
        <v>31</v>
      </c>
      <c r="D20" s="125" t="s">
        <v>560</v>
      </c>
      <c r="E20" s="125" t="s">
        <v>92</v>
      </c>
      <c r="F20" s="125" t="s">
        <v>660</v>
      </c>
      <c r="G20" s="121"/>
      <c r="H20" s="121"/>
      <c r="I20" s="121"/>
      <c r="J20" s="121"/>
      <c r="K20" s="121"/>
      <c r="L20" s="121"/>
      <c r="M20" s="121"/>
      <c r="O20" s="121"/>
      <c r="Q20" s="126">
        <v>1.0</v>
      </c>
    </row>
    <row r="21" ht="15.75" customHeight="1">
      <c r="A21" s="125" t="s">
        <v>260</v>
      </c>
      <c r="B21" s="125" t="s">
        <v>261</v>
      </c>
      <c r="C21" s="125" t="s">
        <v>31</v>
      </c>
      <c r="D21" s="125" t="s">
        <v>560</v>
      </c>
      <c r="E21" s="125" t="s">
        <v>92</v>
      </c>
      <c r="F21" s="125" t="s">
        <v>660</v>
      </c>
      <c r="G21" s="125" t="s">
        <v>660</v>
      </c>
      <c r="H21" s="125" t="s">
        <v>660</v>
      </c>
      <c r="I21" s="121"/>
      <c r="J21" s="121"/>
      <c r="K21" s="121"/>
      <c r="L21" s="121"/>
      <c r="M21" s="121"/>
      <c r="O21" s="121"/>
      <c r="Q21" s="126">
        <v>3.0</v>
      </c>
    </row>
    <row r="22" ht="15.75" customHeight="1">
      <c r="A22" s="125" t="s">
        <v>263</v>
      </c>
      <c r="B22" s="125" t="s">
        <v>264</v>
      </c>
      <c r="C22" s="125" t="s">
        <v>31</v>
      </c>
      <c r="D22" s="125" t="s">
        <v>560</v>
      </c>
      <c r="E22" s="125" t="s">
        <v>92</v>
      </c>
      <c r="F22" s="125" t="s">
        <v>660</v>
      </c>
      <c r="G22" s="121"/>
      <c r="H22" s="121"/>
      <c r="I22" s="121"/>
      <c r="J22" s="121"/>
      <c r="K22" s="121"/>
      <c r="L22" s="121"/>
      <c r="M22" s="121"/>
      <c r="O22" s="121"/>
      <c r="Q22" s="126">
        <v>1.0</v>
      </c>
    </row>
    <row r="23" ht="15.75" customHeight="1">
      <c r="A23" s="125" t="s">
        <v>266</v>
      </c>
      <c r="B23" s="125" t="s">
        <v>267</v>
      </c>
      <c r="C23" s="125" t="s">
        <v>31</v>
      </c>
      <c r="D23" s="125" t="s">
        <v>560</v>
      </c>
      <c r="E23" s="125" t="s">
        <v>84</v>
      </c>
      <c r="F23" s="125" t="s">
        <v>660</v>
      </c>
      <c r="G23" s="125" t="s">
        <v>660</v>
      </c>
      <c r="H23" s="121"/>
      <c r="I23" s="121"/>
      <c r="J23" s="121"/>
      <c r="K23" s="121"/>
      <c r="L23" s="121"/>
      <c r="M23" s="121"/>
      <c r="O23" s="121"/>
      <c r="Q23" s="126">
        <v>2.0</v>
      </c>
    </row>
    <row r="24" ht="15.75" customHeight="1">
      <c r="A24" s="125" t="s">
        <v>270</v>
      </c>
      <c r="B24" s="125" t="s">
        <v>271</v>
      </c>
      <c r="C24" s="125" t="s">
        <v>31</v>
      </c>
      <c r="D24" s="125" t="s">
        <v>560</v>
      </c>
      <c r="E24" s="125" t="s">
        <v>92</v>
      </c>
      <c r="F24" s="125" t="s">
        <v>660</v>
      </c>
      <c r="G24" s="121"/>
      <c r="H24" s="121"/>
      <c r="I24" s="121"/>
      <c r="J24" s="121"/>
      <c r="K24" s="121"/>
      <c r="L24" s="121"/>
      <c r="M24" s="121"/>
      <c r="O24" s="121"/>
      <c r="Q24" s="126">
        <v>1.0</v>
      </c>
    </row>
    <row r="25" ht="15.75" customHeight="1">
      <c r="A25" s="125" t="s">
        <v>273</v>
      </c>
      <c r="B25" s="125" t="s">
        <v>274</v>
      </c>
      <c r="C25" s="125" t="s">
        <v>31</v>
      </c>
      <c r="D25" s="125" t="s">
        <v>560</v>
      </c>
      <c r="E25" s="125" t="s">
        <v>92</v>
      </c>
      <c r="F25" s="125" t="s">
        <v>660</v>
      </c>
      <c r="G25" s="125" t="s">
        <v>660</v>
      </c>
      <c r="H25" s="121"/>
      <c r="I25" s="121"/>
      <c r="J25" s="121"/>
      <c r="K25" s="121"/>
      <c r="L25" s="121"/>
      <c r="M25" s="121"/>
      <c r="O25" s="121"/>
      <c r="Q25" s="126">
        <v>2.0</v>
      </c>
    </row>
    <row r="26" ht="15.75" customHeight="1">
      <c r="A26" s="125" t="s">
        <v>276</v>
      </c>
      <c r="B26" s="125" t="s">
        <v>277</v>
      </c>
      <c r="C26" s="125" t="s">
        <v>31</v>
      </c>
      <c r="D26" s="125" t="s">
        <v>560</v>
      </c>
      <c r="E26" s="125" t="s">
        <v>84</v>
      </c>
      <c r="F26" s="125" t="s">
        <v>660</v>
      </c>
      <c r="G26" s="125" t="s">
        <v>660</v>
      </c>
      <c r="H26" s="125" t="s">
        <v>660</v>
      </c>
      <c r="I26" s="121"/>
      <c r="J26" s="121"/>
      <c r="K26" s="121"/>
      <c r="L26" s="121"/>
      <c r="M26" s="121"/>
      <c r="O26" s="121"/>
      <c r="Q26" s="126">
        <v>3.0</v>
      </c>
    </row>
    <row r="27" ht="15.75" customHeight="1">
      <c r="A27" s="125" t="s">
        <v>279</v>
      </c>
      <c r="B27" s="125" t="s">
        <v>280</v>
      </c>
      <c r="C27" s="125" t="s">
        <v>31</v>
      </c>
      <c r="D27" s="125" t="s">
        <v>560</v>
      </c>
      <c r="E27" s="125" t="s">
        <v>122</v>
      </c>
      <c r="F27" s="121"/>
      <c r="G27" s="121"/>
      <c r="H27" s="121"/>
      <c r="I27" s="121"/>
      <c r="J27" s="121"/>
      <c r="K27" s="121"/>
      <c r="L27" s="121"/>
      <c r="M27" s="121"/>
      <c r="O27" s="121"/>
      <c r="Q27" s="126">
        <v>0.0</v>
      </c>
    </row>
    <row r="28" ht="15.75" customHeight="1">
      <c r="A28" s="125" t="s">
        <v>282</v>
      </c>
      <c r="B28" s="125" t="s">
        <v>283</v>
      </c>
      <c r="C28" s="125" t="s">
        <v>31</v>
      </c>
      <c r="D28" s="125" t="s">
        <v>560</v>
      </c>
      <c r="E28" s="125" t="s">
        <v>116</v>
      </c>
      <c r="F28" s="125" t="s">
        <v>660</v>
      </c>
      <c r="G28" s="121"/>
      <c r="H28" s="121"/>
      <c r="I28" s="121"/>
      <c r="J28" s="121"/>
      <c r="K28" s="121"/>
      <c r="L28" s="121"/>
      <c r="M28" s="121"/>
      <c r="O28" s="121"/>
      <c r="Q28" s="126">
        <v>1.0</v>
      </c>
    </row>
    <row r="29" ht="15.75" customHeight="1">
      <c r="A29" s="125" t="s">
        <v>252</v>
      </c>
      <c r="B29" s="125" t="s">
        <v>253</v>
      </c>
      <c r="C29" s="125" t="s">
        <v>31</v>
      </c>
      <c r="D29" s="125" t="s">
        <v>560</v>
      </c>
      <c r="E29" s="125" t="s">
        <v>255</v>
      </c>
      <c r="F29" s="125" t="s">
        <v>660</v>
      </c>
      <c r="G29" s="125" t="s">
        <v>660</v>
      </c>
      <c r="H29" s="125" t="s">
        <v>660</v>
      </c>
      <c r="I29" s="121"/>
      <c r="J29" s="121"/>
      <c r="K29" s="121"/>
      <c r="L29" s="121"/>
      <c r="M29" s="121"/>
      <c r="O29" s="121"/>
      <c r="Q29" s="126">
        <v>3.0</v>
      </c>
    </row>
    <row r="30" ht="15.75" customHeight="1">
      <c r="A30" s="125" t="s">
        <v>32</v>
      </c>
      <c r="B30" s="125" t="s">
        <v>285</v>
      </c>
      <c r="C30" s="125" t="s">
        <v>32</v>
      </c>
      <c r="D30" s="125" t="s">
        <v>554</v>
      </c>
      <c r="E30" s="125" t="s">
        <v>28</v>
      </c>
      <c r="F30" s="121"/>
      <c r="G30" s="121"/>
      <c r="H30" s="121"/>
      <c r="I30" s="121"/>
      <c r="J30" s="121"/>
      <c r="K30" s="121"/>
      <c r="L30" s="121"/>
      <c r="M30" s="121"/>
      <c r="O30" s="121"/>
      <c r="Q30" s="126">
        <v>0.0</v>
      </c>
    </row>
    <row r="31" ht="15.75" customHeight="1">
      <c r="A31" s="125" t="s">
        <v>293</v>
      </c>
      <c r="B31" s="125" t="s">
        <v>294</v>
      </c>
      <c r="C31" s="125" t="s">
        <v>32</v>
      </c>
      <c r="D31" s="125" t="s">
        <v>564</v>
      </c>
      <c r="E31" s="125" t="s">
        <v>122</v>
      </c>
      <c r="F31" s="121"/>
      <c r="G31" s="121"/>
      <c r="H31" s="121"/>
      <c r="I31" s="121"/>
      <c r="J31" s="121"/>
      <c r="K31" s="121"/>
      <c r="L31" s="121"/>
      <c r="M31" s="121"/>
      <c r="O31" s="121"/>
      <c r="Q31" s="126">
        <v>0.0</v>
      </c>
    </row>
    <row r="32" ht="15.75" customHeight="1">
      <c r="A32" s="125" t="s">
        <v>296</v>
      </c>
      <c r="B32" s="125" t="s">
        <v>297</v>
      </c>
      <c r="C32" s="125" t="s">
        <v>32</v>
      </c>
      <c r="D32" s="125" t="s">
        <v>564</v>
      </c>
      <c r="E32" s="125" t="s">
        <v>298</v>
      </c>
      <c r="F32" s="125" t="s">
        <v>660</v>
      </c>
      <c r="G32" s="125" t="s">
        <v>660</v>
      </c>
      <c r="H32" s="125" t="s">
        <v>660</v>
      </c>
      <c r="I32" s="121"/>
      <c r="J32" s="121"/>
      <c r="K32" s="121"/>
      <c r="L32" s="121"/>
      <c r="M32" s="121"/>
      <c r="O32" s="121"/>
      <c r="Q32" s="126">
        <v>3.0</v>
      </c>
    </row>
    <row r="33" ht="15.75" customHeight="1">
      <c r="A33" s="125" t="s">
        <v>300</v>
      </c>
      <c r="B33" s="125" t="s">
        <v>301</v>
      </c>
      <c r="C33" s="125" t="s">
        <v>32</v>
      </c>
      <c r="D33" s="125" t="s">
        <v>564</v>
      </c>
      <c r="E33" s="125" t="s">
        <v>84</v>
      </c>
      <c r="F33" s="125" t="s">
        <v>660</v>
      </c>
      <c r="G33" s="121"/>
      <c r="H33" s="125" t="s">
        <v>660</v>
      </c>
      <c r="I33" s="121"/>
      <c r="J33" s="121"/>
      <c r="K33" s="121"/>
      <c r="L33" s="121"/>
      <c r="M33" s="121"/>
      <c r="O33" s="121"/>
      <c r="Q33" s="126">
        <v>2.0</v>
      </c>
    </row>
    <row r="34" ht="15.75" customHeight="1">
      <c r="A34" s="125" t="s">
        <v>303</v>
      </c>
      <c r="B34" s="125" t="s">
        <v>304</v>
      </c>
      <c r="C34" s="125" t="s">
        <v>32</v>
      </c>
      <c r="D34" s="125" t="s">
        <v>564</v>
      </c>
      <c r="E34" s="125" t="s">
        <v>84</v>
      </c>
      <c r="F34" s="125" t="s">
        <v>660</v>
      </c>
      <c r="G34" s="125" t="s">
        <v>660</v>
      </c>
      <c r="H34" s="121"/>
      <c r="I34" s="121"/>
      <c r="J34" s="121"/>
      <c r="K34" s="121"/>
      <c r="L34" s="121"/>
      <c r="M34" s="121"/>
      <c r="O34" s="121"/>
      <c r="Q34" s="126">
        <v>2.0</v>
      </c>
    </row>
    <row r="35" ht="15.75" customHeight="1">
      <c r="A35" s="125" t="s">
        <v>306</v>
      </c>
      <c r="B35" s="125" t="s">
        <v>307</v>
      </c>
      <c r="C35" s="125" t="s">
        <v>32</v>
      </c>
      <c r="D35" s="125" t="s">
        <v>564</v>
      </c>
      <c r="E35" s="125" t="s">
        <v>92</v>
      </c>
      <c r="F35" s="125" t="s">
        <v>660</v>
      </c>
      <c r="G35" s="121"/>
      <c r="H35" s="121"/>
      <c r="I35" s="121"/>
      <c r="J35" s="121"/>
      <c r="K35" s="121"/>
      <c r="L35" s="121"/>
      <c r="M35" s="121"/>
      <c r="O35" s="121"/>
      <c r="Q35" s="126">
        <v>1.0</v>
      </c>
    </row>
    <row r="36" ht="15.75" customHeight="1">
      <c r="A36" s="125" t="s">
        <v>288</v>
      </c>
      <c r="B36" s="125" t="s">
        <v>289</v>
      </c>
      <c r="C36" s="125" t="s">
        <v>32</v>
      </c>
      <c r="D36" s="125" t="s">
        <v>564</v>
      </c>
      <c r="E36" s="125" t="s">
        <v>127</v>
      </c>
      <c r="F36" s="125" t="s">
        <v>660</v>
      </c>
      <c r="G36" s="125" t="s">
        <v>660</v>
      </c>
      <c r="H36" s="121"/>
      <c r="I36" s="121"/>
      <c r="J36" s="125" t="s">
        <v>660</v>
      </c>
      <c r="K36" s="121"/>
      <c r="L36" s="121"/>
      <c r="M36" s="121"/>
      <c r="O36" s="121"/>
      <c r="Q36" s="126">
        <v>3.0</v>
      </c>
    </row>
    <row r="37" ht="15.75" customHeight="1">
      <c r="A37" s="125" t="s">
        <v>309</v>
      </c>
      <c r="B37" s="125" t="s">
        <v>310</v>
      </c>
      <c r="C37" s="125" t="s">
        <v>32</v>
      </c>
      <c r="D37" s="125" t="s">
        <v>564</v>
      </c>
      <c r="E37" s="125" t="s">
        <v>92</v>
      </c>
      <c r="F37" s="125" t="s">
        <v>660</v>
      </c>
      <c r="G37" s="121"/>
      <c r="H37" s="125" t="s">
        <v>660</v>
      </c>
      <c r="I37" s="121"/>
      <c r="J37" s="121"/>
      <c r="K37" s="121"/>
      <c r="L37" s="121"/>
      <c r="M37" s="121"/>
      <c r="O37" s="121"/>
      <c r="Q37" s="126">
        <v>2.0</v>
      </c>
    </row>
    <row r="38" ht="15.75" customHeight="1">
      <c r="A38" s="125" t="s">
        <v>312</v>
      </c>
      <c r="B38" s="125" t="s">
        <v>313</v>
      </c>
      <c r="C38" s="125" t="s">
        <v>32</v>
      </c>
      <c r="D38" s="125" t="s">
        <v>564</v>
      </c>
      <c r="E38" s="125" t="s">
        <v>92</v>
      </c>
      <c r="F38" s="125" t="s">
        <v>660</v>
      </c>
      <c r="G38" s="125" t="s">
        <v>660</v>
      </c>
      <c r="H38" s="125" t="s">
        <v>660</v>
      </c>
      <c r="I38" s="125" t="s">
        <v>660</v>
      </c>
      <c r="J38" s="121"/>
      <c r="K38" s="121"/>
      <c r="L38" s="121"/>
      <c r="M38" s="121"/>
      <c r="O38" s="121"/>
      <c r="Q38" s="126">
        <v>4.0</v>
      </c>
    </row>
    <row r="39" ht="15.75" customHeight="1">
      <c r="A39" s="125" t="s">
        <v>315</v>
      </c>
      <c r="B39" s="125" t="s">
        <v>316</v>
      </c>
      <c r="C39" s="125" t="s">
        <v>32</v>
      </c>
      <c r="D39" s="125" t="s">
        <v>564</v>
      </c>
      <c r="E39" s="125" t="s">
        <v>317</v>
      </c>
      <c r="F39" s="125" t="s">
        <v>660</v>
      </c>
      <c r="G39" s="121"/>
      <c r="H39" s="121"/>
      <c r="I39" s="121"/>
      <c r="J39" s="121"/>
      <c r="K39" s="121"/>
      <c r="L39" s="121"/>
      <c r="M39" s="121"/>
      <c r="O39" s="121"/>
      <c r="Q39" s="126">
        <v>1.0</v>
      </c>
    </row>
    <row r="40" ht="15.75" customHeight="1">
      <c r="A40" s="125" t="s">
        <v>323</v>
      </c>
      <c r="B40" s="125" t="s">
        <v>324</v>
      </c>
      <c r="C40" s="125" t="s">
        <v>32</v>
      </c>
      <c r="D40" s="125" t="s">
        <v>566</v>
      </c>
      <c r="E40" s="125" t="s">
        <v>92</v>
      </c>
      <c r="F40" s="125" t="s">
        <v>660</v>
      </c>
      <c r="G40" s="121"/>
      <c r="H40" s="121"/>
      <c r="I40" s="121"/>
      <c r="J40" s="121"/>
      <c r="K40" s="121"/>
      <c r="L40" s="121"/>
      <c r="M40" s="121"/>
      <c r="O40" s="121"/>
      <c r="Q40" s="126">
        <v>1.0</v>
      </c>
    </row>
    <row r="41" ht="15.75" customHeight="1">
      <c r="A41" s="125" t="s">
        <v>326</v>
      </c>
      <c r="B41" s="125" t="s">
        <v>327</v>
      </c>
      <c r="C41" s="125" t="s">
        <v>32</v>
      </c>
      <c r="D41" s="125" t="s">
        <v>566</v>
      </c>
      <c r="E41" s="125" t="s">
        <v>92</v>
      </c>
      <c r="F41" s="125" t="s">
        <v>660</v>
      </c>
      <c r="G41" s="125" t="s">
        <v>660</v>
      </c>
      <c r="H41" s="121"/>
      <c r="I41" s="125" t="s">
        <v>660</v>
      </c>
      <c r="J41" s="121"/>
      <c r="K41" s="121"/>
      <c r="L41" s="121"/>
      <c r="M41" s="121"/>
      <c r="O41" s="121"/>
      <c r="Q41" s="126">
        <v>3.0</v>
      </c>
    </row>
    <row r="42" ht="15.75" customHeight="1">
      <c r="A42" s="125" t="s">
        <v>329</v>
      </c>
      <c r="B42" s="125" t="s">
        <v>330</v>
      </c>
      <c r="C42" s="125" t="s">
        <v>32</v>
      </c>
      <c r="D42" s="125" t="s">
        <v>566</v>
      </c>
      <c r="E42" s="125" t="s">
        <v>84</v>
      </c>
      <c r="F42" s="125" t="s">
        <v>660</v>
      </c>
      <c r="G42" s="125" t="s">
        <v>660</v>
      </c>
      <c r="H42" s="121"/>
      <c r="I42" s="125" t="s">
        <v>660</v>
      </c>
      <c r="J42" s="121"/>
      <c r="K42" s="121"/>
      <c r="L42" s="121"/>
      <c r="M42" s="121"/>
      <c r="O42" s="121"/>
      <c r="Q42" s="126">
        <v>3.0</v>
      </c>
    </row>
    <row r="43" ht="15.75" customHeight="1">
      <c r="A43" s="125" t="s">
        <v>332</v>
      </c>
      <c r="B43" s="125" t="s">
        <v>333</v>
      </c>
      <c r="C43" s="125" t="s">
        <v>32</v>
      </c>
      <c r="D43" s="125" t="s">
        <v>566</v>
      </c>
      <c r="E43" s="125" t="s">
        <v>116</v>
      </c>
      <c r="F43" s="125" t="s">
        <v>660</v>
      </c>
      <c r="G43" s="121"/>
      <c r="H43" s="125" t="s">
        <v>660</v>
      </c>
      <c r="I43" s="121"/>
      <c r="J43" s="121"/>
      <c r="K43" s="121"/>
      <c r="L43" s="121"/>
      <c r="M43" s="121"/>
      <c r="O43" s="121"/>
      <c r="Q43" s="126">
        <v>2.0</v>
      </c>
    </row>
    <row r="44" ht="15.75" customHeight="1">
      <c r="A44" s="125" t="s">
        <v>335</v>
      </c>
      <c r="B44" s="125" t="s">
        <v>336</v>
      </c>
      <c r="C44" s="125" t="s">
        <v>32</v>
      </c>
      <c r="D44" s="125" t="s">
        <v>566</v>
      </c>
      <c r="E44" s="125" t="s">
        <v>116</v>
      </c>
      <c r="F44" s="125" t="s">
        <v>660</v>
      </c>
      <c r="G44" s="121"/>
      <c r="H44" s="125" t="s">
        <v>660</v>
      </c>
      <c r="I44" s="121"/>
      <c r="J44" s="121"/>
      <c r="K44" s="121"/>
      <c r="L44" s="121"/>
      <c r="M44" s="121"/>
      <c r="O44" s="121"/>
      <c r="Q44" s="126">
        <v>2.0</v>
      </c>
    </row>
    <row r="45" ht="15.75" customHeight="1">
      <c r="A45" s="125" t="s">
        <v>338</v>
      </c>
      <c r="B45" s="125" t="s">
        <v>339</v>
      </c>
      <c r="C45" s="125" t="s">
        <v>32</v>
      </c>
      <c r="D45" s="125" t="s">
        <v>566</v>
      </c>
      <c r="E45" s="125" t="s">
        <v>122</v>
      </c>
      <c r="F45" s="121"/>
      <c r="G45" s="121"/>
      <c r="H45" s="121"/>
      <c r="I45" s="121"/>
      <c r="J45" s="121"/>
      <c r="K45" s="121"/>
      <c r="L45" s="121"/>
      <c r="M45" s="121"/>
      <c r="O45" s="121"/>
      <c r="Q45" s="126">
        <v>0.0</v>
      </c>
    </row>
    <row r="46" ht="15.75" customHeight="1">
      <c r="A46" s="125" t="s">
        <v>341</v>
      </c>
      <c r="B46" s="125" t="s">
        <v>342</v>
      </c>
      <c r="C46" s="125" t="s">
        <v>32</v>
      </c>
      <c r="D46" s="125" t="s">
        <v>566</v>
      </c>
      <c r="E46" s="125" t="s">
        <v>84</v>
      </c>
      <c r="F46" s="125" t="s">
        <v>660</v>
      </c>
      <c r="G46" s="121"/>
      <c r="H46" s="125" t="s">
        <v>660</v>
      </c>
      <c r="I46" s="121"/>
      <c r="J46" s="121"/>
      <c r="K46" s="121"/>
      <c r="L46" s="121"/>
      <c r="M46" s="121"/>
      <c r="O46" s="121"/>
      <c r="Q46" s="126">
        <v>2.0</v>
      </c>
    </row>
    <row r="47" ht="15.75" customHeight="1">
      <c r="A47" s="125" t="s">
        <v>344</v>
      </c>
      <c r="B47" s="125" t="s">
        <v>345</v>
      </c>
      <c r="C47" s="125" t="s">
        <v>32</v>
      </c>
      <c r="D47" s="125" t="s">
        <v>566</v>
      </c>
      <c r="E47" s="125" t="s">
        <v>84</v>
      </c>
      <c r="F47" s="125" t="s">
        <v>660</v>
      </c>
      <c r="G47" s="125" t="s">
        <v>660</v>
      </c>
      <c r="H47" s="121"/>
      <c r="I47" s="121"/>
      <c r="J47" s="121"/>
      <c r="K47" s="121"/>
      <c r="L47" s="121"/>
      <c r="M47" s="121"/>
      <c r="O47" s="121"/>
      <c r="Q47" s="126">
        <v>2.0</v>
      </c>
    </row>
    <row r="48" ht="15.75" customHeight="1">
      <c r="A48" s="125" t="s">
        <v>319</v>
      </c>
      <c r="B48" s="125" t="s">
        <v>320</v>
      </c>
      <c r="C48" s="125" t="s">
        <v>32</v>
      </c>
      <c r="D48" s="125" t="s">
        <v>566</v>
      </c>
      <c r="E48" s="125" t="s">
        <v>225</v>
      </c>
      <c r="F48" s="125" t="s">
        <v>660</v>
      </c>
      <c r="G48" s="121"/>
      <c r="H48" s="121"/>
      <c r="I48" s="121"/>
      <c r="J48" s="121"/>
      <c r="K48" s="121"/>
      <c r="L48" s="121"/>
      <c r="M48" s="121"/>
      <c r="O48" s="121"/>
      <c r="Q48" s="126">
        <v>1.0</v>
      </c>
    </row>
    <row r="49" ht="15.75" customHeight="1">
      <c r="A49" s="125" t="s">
        <v>347</v>
      </c>
      <c r="B49" s="125" t="s">
        <v>348</v>
      </c>
      <c r="C49" s="125" t="s">
        <v>32</v>
      </c>
      <c r="D49" s="125" t="s">
        <v>566</v>
      </c>
      <c r="E49" s="125" t="s">
        <v>92</v>
      </c>
      <c r="F49" s="125" t="s">
        <v>660</v>
      </c>
      <c r="G49" s="125" t="s">
        <v>660</v>
      </c>
      <c r="H49" s="125" t="s">
        <v>660</v>
      </c>
      <c r="I49" s="121"/>
      <c r="J49" s="121"/>
      <c r="K49" s="121"/>
      <c r="L49" s="121"/>
      <c r="M49" s="121"/>
      <c r="O49" s="121"/>
      <c r="Q49" s="126">
        <v>3.0</v>
      </c>
    </row>
    <row r="50" ht="15.75" customHeight="1">
      <c r="A50" s="125" t="s">
        <v>350</v>
      </c>
      <c r="B50" s="125" t="s">
        <v>351</v>
      </c>
      <c r="C50" s="125" t="s">
        <v>32</v>
      </c>
      <c r="D50" s="125" t="s">
        <v>566</v>
      </c>
      <c r="E50" s="125" t="s">
        <v>92</v>
      </c>
      <c r="F50" s="125" t="s">
        <v>660</v>
      </c>
      <c r="G50" s="125" t="s">
        <v>660</v>
      </c>
      <c r="H50" s="121"/>
      <c r="I50" s="121"/>
      <c r="J50" s="121"/>
      <c r="K50" s="121"/>
      <c r="L50" s="121"/>
      <c r="M50" s="121"/>
      <c r="O50" s="121"/>
      <c r="Q50" s="126">
        <v>2.0</v>
      </c>
    </row>
    <row r="51" ht="15.75" customHeight="1">
      <c r="A51" s="125" t="s">
        <v>33</v>
      </c>
      <c r="B51" s="125" t="s">
        <v>353</v>
      </c>
      <c r="C51" s="125" t="s">
        <v>33</v>
      </c>
      <c r="D51" s="125" t="s">
        <v>554</v>
      </c>
      <c r="E51" s="125" t="s">
        <v>28</v>
      </c>
      <c r="F51" s="121"/>
      <c r="G51" s="121"/>
      <c r="H51" s="121"/>
      <c r="I51" s="121"/>
      <c r="J51" s="125" t="s">
        <v>660</v>
      </c>
      <c r="K51" s="121"/>
      <c r="L51" s="121"/>
      <c r="M51" s="121"/>
      <c r="O51" s="121"/>
      <c r="Q51" s="126">
        <v>1.0</v>
      </c>
    </row>
    <row r="52" ht="15.75" customHeight="1">
      <c r="A52" s="125" t="s">
        <v>362</v>
      </c>
      <c r="B52" s="125" t="s">
        <v>363</v>
      </c>
      <c r="C52" s="125" t="s">
        <v>33</v>
      </c>
      <c r="D52" s="125" t="s">
        <v>569</v>
      </c>
      <c r="E52" s="125" t="s">
        <v>298</v>
      </c>
      <c r="F52" s="125" t="s">
        <v>660</v>
      </c>
      <c r="G52" s="125" t="s">
        <v>660</v>
      </c>
      <c r="H52" s="121"/>
      <c r="I52" s="121"/>
      <c r="J52" s="121"/>
      <c r="K52" s="121"/>
      <c r="L52" s="121"/>
      <c r="M52" s="121"/>
      <c r="O52" s="121"/>
      <c r="Q52" s="126">
        <v>2.0</v>
      </c>
    </row>
    <row r="53" ht="15.75" customHeight="1">
      <c r="A53" s="125" t="s">
        <v>367</v>
      </c>
      <c r="B53" s="125" t="s">
        <v>368</v>
      </c>
      <c r="C53" s="125" t="s">
        <v>33</v>
      </c>
      <c r="D53" s="125" t="s">
        <v>569</v>
      </c>
      <c r="E53" s="125" t="s">
        <v>122</v>
      </c>
      <c r="F53" s="121"/>
      <c r="G53" s="121"/>
      <c r="H53" s="121"/>
      <c r="I53" s="121"/>
      <c r="J53" s="121"/>
      <c r="K53" s="121"/>
      <c r="L53" s="121"/>
      <c r="M53" s="121"/>
      <c r="O53" s="121"/>
      <c r="Q53" s="126">
        <v>0.0</v>
      </c>
    </row>
    <row r="54" ht="15.75" customHeight="1">
      <c r="A54" s="125" t="s">
        <v>358</v>
      </c>
      <c r="B54" s="125" t="s">
        <v>359</v>
      </c>
      <c r="C54" s="125" t="s">
        <v>33</v>
      </c>
      <c r="D54" s="125" t="s">
        <v>569</v>
      </c>
      <c r="E54" s="125" t="s">
        <v>225</v>
      </c>
      <c r="F54" s="125" t="s">
        <v>660</v>
      </c>
      <c r="G54" s="121"/>
      <c r="H54" s="121"/>
      <c r="I54" s="125" t="s">
        <v>660</v>
      </c>
      <c r="J54" s="121"/>
      <c r="K54" s="121"/>
      <c r="L54" s="121"/>
      <c r="M54" s="121"/>
      <c r="O54" s="121"/>
      <c r="Q54" s="126">
        <v>2.0</v>
      </c>
    </row>
    <row r="55" ht="15.75" customHeight="1">
      <c r="A55" s="125" t="s">
        <v>370</v>
      </c>
      <c r="B55" s="125" t="s">
        <v>371</v>
      </c>
      <c r="C55" s="125" t="s">
        <v>33</v>
      </c>
      <c r="D55" s="125" t="s">
        <v>569</v>
      </c>
      <c r="E55" s="125" t="s">
        <v>372</v>
      </c>
      <c r="F55" s="125" t="s">
        <v>660</v>
      </c>
      <c r="G55" s="125" t="s">
        <v>660</v>
      </c>
      <c r="H55" s="121"/>
      <c r="I55" s="125" t="s">
        <v>660</v>
      </c>
      <c r="J55" s="121"/>
      <c r="K55" s="125" t="s">
        <v>660</v>
      </c>
      <c r="L55" s="121"/>
      <c r="M55" s="121"/>
      <c r="O55" s="121"/>
      <c r="Q55" s="126">
        <v>4.0</v>
      </c>
    </row>
    <row r="56" ht="15.75" customHeight="1">
      <c r="A56" s="125" t="s">
        <v>374</v>
      </c>
      <c r="B56" s="125" t="s">
        <v>375</v>
      </c>
      <c r="C56" s="125" t="s">
        <v>33</v>
      </c>
      <c r="D56" s="125" t="s">
        <v>569</v>
      </c>
      <c r="E56" s="125" t="s">
        <v>298</v>
      </c>
      <c r="F56" s="125" t="s">
        <v>660</v>
      </c>
      <c r="G56" s="125" t="s">
        <v>660</v>
      </c>
      <c r="H56" s="125" t="s">
        <v>660</v>
      </c>
      <c r="I56" s="121"/>
      <c r="J56" s="121"/>
      <c r="K56" s="121"/>
      <c r="L56" s="121"/>
      <c r="M56" s="121"/>
      <c r="O56" s="121"/>
      <c r="Q56" s="126">
        <v>3.0</v>
      </c>
    </row>
    <row r="57" ht="15.75" customHeight="1">
      <c r="A57" s="125" t="s">
        <v>377</v>
      </c>
      <c r="B57" s="125" t="s">
        <v>378</v>
      </c>
      <c r="C57" s="125" t="s">
        <v>33</v>
      </c>
      <c r="D57" s="125" t="s">
        <v>569</v>
      </c>
      <c r="E57" s="125" t="s">
        <v>298</v>
      </c>
      <c r="F57" s="125" t="s">
        <v>660</v>
      </c>
      <c r="G57" s="125" t="s">
        <v>660</v>
      </c>
      <c r="H57" s="125" t="s">
        <v>660</v>
      </c>
      <c r="I57" s="121"/>
      <c r="J57" s="121"/>
      <c r="K57" s="125" t="s">
        <v>660</v>
      </c>
      <c r="L57" s="121"/>
      <c r="M57" s="121"/>
      <c r="O57" s="121"/>
      <c r="Q57" s="126">
        <v>4.0</v>
      </c>
    </row>
    <row r="58" ht="15.75" customHeight="1">
      <c r="A58" s="125" t="s">
        <v>380</v>
      </c>
      <c r="B58" s="125" t="s">
        <v>381</v>
      </c>
      <c r="C58" s="125" t="s">
        <v>33</v>
      </c>
      <c r="D58" s="125" t="s">
        <v>569</v>
      </c>
      <c r="E58" s="125" t="s">
        <v>298</v>
      </c>
      <c r="F58" s="121"/>
      <c r="G58" s="121"/>
      <c r="H58" s="121"/>
      <c r="I58" s="125" t="s">
        <v>660</v>
      </c>
      <c r="J58" s="121"/>
      <c r="K58" s="121"/>
      <c r="L58" s="121"/>
      <c r="M58" s="121"/>
      <c r="O58" s="121"/>
      <c r="Q58" s="126">
        <v>1.0</v>
      </c>
    </row>
    <row r="59" ht="15.75" customHeight="1">
      <c r="A59" s="125" t="s">
        <v>383</v>
      </c>
      <c r="B59" s="125" t="s">
        <v>384</v>
      </c>
      <c r="C59" s="125" t="s">
        <v>33</v>
      </c>
      <c r="D59" s="125" t="s">
        <v>569</v>
      </c>
      <c r="E59" s="125" t="s">
        <v>298</v>
      </c>
      <c r="F59" s="125" t="s">
        <v>660</v>
      </c>
      <c r="G59" s="121"/>
      <c r="H59" s="121"/>
      <c r="I59" s="121"/>
      <c r="J59" s="121"/>
      <c r="K59" s="121"/>
      <c r="L59" s="121"/>
      <c r="M59" s="121"/>
      <c r="O59" s="121"/>
      <c r="Q59" s="126">
        <v>1.0</v>
      </c>
    </row>
    <row r="60" ht="15.75" customHeight="1">
      <c r="A60" s="125" t="s">
        <v>386</v>
      </c>
      <c r="B60" s="125" t="s">
        <v>387</v>
      </c>
      <c r="C60" s="125" t="s">
        <v>33</v>
      </c>
      <c r="D60" s="125" t="s">
        <v>569</v>
      </c>
      <c r="E60" s="125" t="s">
        <v>372</v>
      </c>
      <c r="F60" s="125" t="s">
        <v>660</v>
      </c>
      <c r="G60" s="125" t="s">
        <v>660</v>
      </c>
      <c r="H60" s="125" t="s">
        <v>660</v>
      </c>
      <c r="I60" s="121"/>
      <c r="J60" s="121"/>
      <c r="K60" s="121"/>
      <c r="L60" s="121"/>
      <c r="M60" s="121"/>
      <c r="O60" s="121"/>
      <c r="Q60" s="126">
        <v>3.0</v>
      </c>
    </row>
    <row r="61" ht="15.75" customHeight="1">
      <c r="A61" s="125" t="s">
        <v>389</v>
      </c>
      <c r="B61" s="125" t="s">
        <v>390</v>
      </c>
      <c r="C61" s="125" t="s">
        <v>33</v>
      </c>
      <c r="D61" s="125" t="s">
        <v>569</v>
      </c>
      <c r="E61" s="125" t="s">
        <v>122</v>
      </c>
      <c r="F61" s="121"/>
      <c r="G61" s="121"/>
      <c r="H61" s="121"/>
      <c r="I61" s="121"/>
      <c r="J61" s="121"/>
      <c r="K61" s="121"/>
      <c r="L61" s="121"/>
      <c r="M61" s="121"/>
      <c r="O61" s="121"/>
      <c r="Q61" s="126">
        <v>0.0</v>
      </c>
    </row>
    <row r="62" ht="15.75" customHeight="1">
      <c r="A62" s="125" t="s">
        <v>392</v>
      </c>
      <c r="B62" s="125" t="s">
        <v>393</v>
      </c>
      <c r="C62" s="125" t="s">
        <v>33</v>
      </c>
      <c r="D62" s="125" t="s">
        <v>569</v>
      </c>
      <c r="E62" s="125" t="s">
        <v>372</v>
      </c>
      <c r="F62" s="125" t="s">
        <v>660</v>
      </c>
      <c r="G62" s="125" t="s">
        <v>660</v>
      </c>
      <c r="H62" s="125" t="s">
        <v>660</v>
      </c>
      <c r="I62" s="125" t="s">
        <v>660</v>
      </c>
      <c r="J62" s="121"/>
      <c r="K62" s="121"/>
      <c r="L62" s="121"/>
      <c r="M62" s="121"/>
      <c r="O62" s="121"/>
      <c r="Q62" s="126">
        <v>4.0</v>
      </c>
    </row>
    <row r="63" ht="15.75" customHeight="1">
      <c r="A63" s="125" t="s">
        <v>400</v>
      </c>
      <c r="B63" s="125" t="s">
        <v>401</v>
      </c>
      <c r="C63" s="125" t="s">
        <v>33</v>
      </c>
      <c r="D63" s="125" t="s">
        <v>571</v>
      </c>
      <c r="E63" s="125" t="s">
        <v>317</v>
      </c>
      <c r="F63" s="125" t="s">
        <v>660</v>
      </c>
      <c r="G63" s="125" t="s">
        <v>660</v>
      </c>
      <c r="H63" s="121"/>
      <c r="I63" s="125" t="s">
        <v>660</v>
      </c>
      <c r="J63" s="121"/>
      <c r="K63" s="121"/>
      <c r="L63" s="121"/>
      <c r="M63" s="121"/>
      <c r="O63" s="121"/>
      <c r="Q63" s="126">
        <v>3.0</v>
      </c>
    </row>
    <row r="64" ht="15.75" customHeight="1">
      <c r="A64" s="125" t="s">
        <v>403</v>
      </c>
      <c r="B64" s="125" t="s">
        <v>404</v>
      </c>
      <c r="C64" s="125" t="s">
        <v>33</v>
      </c>
      <c r="D64" s="125" t="s">
        <v>571</v>
      </c>
      <c r="E64" s="125" t="s">
        <v>372</v>
      </c>
      <c r="F64" s="125" t="s">
        <v>660</v>
      </c>
      <c r="G64" s="125" t="s">
        <v>660</v>
      </c>
      <c r="H64" s="121"/>
      <c r="I64" s="121"/>
      <c r="J64" s="121"/>
      <c r="K64" s="121"/>
      <c r="L64" s="121"/>
      <c r="M64" s="121"/>
      <c r="O64" s="121"/>
      <c r="Q64" s="126">
        <v>2.0</v>
      </c>
    </row>
    <row r="65" ht="15.75" customHeight="1">
      <c r="A65" s="125" t="s">
        <v>406</v>
      </c>
      <c r="B65" s="125" t="s">
        <v>407</v>
      </c>
      <c r="C65" s="125" t="s">
        <v>33</v>
      </c>
      <c r="D65" s="125" t="s">
        <v>571</v>
      </c>
      <c r="E65" s="125" t="s">
        <v>298</v>
      </c>
      <c r="F65" s="125" t="s">
        <v>660</v>
      </c>
      <c r="G65" s="121"/>
      <c r="H65" s="121"/>
      <c r="I65" s="121"/>
      <c r="J65" s="121"/>
      <c r="K65" s="121"/>
      <c r="L65" s="121"/>
      <c r="M65" s="121"/>
      <c r="O65" s="121"/>
      <c r="Q65" s="126">
        <v>1.0</v>
      </c>
    </row>
    <row r="66" ht="15.75" customHeight="1">
      <c r="A66" s="125" t="s">
        <v>409</v>
      </c>
      <c r="B66" s="125" t="s">
        <v>410</v>
      </c>
      <c r="C66" s="125" t="s">
        <v>33</v>
      </c>
      <c r="D66" s="125" t="s">
        <v>571</v>
      </c>
      <c r="E66" s="125" t="s">
        <v>92</v>
      </c>
      <c r="F66" s="125" t="s">
        <v>660</v>
      </c>
      <c r="G66" s="125" t="s">
        <v>660</v>
      </c>
      <c r="H66" s="121"/>
      <c r="I66" s="125" t="s">
        <v>660</v>
      </c>
      <c r="J66" s="121"/>
      <c r="K66" s="127"/>
      <c r="L66" s="125" t="s">
        <v>660</v>
      </c>
      <c r="M66" s="121"/>
      <c r="O66" s="121"/>
      <c r="Q66" s="126">
        <v>4.0</v>
      </c>
    </row>
    <row r="67" ht="15.75" customHeight="1">
      <c r="A67" s="125" t="s">
        <v>412</v>
      </c>
      <c r="B67" s="125" t="s">
        <v>413</v>
      </c>
      <c r="C67" s="125" t="s">
        <v>33</v>
      </c>
      <c r="D67" s="125" t="s">
        <v>571</v>
      </c>
      <c r="E67" s="125" t="s">
        <v>298</v>
      </c>
      <c r="F67" s="125" t="s">
        <v>660</v>
      </c>
      <c r="G67" s="121"/>
      <c r="H67" s="121"/>
      <c r="I67" s="121"/>
      <c r="J67" s="121"/>
      <c r="K67" s="121"/>
      <c r="L67" s="121"/>
      <c r="M67" s="121"/>
      <c r="O67" s="121"/>
      <c r="Q67" s="126">
        <v>1.0</v>
      </c>
    </row>
    <row r="68" ht="15.75" customHeight="1">
      <c r="A68" s="125" t="s">
        <v>415</v>
      </c>
      <c r="B68" s="125" t="s">
        <v>416</v>
      </c>
      <c r="C68" s="125" t="s">
        <v>33</v>
      </c>
      <c r="D68" s="125" t="s">
        <v>571</v>
      </c>
      <c r="E68" s="125" t="s">
        <v>122</v>
      </c>
      <c r="F68" s="121"/>
      <c r="G68" s="121"/>
      <c r="H68" s="121"/>
      <c r="I68" s="121"/>
      <c r="J68" s="121"/>
      <c r="K68" s="121"/>
      <c r="L68" s="121"/>
      <c r="M68" s="121"/>
      <c r="O68" s="121"/>
      <c r="Q68" s="126">
        <v>0.0</v>
      </c>
    </row>
    <row r="69" ht="15.75" customHeight="1">
      <c r="A69" s="125" t="s">
        <v>418</v>
      </c>
      <c r="B69" s="125" t="s">
        <v>419</v>
      </c>
      <c r="C69" s="125" t="s">
        <v>33</v>
      </c>
      <c r="D69" s="125" t="s">
        <v>571</v>
      </c>
      <c r="E69" s="125" t="s">
        <v>317</v>
      </c>
      <c r="F69" s="125" t="s">
        <v>660</v>
      </c>
      <c r="G69" s="121"/>
      <c r="H69" s="121"/>
      <c r="I69" s="121"/>
      <c r="J69" s="121"/>
      <c r="K69" s="121"/>
      <c r="L69" s="121"/>
      <c r="M69" s="121"/>
      <c r="O69" s="121"/>
      <c r="Q69" s="126">
        <v>1.0</v>
      </c>
    </row>
    <row r="70" ht="15.75" customHeight="1">
      <c r="A70" s="125" t="s">
        <v>421</v>
      </c>
      <c r="B70" s="125" t="s">
        <v>422</v>
      </c>
      <c r="C70" s="125" t="s">
        <v>33</v>
      </c>
      <c r="D70" s="125" t="s">
        <v>571</v>
      </c>
      <c r="E70" s="125" t="s">
        <v>317</v>
      </c>
      <c r="F70" s="125" t="s">
        <v>660</v>
      </c>
      <c r="G70" s="121"/>
      <c r="H70" s="121"/>
      <c r="I70" s="121"/>
      <c r="J70" s="121"/>
      <c r="K70" s="121"/>
      <c r="L70" s="121"/>
      <c r="M70" s="121"/>
      <c r="O70" s="121"/>
      <c r="Q70" s="126">
        <v>1.0</v>
      </c>
    </row>
    <row r="71" ht="15.75" customHeight="1">
      <c r="A71" s="125" t="s">
        <v>424</v>
      </c>
      <c r="B71" s="125" t="s">
        <v>425</v>
      </c>
      <c r="C71" s="125" t="s">
        <v>33</v>
      </c>
      <c r="D71" s="125" t="s">
        <v>571</v>
      </c>
      <c r="E71" s="125" t="s">
        <v>122</v>
      </c>
      <c r="F71" s="125" t="s">
        <v>660</v>
      </c>
      <c r="G71" s="121"/>
      <c r="H71" s="121"/>
      <c r="I71" s="121"/>
      <c r="J71" s="121"/>
      <c r="K71" s="121"/>
      <c r="L71" s="121"/>
      <c r="M71" s="121"/>
      <c r="O71" s="121"/>
      <c r="Q71" s="126">
        <v>1.0</v>
      </c>
    </row>
    <row r="72" ht="15.75" customHeight="1">
      <c r="A72" s="125" t="s">
        <v>427</v>
      </c>
      <c r="B72" s="125" t="s">
        <v>428</v>
      </c>
      <c r="C72" s="125" t="s">
        <v>33</v>
      </c>
      <c r="D72" s="125" t="s">
        <v>571</v>
      </c>
      <c r="E72" s="125" t="s">
        <v>298</v>
      </c>
      <c r="F72" s="125" t="s">
        <v>660</v>
      </c>
      <c r="G72" s="125" t="s">
        <v>660</v>
      </c>
      <c r="H72" s="121"/>
      <c r="I72" s="125" t="s">
        <v>660</v>
      </c>
      <c r="J72" s="121"/>
      <c r="K72" s="125" t="s">
        <v>660</v>
      </c>
      <c r="L72" s="121"/>
      <c r="M72" s="121"/>
      <c r="O72" s="121"/>
      <c r="Q72" s="126">
        <v>4.0</v>
      </c>
    </row>
    <row r="73" ht="15.75" customHeight="1">
      <c r="A73" s="125" t="s">
        <v>395</v>
      </c>
      <c r="B73" s="125" t="s">
        <v>396</v>
      </c>
      <c r="C73" s="125" t="s">
        <v>33</v>
      </c>
      <c r="D73" s="125" t="s">
        <v>571</v>
      </c>
      <c r="E73" s="125" t="s">
        <v>127</v>
      </c>
      <c r="F73" s="125" t="s">
        <v>660</v>
      </c>
      <c r="G73" s="121"/>
      <c r="H73" s="121"/>
      <c r="I73" s="125" t="s">
        <v>660</v>
      </c>
      <c r="J73" s="125" t="s">
        <v>660</v>
      </c>
      <c r="K73" s="127"/>
      <c r="L73" s="125" t="s">
        <v>660</v>
      </c>
      <c r="M73" s="125" t="s">
        <v>660</v>
      </c>
      <c r="O73" s="121"/>
      <c r="Q73" s="126">
        <v>5.0</v>
      </c>
    </row>
    <row r="74" ht="15.75" customHeight="1">
      <c r="A74" s="125" t="s">
        <v>430</v>
      </c>
      <c r="B74" s="125" t="s">
        <v>431</v>
      </c>
      <c r="C74" s="125" t="s">
        <v>33</v>
      </c>
      <c r="D74" s="125" t="s">
        <v>571</v>
      </c>
      <c r="E74" s="125" t="s">
        <v>298</v>
      </c>
      <c r="F74" s="125" t="s">
        <v>660</v>
      </c>
      <c r="G74" s="125" t="s">
        <v>660</v>
      </c>
      <c r="H74" s="121"/>
      <c r="I74" s="121"/>
      <c r="J74" s="121"/>
      <c r="K74" s="121"/>
      <c r="L74" s="121"/>
      <c r="M74" s="121"/>
      <c r="O74" s="121"/>
      <c r="Q74" s="126">
        <v>2.0</v>
      </c>
    </row>
    <row r="75" ht="15.75" customHeight="1">
      <c r="A75" s="125" t="s">
        <v>433</v>
      </c>
      <c r="B75" s="125" t="s">
        <v>434</v>
      </c>
      <c r="C75" s="125" t="s">
        <v>33</v>
      </c>
      <c r="D75" s="125" t="s">
        <v>571</v>
      </c>
      <c r="E75" s="125" t="s">
        <v>298</v>
      </c>
      <c r="F75" s="125" t="s">
        <v>660</v>
      </c>
      <c r="G75" s="125" t="s">
        <v>660</v>
      </c>
      <c r="H75" s="121"/>
      <c r="I75" s="121"/>
      <c r="J75" s="121"/>
      <c r="K75" s="121"/>
      <c r="L75" s="121"/>
      <c r="M75" s="121"/>
      <c r="O75" s="121"/>
      <c r="Q75" s="126">
        <v>2.0</v>
      </c>
    </row>
    <row r="76" ht="15.75" customHeight="1">
      <c r="A76" s="125" t="s">
        <v>436</v>
      </c>
      <c r="B76" s="125" t="s">
        <v>437</v>
      </c>
      <c r="C76" s="125" t="s">
        <v>33</v>
      </c>
      <c r="D76" s="125" t="s">
        <v>571</v>
      </c>
      <c r="E76" s="125" t="s">
        <v>298</v>
      </c>
      <c r="F76" s="125" t="s">
        <v>660</v>
      </c>
      <c r="G76" s="125" t="s">
        <v>660</v>
      </c>
      <c r="H76" s="125" t="s">
        <v>660</v>
      </c>
      <c r="I76" s="125" t="s">
        <v>660</v>
      </c>
      <c r="J76" s="121"/>
      <c r="K76" s="125" t="s">
        <v>660</v>
      </c>
      <c r="L76" s="121"/>
      <c r="M76" s="121"/>
      <c r="O76" s="121"/>
      <c r="Q76" s="126">
        <v>5.0</v>
      </c>
    </row>
    <row r="77" ht="15.75" customHeight="1">
      <c r="A77" s="125" t="s">
        <v>439</v>
      </c>
      <c r="B77" s="125" t="s">
        <v>440</v>
      </c>
      <c r="C77" s="125" t="s">
        <v>33</v>
      </c>
      <c r="D77" s="125" t="s">
        <v>571</v>
      </c>
      <c r="E77" s="125" t="s">
        <v>92</v>
      </c>
      <c r="F77" s="125" t="s">
        <v>660</v>
      </c>
      <c r="G77" s="125" t="s">
        <v>660</v>
      </c>
      <c r="H77" s="121"/>
      <c r="I77" s="121"/>
      <c r="J77" s="121"/>
      <c r="K77" s="121"/>
      <c r="L77" s="121"/>
      <c r="M77" s="121"/>
      <c r="O77" s="121"/>
      <c r="Q77" s="126">
        <v>2.0</v>
      </c>
    </row>
    <row r="78" ht="15.75" customHeight="1">
      <c r="A78" s="125" t="s">
        <v>446</v>
      </c>
      <c r="B78" s="125" t="s">
        <v>447</v>
      </c>
      <c r="C78" s="125" t="s">
        <v>33</v>
      </c>
      <c r="D78" s="125" t="s">
        <v>574</v>
      </c>
      <c r="E78" s="125" t="s">
        <v>298</v>
      </c>
      <c r="F78" s="125" t="s">
        <v>660</v>
      </c>
      <c r="G78" s="121"/>
      <c r="H78" s="121"/>
      <c r="I78" s="121"/>
      <c r="J78" s="121"/>
      <c r="K78" s="121"/>
      <c r="L78" s="121"/>
      <c r="M78" s="121"/>
      <c r="O78" s="121"/>
      <c r="Q78" s="126">
        <v>1.0</v>
      </c>
    </row>
    <row r="79" ht="15.75" customHeight="1">
      <c r="A79" s="125" t="s">
        <v>442</v>
      </c>
      <c r="B79" s="125" t="s">
        <v>443</v>
      </c>
      <c r="C79" s="125" t="s">
        <v>33</v>
      </c>
      <c r="D79" s="125" t="s">
        <v>574</v>
      </c>
      <c r="E79" s="125" t="s">
        <v>317</v>
      </c>
      <c r="F79" s="121"/>
      <c r="G79" s="121"/>
      <c r="H79" s="121"/>
      <c r="I79" s="121"/>
      <c r="J79" s="121"/>
      <c r="K79" s="121"/>
      <c r="L79" s="121"/>
      <c r="M79" s="121"/>
      <c r="O79" s="121"/>
      <c r="Q79" s="126">
        <v>0.0</v>
      </c>
    </row>
    <row r="80" ht="15.75" customHeight="1">
      <c r="A80" s="125" t="s">
        <v>449</v>
      </c>
      <c r="B80" s="125" t="s">
        <v>450</v>
      </c>
      <c r="C80" s="125" t="s">
        <v>33</v>
      </c>
      <c r="D80" s="125" t="s">
        <v>574</v>
      </c>
      <c r="E80" s="125" t="s">
        <v>372</v>
      </c>
      <c r="F80" s="125" t="s">
        <v>660</v>
      </c>
      <c r="G80" s="125" t="s">
        <v>660</v>
      </c>
      <c r="H80" s="121"/>
      <c r="I80" s="121"/>
      <c r="J80" s="121"/>
      <c r="K80" s="121"/>
      <c r="L80" s="121"/>
      <c r="M80" s="121"/>
      <c r="O80" s="121"/>
      <c r="Q80" s="126">
        <v>2.0</v>
      </c>
    </row>
    <row r="81" ht="15.75" customHeight="1">
      <c r="A81" s="125" t="s">
        <v>145</v>
      </c>
      <c r="B81" s="125" t="s">
        <v>146</v>
      </c>
      <c r="C81" s="125" t="s">
        <v>30</v>
      </c>
      <c r="D81" s="125" t="s">
        <v>550</v>
      </c>
      <c r="E81" s="125" t="s">
        <v>147</v>
      </c>
      <c r="F81" s="121"/>
      <c r="G81" s="121"/>
      <c r="H81" s="121"/>
      <c r="I81" s="121"/>
      <c r="J81" s="121"/>
      <c r="K81" s="121"/>
      <c r="L81" s="121"/>
      <c r="M81" s="121"/>
      <c r="O81" s="121"/>
      <c r="Q81" s="126">
        <v>0.0</v>
      </c>
    </row>
    <row r="82" ht="15.75" customHeight="1">
      <c r="A82" s="125" t="s">
        <v>141</v>
      </c>
      <c r="B82" s="125" t="s">
        <v>142</v>
      </c>
      <c r="C82" s="125" t="s">
        <v>30</v>
      </c>
      <c r="D82" s="125" t="s">
        <v>550</v>
      </c>
      <c r="E82" s="125" t="s">
        <v>143</v>
      </c>
      <c r="F82" s="125" t="s">
        <v>660</v>
      </c>
      <c r="G82" s="125" t="s">
        <v>660</v>
      </c>
      <c r="H82" s="121"/>
      <c r="I82" s="121"/>
      <c r="J82" s="121"/>
      <c r="K82" s="121"/>
      <c r="L82" s="121"/>
      <c r="M82" s="121"/>
      <c r="O82" s="121"/>
      <c r="Q82" s="126">
        <v>2.0</v>
      </c>
    </row>
    <row r="83" ht="15.75" customHeight="1">
      <c r="A83" s="125" t="s">
        <v>96</v>
      </c>
      <c r="B83" s="125" t="s">
        <v>97</v>
      </c>
      <c r="C83" s="125" t="s">
        <v>30</v>
      </c>
      <c r="D83" s="125" t="s">
        <v>550</v>
      </c>
      <c r="E83" s="125" t="s">
        <v>99</v>
      </c>
      <c r="F83" s="125" t="s">
        <v>660</v>
      </c>
      <c r="G83" s="125" t="s">
        <v>660</v>
      </c>
      <c r="H83" s="121"/>
      <c r="I83" s="121"/>
      <c r="J83" s="121"/>
      <c r="K83" s="121"/>
      <c r="L83" s="121"/>
      <c r="M83" s="121"/>
      <c r="O83" s="121"/>
      <c r="Q83" s="126">
        <v>2.0</v>
      </c>
    </row>
    <row r="84" ht="15.75" customHeight="1">
      <c r="A84" s="125" t="s">
        <v>149</v>
      </c>
      <c r="B84" s="125" t="s">
        <v>150</v>
      </c>
      <c r="C84" s="125" t="s">
        <v>30</v>
      </c>
      <c r="D84" s="125" t="s">
        <v>550</v>
      </c>
      <c r="E84" s="125" t="s">
        <v>147</v>
      </c>
      <c r="F84" s="121"/>
      <c r="G84" s="121"/>
      <c r="H84" s="121"/>
      <c r="I84" s="121"/>
      <c r="J84" s="121"/>
      <c r="K84" s="121"/>
      <c r="L84" s="121"/>
      <c r="M84" s="121"/>
      <c r="O84" s="121"/>
      <c r="Q84" s="126">
        <v>0.0</v>
      </c>
    </row>
    <row r="85" ht="15.75" customHeight="1">
      <c r="A85" s="125" t="s">
        <v>152</v>
      </c>
      <c r="B85" s="125" t="s">
        <v>153</v>
      </c>
      <c r="C85" s="125" t="s">
        <v>30</v>
      </c>
      <c r="D85" s="125" t="s">
        <v>550</v>
      </c>
      <c r="E85" s="125" t="s">
        <v>147</v>
      </c>
      <c r="F85" s="121"/>
      <c r="G85" s="121"/>
      <c r="H85" s="121"/>
      <c r="I85" s="121"/>
      <c r="J85" s="121"/>
      <c r="K85" s="121"/>
      <c r="L85" s="121"/>
      <c r="M85" s="121"/>
      <c r="O85" s="121"/>
      <c r="Q85" s="126">
        <v>0.0</v>
      </c>
    </row>
    <row r="86" ht="15.75" customHeight="1">
      <c r="A86" s="125" t="s">
        <v>155</v>
      </c>
      <c r="B86" s="125" t="s">
        <v>156</v>
      </c>
      <c r="C86" s="125" t="s">
        <v>30</v>
      </c>
      <c r="D86" s="125" t="s">
        <v>550</v>
      </c>
      <c r="E86" s="125" t="s">
        <v>157</v>
      </c>
      <c r="F86" s="121"/>
      <c r="G86" s="121"/>
      <c r="H86" s="121"/>
      <c r="I86" s="121"/>
      <c r="J86" s="121"/>
      <c r="K86" s="121"/>
      <c r="L86" s="121"/>
      <c r="M86" s="121"/>
      <c r="O86" s="121"/>
      <c r="Q86" s="126">
        <v>0.0</v>
      </c>
    </row>
    <row r="87" ht="15.75" customHeight="1">
      <c r="A87" s="125" t="s">
        <v>159</v>
      </c>
      <c r="B87" s="125" t="s">
        <v>160</v>
      </c>
      <c r="C87" s="125" t="s">
        <v>30</v>
      </c>
      <c r="D87" s="125" t="s">
        <v>550</v>
      </c>
      <c r="E87" s="125" t="s">
        <v>147</v>
      </c>
      <c r="F87" s="121"/>
      <c r="G87" s="121"/>
      <c r="H87" s="121"/>
      <c r="I87" s="121"/>
      <c r="J87" s="121"/>
      <c r="K87" s="121"/>
      <c r="L87" s="121"/>
      <c r="M87" s="121"/>
      <c r="O87" s="121"/>
      <c r="Q87" s="126">
        <v>0.0</v>
      </c>
    </row>
    <row r="88" ht="15.75" customHeight="1">
      <c r="A88" s="125" t="s">
        <v>125</v>
      </c>
      <c r="B88" s="125" t="s">
        <v>126</v>
      </c>
      <c r="C88" s="125" t="s">
        <v>30</v>
      </c>
      <c r="D88" s="125" t="s">
        <v>546</v>
      </c>
      <c r="E88" s="125" t="s">
        <v>127</v>
      </c>
      <c r="F88" s="121"/>
      <c r="G88" s="121"/>
      <c r="H88" s="121"/>
      <c r="I88" s="121"/>
      <c r="J88" s="125" t="s">
        <v>660</v>
      </c>
      <c r="K88" s="121"/>
      <c r="L88" s="121"/>
      <c r="M88" s="121"/>
      <c r="O88" s="121"/>
      <c r="Q88" s="126">
        <v>1.0</v>
      </c>
    </row>
    <row r="89" ht="15.75" customHeight="1">
      <c r="A89" s="125" t="s">
        <v>130</v>
      </c>
      <c r="B89" s="125" t="s">
        <v>131</v>
      </c>
      <c r="C89" s="125" t="s">
        <v>30</v>
      </c>
      <c r="D89" s="125" t="s">
        <v>546</v>
      </c>
      <c r="E89" s="125" t="s">
        <v>132</v>
      </c>
      <c r="F89" s="125" t="s">
        <v>660</v>
      </c>
      <c r="G89" s="125" t="s">
        <v>660</v>
      </c>
      <c r="H89" s="121"/>
      <c r="I89" s="125" t="s">
        <v>660</v>
      </c>
      <c r="J89" s="121"/>
      <c r="K89" s="121"/>
      <c r="L89" s="121"/>
      <c r="M89" s="127"/>
      <c r="N89" s="125" t="s">
        <v>660</v>
      </c>
      <c r="O89" s="127"/>
      <c r="P89" s="125" t="s">
        <v>660</v>
      </c>
      <c r="Q89" s="126">
        <v>5.0</v>
      </c>
    </row>
    <row r="90" ht="15.75" customHeight="1">
      <c r="A90" s="125" t="s">
        <v>134</v>
      </c>
      <c r="B90" s="125" t="s">
        <v>135</v>
      </c>
      <c r="C90" s="125" t="s">
        <v>30</v>
      </c>
      <c r="D90" s="125" t="s">
        <v>546</v>
      </c>
      <c r="E90" s="125" t="s">
        <v>136</v>
      </c>
      <c r="F90" s="125" t="s">
        <v>660</v>
      </c>
      <c r="G90" s="121"/>
      <c r="H90" s="125" t="s">
        <v>660</v>
      </c>
      <c r="I90" s="125" t="s">
        <v>660</v>
      </c>
      <c r="J90" s="125" t="s">
        <v>660</v>
      </c>
      <c r="K90" s="127"/>
      <c r="L90" s="125" t="s">
        <v>660</v>
      </c>
      <c r="M90" s="121"/>
      <c r="N90" s="127"/>
      <c r="O90" s="125" t="s">
        <v>660</v>
      </c>
      <c r="Q90" s="126">
        <v>6.0</v>
      </c>
    </row>
    <row r="91" ht="15.75" customHeight="1">
      <c r="A91" s="125" t="s">
        <v>138</v>
      </c>
      <c r="B91" s="125" t="s">
        <v>139</v>
      </c>
      <c r="C91" s="125" t="s">
        <v>30</v>
      </c>
      <c r="D91" s="125" t="s">
        <v>546</v>
      </c>
      <c r="E91" s="125" t="s">
        <v>92</v>
      </c>
      <c r="F91" s="125" t="s">
        <v>660</v>
      </c>
      <c r="G91" s="121"/>
      <c r="H91" s="125" t="s">
        <v>660</v>
      </c>
      <c r="I91" s="121"/>
      <c r="J91" s="121"/>
      <c r="K91" s="121"/>
      <c r="L91" s="121"/>
      <c r="M91" s="121"/>
      <c r="O91" s="121"/>
      <c r="Q91" s="126">
        <v>2.0</v>
      </c>
    </row>
    <row r="92" ht="15.75" customHeight="1">
      <c r="A92" s="125" t="s">
        <v>109</v>
      </c>
      <c r="B92" s="125" t="s">
        <v>110</v>
      </c>
      <c r="C92" s="125" t="s">
        <v>30</v>
      </c>
      <c r="D92" s="125" t="s">
        <v>546</v>
      </c>
      <c r="E92" s="125" t="s">
        <v>112</v>
      </c>
      <c r="F92" s="125" t="s">
        <v>660</v>
      </c>
      <c r="G92" s="121"/>
      <c r="H92" s="121"/>
      <c r="I92" s="121"/>
      <c r="J92" s="125" t="s">
        <v>660</v>
      </c>
      <c r="K92" s="121"/>
      <c r="L92" s="121"/>
      <c r="M92" s="121"/>
      <c r="O92" s="121"/>
      <c r="Q92" s="126">
        <v>2.0</v>
      </c>
    </row>
    <row r="93" ht="15.75" customHeight="1">
      <c r="A93" s="125" t="s">
        <v>209</v>
      </c>
      <c r="B93" s="125" t="s">
        <v>210</v>
      </c>
      <c r="C93" s="125" t="s">
        <v>30</v>
      </c>
      <c r="D93" s="125" t="s">
        <v>211</v>
      </c>
      <c r="E93" s="125" t="s">
        <v>212</v>
      </c>
      <c r="F93" s="121"/>
      <c r="G93" s="121"/>
      <c r="H93" s="121"/>
      <c r="I93" s="121"/>
      <c r="J93" s="121"/>
      <c r="K93" s="121"/>
      <c r="L93" s="121"/>
      <c r="M93" s="121"/>
      <c r="O93" s="121"/>
      <c r="Q93" s="126">
        <v>0.0</v>
      </c>
    </row>
    <row r="94" ht="15.75" customHeight="1">
      <c r="A94" s="125" t="s">
        <v>217</v>
      </c>
      <c r="B94" s="125" t="s">
        <v>219</v>
      </c>
      <c r="C94" s="125" t="s">
        <v>30</v>
      </c>
      <c r="D94" s="125" t="s">
        <v>211</v>
      </c>
      <c r="E94" s="125" t="s">
        <v>220</v>
      </c>
      <c r="F94" s="125" t="s">
        <v>660</v>
      </c>
      <c r="G94" s="125" t="s">
        <v>660</v>
      </c>
      <c r="H94" s="125" t="s">
        <v>660</v>
      </c>
      <c r="I94" s="121"/>
      <c r="J94" s="121"/>
      <c r="K94" s="121"/>
      <c r="L94" s="127"/>
      <c r="M94" s="125" t="s">
        <v>660</v>
      </c>
      <c r="O94" s="121"/>
      <c r="Q94" s="126">
        <v>4.0</v>
      </c>
    </row>
    <row r="95" ht="15.75" customHeight="1">
      <c r="A95" s="125" t="s">
        <v>204</v>
      </c>
      <c r="B95" s="125" t="s">
        <v>205</v>
      </c>
      <c r="C95" s="125" t="s">
        <v>30</v>
      </c>
      <c r="D95" s="125" t="s">
        <v>211</v>
      </c>
      <c r="E95" s="125" t="s">
        <v>207</v>
      </c>
      <c r="F95" s="125" t="s">
        <v>660</v>
      </c>
      <c r="G95" s="121"/>
      <c r="H95" s="121"/>
      <c r="I95" s="121"/>
      <c r="J95" s="125" t="s">
        <v>660</v>
      </c>
      <c r="K95" s="121"/>
      <c r="L95" s="127"/>
      <c r="M95" s="125" t="s">
        <v>660</v>
      </c>
      <c r="O95" s="121"/>
      <c r="Q95" s="126">
        <v>3.0</v>
      </c>
    </row>
    <row r="96" ht="15.75" customHeight="1">
      <c r="A96" s="125" t="s">
        <v>114</v>
      </c>
      <c r="B96" s="125" t="s">
        <v>115</v>
      </c>
      <c r="C96" s="125" t="s">
        <v>30</v>
      </c>
      <c r="D96" s="125" t="s">
        <v>552</v>
      </c>
      <c r="E96" s="125" t="s">
        <v>116</v>
      </c>
      <c r="F96" s="125" t="s">
        <v>660</v>
      </c>
      <c r="G96" s="121"/>
      <c r="H96" s="125" t="s">
        <v>660</v>
      </c>
      <c r="I96" s="121"/>
      <c r="J96" s="121"/>
      <c r="K96" s="121"/>
      <c r="L96" s="121"/>
      <c r="M96" s="121"/>
      <c r="O96" s="121"/>
      <c r="Q96" s="126">
        <v>2.0</v>
      </c>
    </row>
    <row r="97" ht="15.75" customHeight="1">
      <c r="A97" s="125" t="s">
        <v>120</v>
      </c>
      <c r="B97" s="125" t="s">
        <v>121</v>
      </c>
      <c r="C97" s="125" t="s">
        <v>30</v>
      </c>
      <c r="D97" s="125" t="s">
        <v>552</v>
      </c>
      <c r="E97" s="125" t="s">
        <v>122</v>
      </c>
      <c r="F97" s="125" t="s">
        <v>660</v>
      </c>
      <c r="G97" s="121"/>
      <c r="H97" s="121"/>
      <c r="I97" s="121"/>
      <c r="J97" s="121"/>
      <c r="K97" s="121"/>
      <c r="L97" s="121"/>
      <c r="M97" s="121"/>
      <c r="O97" s="121"/>
      <c r="Q97" s="126">
        <v>1.0</v>
      </c>
    </row>
    <row r="98" ht="15.75" customHeight="1">
      <c r="A98" s="125" t="s">
        <v>82</v>
      </c>
      <c r="B98" s="125" t="s">
        <v>83</v>
      </c>
      <c r="C98" s="125" t="s">
        <v>30</v>
      </c>
      <c r="D98" s="125" t="s">
        <v>552</v>
      </c>
      <c r="E98" s="125" t="s">
        <v>84</v>
      </c>
      <c r="F98" s="125" t="s">
        <v>660</v>
      </c>
      <c r="G98" s="125" t="s">
        <v>660</v>
      </c>
      <c r="H98" s="121"/>
      <c r="I98" s="125" t="s">
        <v>660</v>
      </c>
      <c r="J98" s="121"/>
      <c r="K98" s="121"/>
      <c r="L98" s="121"/>
      <c r="M98" s="121"/>
      <c r="O98" s="121"/>
      <c r="Q98" s="126">
        <v>3.0</v>
      </c>
    </row>
    <row r="99" ht="15.75" customHeight="1">
      <c r="A99" s="125" t="s">
        <v>90</v>
      </c>
      <c r="B99" s="125" t="s">
        <v>91</v>
      </c>
      <c r="C99" s="125" t="s">
        <v>30</v>
      </c>
      <c r="D99" s="125" t="s">
        <v>552</v>
      </c>
      <c r="E99" s="125" t="s">
        <v>92</v>
      </c>
      <c r="F99" s="125" t="s">
        <v>660</v>
      </c>
      <c r="G99" s="125" t="s">
        <v>660</v>
      </c>
      <c r="H99" s="121"/>
      <c r="I99" s="121"/>
      <c r="J99" s="121"/>
      <c r="K99" s="125" t="s">
        <v>660</v>
      </c>
      <c r="L99" s="121"/>
      <c r="M99" s="121"/>
      <c r="O99" s="121"/>
      <c r="P99" s="127"/>
      <c r="Q99" s="126">
        <v>3.0</v>
      </c>
    </row>
    <row r="100" ht="15.75" customHeight="1">
      <c r="A100" s="125" t="s">
        <v>30</v>
      </c>
      <c r="B100" s="125" t="s">
        <v>75</v>
      </c>
      <c r="C100" s="125" t="s">
        <v>30</v>
      </c>
      <c r="D100" s="125" t="s">
        <v>552</v>
      </c>
      <c r="E100" s="125" t="s">
        <v>28</v>
      </c>
      <c r="F100" s="121"/>
      <c r="G100" s="121"/>
      <c r="H100" s="121"/>
      <c r="I100" s="121"/>
      <c r="J100" s="121"/>
      <c r="K100" s="121"/>
      <c r="L100" s="121"/>
      <c r="M100" s="121"/>
      <c r="O100" s="121"/>
      <c r="Q100" s="126">
        <v>0.0</v>
      </c>
    </row>
    <row r="101" ht="15.75" customHeight="1">
      <c r="A101" s="125" t="s">
        <v>103</v>
      </c>
      <c r="B101" s="125" t="s">
        <v>104</v>
      </c>
      <c r="C101" s="125" t="s">
        <v>30</v>
      </c>
      <c r="D101" s="125" t="s">
        <v>552</v>
      </c>
      <c r="E101" s="125" t="s">
        <v>84</v>
      </c>
      <c r="F101" s="125" t="s">
        <v>660</v>
      </c>
      <c r="G101" s="125" t="s">
        <v>660</v>
      </c>
      <c r="H101" s="121"/>
      <c r="I101" s="121"/>
      <c r="J101" s="121"/>
      <c r="K101" s="121"/>
      <c r="L101" s="121"/>
      <c r="M101" s="121"/>
      <c r="O101" s="121"/>
      <c r="Q101" s="126">
        <v>2.0</v>
      </c>
    </row>
    <row r="102" ht="15.75" customHeight="1">
      <c r="A102" s="125" t="s">
        <v>106</v>
      </c>
      <c r="B102" s="125" t="s">
        <v>107</v>
      </c>
      <c r="C102" s="125" t="s">
        <v>30</v>
      </c>
      <c r="D102" s="125" t="s">
        <v>552</v>
      </c>
      <c r="E102" s="125" t="s">
        <v>92</v>
      </c>
      <c r="F102" s="125" t="s">
        <v>660</v>
      </c>
      <c r="G102" s="121"/>
      <c r="H102" s="121"/>
      <c r="I102" s="125" t="s">
        <v>660</v>
      </c>
      <c r="J102" s="121"/>
      <c r="K102" s="121"/>
      <c r="L102" s="121"/>
      <c r="M102" s="121"/>
      <c r="O102" s="121"/>
      <c r="Q102" s="126">
        <v>2.0</v>
      </c>
    </row>
    <row r="103" ht="15.75" customHeight="1">
      <c r="A103" s="125" t="s">
        <v>162</v>
      </c>
      <c r="B103" s="125" t="s">
        <v>163</v>
      </c>
      <c r="C103" s="125" t="s">
        <v>30</v>
      </c>
      <c r="D103" s="125" t="s">
        <v>548</v>
      </c>
      <c r="E103" s="125" t="s">
        <v>165</v>
      </c>
      <c r="F103" s="125" t="s">
        <v>660</v>
      </c>
      <c r="G103" s="121"/>
      <c r="H103" s="121"/>
      <c r="I103" s="121"/>
      <c r="J103" s="125" t="s">
        <v>660</v>
      </c>
      <c r="K103" s="121"/>
      <c r="L103" s="121"/>
      <c r="M103" s="121"/>
      <c r="O103" s="121"/>
      <c r="Q103" s="126">
        <v>2.0</v>
      </c>
    </row>
    <row r="104" ht="15.75" customHeight="1">
      <c r="A104" s="125" t="s">
        <v>167</v>
      </c>
      <c r="B104" s="125" t="s">
        <v>168</v>
      </c>
      <c r="C104" s="125" t="s">
        <v>30</v>
      </c>
      <c r="D104" s="125" t="s">
        <v>548</v>
      </c>
      <c r="E104" s="125" t="s">
        <v>169</v>
      </c>
      <c r="F104" s="125" t="s">
        <v>660</v>
      </c>
      <c r="G104" s="125" t="s">
        <v>660</v>
      </c>
      <c r="H104" s="125" t="s">
        <v>660</v>
      </c>
      <c r="I104" s="121"/>
      <c r="J104" s="121"/>
      <c r="K104" s="121"/>
      <c r="L104" s="121"/>
      <c r="M104" s="121"/>
      <c r="O104" s="121"/>
      <c r="Q104" s="126">
        <v>3.0</v>
      </c>
    </row>
    <row r="105" ht="15.75" customHeight="1">
      <c r="A105" s="125" t="s">
        <v>171</v>
      </c>
      <c r="B105" s="125" t="s">
        <v>172</v>
      </c>
      <c r="C105" s="125" t="s">
        <v>30</v>
      </c>
      <c r="D105" s="125" t="s">
        <v>548</v>
      </c>
      <c r="E105" s="125" t="s">
        <v>173</v>
      </c>
      <c r="F105" s="125" t="s">
        <v>660</v>
      </c>
      <c r="G105" s="125" t="s">
        <v>660</v>
      </c>
      <c r="H105" s="125" t="s">
        <v>660</v>
      </c>
      <c r="I105" s="121"/>
      <c r="J105" s="121"/>
      <c r="K105" s="121"/>
      <c r="L105" s="121"/>
      <c r="M105" s="121"/>
      <c r="O105" s="121"/>
      <c r="Q105" s="126">
        <v>3.0</v>
      </c>
    </row>
    <row r="106" ht="15.75" customHeight="1">
      <c r="A106" s="125" t="s">
        <v>214</v>
      </c>
      <c r="B106" s="125" t="s">
        <v>215</v>
      </c>
      <c r="C106" s="125" t="s">
        <v>30</v>
      </c>
      <c r="D106" s="125" t="s">
        <v>544</v>
      </c>
      <c r="E106" s="125" t="s">
        <v>216</v>
      </c>
      <c r="F106" s="121"/>
      <c r="G106" s="121"/>
      <c r="H106" s="121"/>
      <c r="I106" s="121"/>
      <c r="J106" s="121"/>
      <c r="K106" s="121"/>
      <c r="L106" s="121"/>
      <c r="M106" s="121"/>
      <c r="O106" s="121"/>
      <c r="Q106" s="126">
        <v>0.0</v>
      </c>
    </row>
    <row r="107" ht="15.75" customHeight="1">
      <c r="A107" s="125" t="s">
        <v>175</v>
      </c>
      <c r="B107" s="125" t="s">
        <v>176</v>
      </c>
      <c r="C107" s="125" t="s">
        <v>30</v>
      </c>
      <c r="D107" s="125" t="s">
        <v>544</v>
      </c>
      <c r="E107" s="125" t="s">
        <v>178</v>
      </c>
      <c r="F107" s="121"/>
      <c r="G107" s="121"/>
      <c r="H107" s="125" t="s">
        <v>660</v>
      </c>
      <c r="I107" s="121"/>
      <c r="J107" s="121"/>
      <c r="K107" s="121"/>
      <c r="L107" s="121"/>
      <c r="M107" s="121"/>
      <c r="O107" s="121"/>
      <c r="Q107" s="126">
        <v>1.0</v>
      </c>
    </row>
    <row r="108" ht="15.75" customHeight="1">
      <c r="A108" s="125" t="s">
        <v>180</v>
      </c>
      <c r="B108" s="125" t="s">
        <v>181</v>
      </c>
      <c r="C108" s="125" t="s">
        <v>30</v>
      </c>
      <c r="D108" s="125" t="s">
        <v>544</v>
      </c>
      <c r="E108" s="125" t="s">
        <v>182</v>
      </c>
      <c r="F108" s="125" t="s">
        <v>660</v>
      </c>
      <c r="G108" s="121"/>
      <c r="H108" s="125" t="s">
        <v>660</v>
      </c>
      <c r="I108" s="121"/>
      <c r="J108" s="121"/>
      <c r="K108" s="121"/>
      <c r="L108" s="121"/>
      <c r="M108" s="121"/>
      <c r="O108" s="121"/>
      <c r="Q108" s="126">
        <v>2.0</v>
      </c>
    </row>
    <row r="109" ht="15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</row>
    <row r="110" ht="15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</row>
    <row r="111" ht="15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</row>
    <row r="112" ht="15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</row>
    <row r="113" ht="15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</row>
    <row r="114" ht="15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</row>
    <row r="115" ht="15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</row>
    <row r="116" ht="15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</row>
    <row r="117" ht="15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</row>
    <row r="118" ht="15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</row>
    <row r="119" ht="15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</row>
    <row r="120" ht="15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</row>
    <row r="121" ht="15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</row>
    <row r="122" ht="15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</row>
    <row r="123" ht="15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</row>
    <row r="124" ht="15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</row>
    <row r="125" ht="15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</row>
    <row r="126" ht="15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</row>
    <row r="127" ht="15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</row>
    <row r="128" ht="15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</row>
    <row r="129" ht="15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</row>
    <row r="130" ht="15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</row>
    <row r="131" ht="15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</row>
    <row r="132" ht="15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</row>
    <row r="133" ht="15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</row>
    <row r="134" ht="15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</row>
    <row r="135" ht="15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</row>
    <row r="136" ht="15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</row>
    <row r="137" ht="15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</row>
    <row r="138" ht="15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</row>
    <row r="139" ht="15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</row>
    <row r="140" ht="15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</row>
    <row r="141" ht="15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</row>
    <row r="142" ht="15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</row>
    <row r="143" ht="15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</row>
    <row r="144" ht="15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</row>
    <row r="145" ht="15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</row>
    <row r="146" ht="15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</row>
    <row r="147" ht="15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</row>
    <row r="148" ht="15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</row>
    <row r="149" ht="15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</row>
    <row r="150" ht="15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</row>
    <row r="151" ht="15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</row>
    <row r="152" ht="15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</row>
    <row r="153" ht="15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</row>
    <row r="154" ht="15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</row>
    <row r="155" ht="15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</row>
    <row r="156" ht="15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</row>
    <row r="157" ht="15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</row>
    <row r="158" ht="15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</row>
    <row r="159" ht="15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</row>
    <row r="160" ht="15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</row>
    <row r="161" ht="15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</row>
    <row r="162" ht="15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</row>
    <row r="163" ht="15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</row>
    <row r="164" ht="15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</row>
    <row r="165" ht="15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</row>
    <row r="166" ht="15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</row>
    <row r="167" ht="15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</row>
    <row r="168" ht="15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</row>
    <row r="169" ht="15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</row>
    <row r="170" ht="15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</row>
    <row r="171" ht="15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</row>
    <row r="172" ht="15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</row>
    <row r="173" ht="15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</row>
    <row r="174" ht="15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</row>
    <row r="175" ht="15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</row>
    <row r="176" ht="15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</row>
    <row r="177" ht="15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</row>
    <row r="178" ht="15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</row>
    <row r="179" ht="15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</row>
    <row r="180" ht="15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</row>
    <row r="181" ht="15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</row>
    <row r="182" ht="15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</row>
    <row r="183" ht="15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</row>
    <row r="184" ht="15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</row>
    <row r="185" ht="15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</row>
    <row r="186" ht="15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</row>
    <row r="187" ht="15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</row>
    <row r="188" ht="15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</row>
    <row r="189" ht="15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</row>
    <row r="190" ht="15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</row>
    <row r="191" ht="15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</row>
    <row r="192" ht="15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</row>
    <row r="193" ht="15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</row>
    <row r="194" ht="15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</row>
    <row r="195" ht="15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</row>
    <row r="196" ht="15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</row>
    <row r="197" ht="15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</row>
    <row r="198" ht="15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</row>
    <row r="199" ht="15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</row>
    <row r="200" ht="15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</row>
    <row r="201" ht="15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</row>
    <row r="202" ht="15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</row>
    <row r="203" ht="15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</row>
    <row r="204" ht="15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</row>
    <row r="205" ht="15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</row>
    <row r="206" ht="15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</row>
    <row r="207" ht="15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</row>
    <row r="208" ht="15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</row>
    <row r="209" ht="15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</row>
    <row r="210" ht="15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</row>
    <row r="211" ht="15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</row>
    <row r="212" ht="15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</row>
    <row r="213" ht="15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</row>
    <row r="214" ht="15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</row>
    <row r="215" ht="15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</row>
    <row r="216" ht="15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</row>
    <row r="217" ht="15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</row>
    <row r="218" ht="15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</row>
    <row r="219" ht="15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</row>
    <row r="220" ht="15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</row>
    <row r="221" ht="15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</row>
    <row r="222" ht="15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</row>
    <row r="223" ht="15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</row>
    <row r="224" ht="15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</row>
    <row r="225" ht="15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</row>
    <row r="226" ht="15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</row>
    <row r="227" ht="15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</row>
    <row r="228" ht="15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</row>
    <row r="229" ht="15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</row>
    <row r="230" ht="15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</row>
    <row r="231" ht="15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</row>
    <row r="232" ht="15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</row>
    <row r="233" ht="15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</row>
    <row r="234" ht="15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</row>
    <row r="235" ht="15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</row>
    <row r="236" ht="15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</row>
    <row r="237" ht="15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</row>
    <row r="238" ht="15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</row>
    <row r="239" ht="15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</row>
    <row r="240" ht="15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</row>
    <row r="241" ht="15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</row>
    <row r="242" ht="15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</row>
    <row r="243" ht="15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</row>
    <row r="244" ht="15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</row>
    <row r="245" ht="15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</row>
    <row r="246" ht="15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</row>
    <row r="247" ht="15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</row>
    <row r="248" ht="15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</row>
    <row r="249" ht="15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</row>
    <row r="250" ht="15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</row>
    <row r="251" ht="15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</row>
    <row r="252" ht="15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</row>
    <row r="253" ht="15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</row>
    <row r="254" ht="15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</row>
    <row r="255" ht="15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</row>
    <row r="256" ht="15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</row>
    <row r="257" ht="15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</row>
    <row r="258" ht="15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</row>
    <row r="259" ht="15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</row>
    <row r="260" ht="15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</row>
    <row r="261" ht="15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</row>
    <row r="262" ht="15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</row>
    <row r="263" ht="15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</row>
    <row r="264" ht="15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</row>
    <row r="265" ht="15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</row>
    <row r="266" ht="15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</row>
    <row r="267" ht="15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</row>
    <row r="268" ht="15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</row>
    <row r="269" ht="15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</row>
    <row r="270" ht="15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</row>
    <row r="271" ht="15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</row>
    <row r="272" ht="15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</row>
    <row r="273" ht="15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</row>
    <row r="274" ht="15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</row>
    <row r="275" ht="15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</row>
    <row r="276" ht="15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</row>
    <row r="277" ht="15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</row>
    <row r="278" ht="15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</row>
    <row r="279" ht="15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</row>
    <row r="280" ht="15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</row>
    <row r="281" ht="15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</row>
    <row r="282" ht="15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</row>
    <row r="283" ht="15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</row>
    <row r="284" ht="15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</row>
    <row r="285" ht="15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</row>
    <row r="286" ht="15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</row>
    <row r="287" ht="15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</row>
    <row r="288" ht="15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</row>
    <row r="289" ht="15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</row>
    <row r="290" ht="15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</row>
    <row r="291" ht="15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</row>
    <row r="292" ht="15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</row>
    <row r="293" ht="15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</row>
    <row r="294" ht="15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</row>
    <row r="295" ht="15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</row>
    <row r="296" ht="15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</row>
    <row r="297" ht="15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</row>
    <row r="298" ht="15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</row>
    <row r="299" ht="15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</row>
    <row r="300" ht="15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</row>
    <row r="301" ht="15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</row>
    <row r="302" ht="15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</row>
    <row r="303" ht="15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</row>
    <row r="304" ht="15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</row>
    <row r="305" ht="15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</row>
    <row r="306" ht="15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</row>
    <row r="307" ht="15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</row>
    <row r="308" ht="15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</row>
    <row r="309" ht="15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</row>
    <row r="310" ht="15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</row>
    <row r="311" ht="15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</row>
    <row r="312" ht="15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</row>
    <row r="313" ht="15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</row>
    <row r="314" ht="15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</row>
    <row r="315" ht="15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</row>
    <row r="316" ht="15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</row>
    <row r="317" ht="15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</row>
    <row r="318" ht="15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</row>
    <row r="319" ht="15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</row>
    <row r="320" ht="15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</row>
    <row r="321" ht="15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</row>
    <row r="322" ht="15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</row>
    <row r="323" ht="15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</row>
    <row r="324" ht="15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</row>
    <row r="325" ht="15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</row>
    <row r="326" ht="15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</row>
    <row r="327" ht="15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</row>
    <row r="328" ht="15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</row>
    <row r="329" ht="15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</row>
    <row r="330" ht="15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</row>
    <row r="331" ht="15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</row>
    <row r="332" ht="15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</row>
    <row r="333" ht="15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</row>
    <row r="334" ht="15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</row>
    <row r="335" ht="15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</row>
    <row r="336" ht="15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</row>
    <row r="337" ht="15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</row>
    <row r="338" ht="15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</row>
    <row r="339" ht="15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</row>
    <row r="340" ht="15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</row>
    <row r="341" ht="15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</row>
    <row r="342" ht="15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</row>
    <row r="343" ht="15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</row>
    <row r="344" ht="15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</row>
    <row r="345" ht="15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</row>
    <row r="346" ht="15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</row>
    <row r="347" ht="15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</row>
    <row r="348" ht="15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</row>
    <row r="349" ht="15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</row>
    <row r="350" ht="15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</row>
    <row r="351" ht="15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</row>
    <row r="352" ht="15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</row>
    <row r="353" ht="15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</row>
    <row r="354" ht="15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</row>
    <row r="355" ht="15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</row>
    <row r="356" ht="15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</row>
    <row r="357" ht="15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</row>
    <row r="358" ht="15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</row>
    <row r="359" ht="15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</row>
    <row r="360" ht="15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</row>
    <row r="361" ht="15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</row>
    <row r="362" ht="15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</row>
    <row r="363" ht="15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</row>
    <row r="364" ht="15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</row>
    <row r="365" ht="15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</row>
    <row r="366" ht="15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</row>
    <row r="367" ht="15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</row>
    <row r="368" ht="15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</row>
    <row r="369" ht="15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</row>
    <row r="370" ht="15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</row>
    <row r="371" ht="15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</row>
    <row r="372" ht="15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</row>
    <row r="373" ht="15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</row>
    <row r="374" ht="15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</row>
    <row r="375" ht="15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</row>
    <row r="376" ht="15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</row>
    <row r="377" ht="15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</row>
    <row r="378" ht="15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</row>
    <row r="379" ht="15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</row>
    <row r="380" ht="15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</row>
    <row r="381" ht="15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</row>
    <row r="382" ht="15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</row>
    <row r="383" ht="15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</row>
    <row r="384" ht="15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</row>
    <row r="385" ht="15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</row>
    <row r="386" ht="15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</row>
    <row r="387" ht="15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</row>
    <row r="388" ht="15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</row>
    <row r="389" ht="15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</row>
    <row r="390" ht="15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</row>
    <row r="391" ht="15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</row>
    <row r="392" ht="15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</row>
    <row r="393" ht="15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</row>
    <row r="394" ht="15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</row>
    <row r="395" ht="15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</row>
    <row r="396" ht="15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</row>
    <row r="397" ht="15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</row>
    <row r="398" ht="15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</row>
    <row r="399" ht="15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</row>
    <row r="400" ht="15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</row>
    <row r="401" ht="15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</row>
    <row r="402" ht="15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</row>
    <row r="403" ht="15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</row>
    <row r="404" ht="15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</row>
    <row r="405" ht="15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</row>
    <row r="406" ht="15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</row>
    <row r="407" ht="15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</row>
    <row r="408" ht="15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</row>
    <row r="409" ht="15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</row>
    <row r="410" ht="15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</row>
    <row r="411" ht="15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</row>
    <row r="412" ht="15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</row>
    <row r="413" ht="15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</row>
    <row r="414" ht="15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</row>
    <row r="415" ht="15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</row>
    <row r="416" ht="15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</row>
    <row r="417" ht="15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</row>
    <row r="418" ht="15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</row>
    <row r="419" ht="15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</row>
    <row r="420" ht="15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</row>
    <row r="421" ht="15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</row>
    <row r="422" ht="15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</row>
    <row r="423" ht="15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</row>
    <row r="424" ht="15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</row>
    <row r="425" ht="15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</row>
    <row r="426" ht="15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</row>
    <row r="427" ht="15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</row>
    <row r="428" ht="15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</row>
    <row r="429" ht="15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</row>
    <row r="430" ht="15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</row>
    <row r="431" ht="15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</row>
    <row r="432" ht="15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</row>
    <row r="433" ht="15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</row>
    <row r="434" ht="15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</row>
    <row r="435" ht="15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</row>
    <row r="436" ht="15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</row>
    <row r="437" ht="15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</row>
    <row r="438" ht="15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</row>
    <row r="439" ht="15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</row>
    <row r="440" ht="15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</row>
    <row r="441" ht="15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</row>
    <row r="442" ht="15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</row>
    <row r="443" ht="15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</row>
    <row r="444" ht="15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</row>
    <row r="445" ht="15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</row>
    <row r="446" ht="15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</row>
    <row r="447" ht="15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</row>
    <row r="448" ht="15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</row>
    <row r="449" ht="15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</row>
    <row r="450" ht="15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</row>
    <row r="451" ht="15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</row>
    <row r="452" ht="15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</row>
    <row r="453" ht="15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</row>
    <row r="454" ht="15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</row>
    <row r="455" ht="15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</row>
    <row r="456" ht="15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</row>
    <row r="457" ht="15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</row>
    <row r="458" ht="15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</row>
    <row r="459" ht="15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</row>
    <row r="460" ht="15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</row>
    <row r="461" ht="15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</row>
    <row r="462" ht="15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</row>
    <row r="463" ht="15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</row>
    <row r="464" ht="15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</row>
    <row r="465" ht="15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</row>
    <row r="466" ht="15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</row>
    <row r="467" ht="15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</row>
    <row r="468" ht="15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</row>
    <row r="469" ht="15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</row>
    <row r="470" ht="15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</row>
    <row r="471" ht="15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</row>
    <row r="472" ht="15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</row>
    <row r="473" ht="15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</row>
    <row r="474" ht="15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</row>
    <row r="475" ht="15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</row>
    <row r="476" ht="15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</row>
    <row r="477" ht="15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</row>
    <row r="478" ht="15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</row>
    <row r="479" ht="15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</row>
    <row r="480" ht="15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</row>
    <row r="481" ht="15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</row>
    <row r="482" ht="15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</row>
    <row r="483" ht="15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</row>
    <row r="484" ht="15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</row>
    <row r="485" ht="15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</row>
    <row r="486" ht="15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</row>
    <row r="487" ht="15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</row>
    <row r="488" ht="15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</row>
    <row r="489" ht="15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</row>
    <row r="490" ht="15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</row>
    <row r="491" ht="15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</row>
    <row r="492" ht="15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</row>
    <row r="493" ht="15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</row>
    <row r="494" ht="15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</row>
    <row r="495" ht="15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</row>
    <row r="496" ht="15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</row>
    <row r="497" ht="15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</row>
    <row r="498" ht="15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</row>
    <row r="499" ht="15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</row>
    <row r="500" ht="15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</row>
    <row r="501" ht="15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</row>
    <row r="502" ht="15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</row>
    <row r="503" ht="15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</row>
    <row r="504" ht="15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</row>
    <row r="505" ht="15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</row>
    <row r="506" ht="15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</row>
    <row r="507" ht="15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</row>
    <row r="508" ht="15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</row>
    <row r="509" ht="15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</row>
    <row r="510" ht="15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</row>
    <row r="511" ht="15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</row>
    <row r="512" ht="15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</row>
    <row r="513" ht="15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</row>
    <row r="514" ht="15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</row>
    <row r="515" ht="15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</row>
    <row r="516" ht="15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</row>
    <row r="517" ht="15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</row>
    <row r="518" ht="15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</row>
    <row r="519" ht="15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</row>
    <row r="520" ht="15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</row>
    <row r="521" ht="15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</row>
    <row r="522" ht="15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</row>
    <row r="523" ht="15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</row>
    <row r="524" ht="15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</row>
    <row r="525" ht="15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</row>
    <row r="526" ht="15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</row>
    <row r="527" ht="15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</row>
    <row r="528" ht="15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</row>
    <row r="529" ht="15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</row>
    <row r="530" ht="15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</row>
    <row r="531" ht="15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</row>
    <row r="532" ht="15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</row>
    <row r="533" ht="15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</row>
    <row r="534" ht="15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</row>
    <row r="535" ht="15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</row>
    <row r="536" ht="15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</row>
    <row r="537" ht="15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</row>
    <row r="538" ht="15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</row>
    <row r="539" ht="15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</row>
    <row r="540" ht="15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</row>
    <row r="541" ht="15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</row>
    <row r="542" ht="15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</row>
    <row r="543" ht="15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</row>
    <row r="544" ht="15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</row>
    <row r="545" ht="15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</row>
    <row r="546" ht="15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</row>
    <row r="547" ht="15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</row>
    <row r="548" ht="15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</row>
    <row r="549" ht="15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</row>
    <row r="550" ht="15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</row>
    <row r="551" ht="15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</row>
    <row r="552" ht="15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</row>
    <row r="553" ht="15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</row>
    <row r="554" ht="15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</row>
    <row r="555" ht="15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</row>
    <row r="556" ht="15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</row>
    <row r="557" ht="15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</row>
    <row r="558" ht="15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</row>
    <row r="559" ht="15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</row>
    <row r="560" ht="15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</row>
    <row r="561" ht="15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</row>
    <row r="562" ht="15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</row>
    <row r="563" ht="15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</row>
    <row r="564" ht="15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</row>
    <row r="565" ht="15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</row>
    <row r="566" ht="15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</row>
    <row r="567" ht="15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</row>
    <row r="568" ht="15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</row>
    <row r="569" ht="15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</row>
    <row r="570" ht="15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</row>
    <row r="571" ht="15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</row>
    <row r="572" ht="15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</row>
    <row r="573" ht="15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</row>
    <row r="574" ht="15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</row>
    <row r="575" ht="15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</row>
    <row r="576" ht="15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</row>
    <row r="577" ht="15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</row>
    <row r="578" ht="15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</row>
    <row r="579" ht="15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</row>
    <row r="580" ht="15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</row>
    <row r="581" ht="15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</row>
    <row r="582" ht="15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</row>
    <row r="583" ht="15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</row>
    <row r="584" ht="15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</row>
    <row r="585" ht="15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</row>
    <row r="586" ht="15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</row>
    <row r="587" ht="15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</row>
    <row r="588" ht="15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</row>
    <row r="589" ht="15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</row>
    <row r="590" ht="15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</row>
    <row r="591" ht="15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</row>
    <row r="592" ht="15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</row>
    <row r="593" ht="15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</row>
    <row r="594" ht="15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</row>
    <row r="595" ht="15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</row>
    <row r="596" ht="15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</row>
    <row r="597" ht="15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</row>
    <row r="598" ht="15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</row>
    <row r="599" ht="15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</row>
    <row r="600" ht="15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</row>
    <row r="601" ht="15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</row>
    <row r="602" ht="15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</row>
    <row r="603" ht="15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</row>
    <row r="604" ht="15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</row>
    <row r="605" ht="15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</row>
    <row r="606" ht="15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</row>
    <row r="607" ht="15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</row>
    <row r="608" ht="15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</row>
    <row r="609" ht="15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</row>
    <row r="610" ht="15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</row>
    <row r="611" ht="15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</row>
    <row r="612" ht="15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</row>
    <row r="613" ht="15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</row>
    <row r="614" ht="15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</row>
    <row r="615" ht="15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</row>
    <row r="616" ht="15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</row>
    <row r="617" ht="15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</row>
    <row r="618" ht="15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</row>
    <row r="619" ht="15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</row>
    <row r="620" ht="15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</row>
    <row r="621" ht="15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</row>
    <row r="622" ht="15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</row>
    <row r="623" ht="15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</row>
    <row r="624" ht="15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</row>
    <row r="625" ht="15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</row>
    <row r="626" ht="15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</row>
    <row r="627" ht="15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</row>
    <row r="628" ht="15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</row>
    <row r="629" ht="15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</row>
    <row r="630" ht="15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</row>
    <row r="631" ht="15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</row>
    <row r="632" ht="15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</row>
    <row r="633" ht="15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</row>
    <row r="634" ht="15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</row>
    <row r="635" ht="15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</row>
    <row r="636" ht="15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</row>
    <row r="637" ht="15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</row>
    <row r="638" ht="15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</row>
    <row r="639" ht="15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</row>
    <row r="640" ht="15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</row>
    <row r="641" ht="15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</row>
    <row r="642" ht="15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</row>
    <row r="643" ht="15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</row>
    <row r="644" ht="15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</row>
    <row r="645" ht="15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</row>
    <row r="646" ht="15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</row>
    <row r="647" ht="15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</row>
    <row r="648" ht="15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</row>
    <row r="649" ht="15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</row>
    <row r="650" ht="15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</row>
    <row r="651" ht="15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</row>
    <row r="652" ht="15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</row>
    <row r="653" ht="15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</row>
    <row r="654" ht="15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</row>
    <row r="655" ht="15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</row>
    <row r="656" ht="15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</row>
    <row r="657" ht="15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</row>
    <row r="658" ht="15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</row>
    <row r="659" ht="15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</row>
    <row r="660" ht="15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</row>
    <row r="661" ht="15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</row>
    <row r="662" ht="15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</row>
    <row r="663" ht="15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</row>
    <row r="664" ht="15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</row>
    <row r="665" ht="15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</row>
    <row r="666" ht="15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</row>
    <row r="667" ht="15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</row>
    <row r="668" ht="15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</row>
    <row r="669" ht="15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</row>
    <row r="670" ht="15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</row>
    <row r="671" ht="15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</row>
    <row r="672" ht="15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</row>
    <row r="673" ht="15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</row>
    <row r="674" ht="15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</row>
    <row r="675" ht="15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</row>
    <row r="676" ht="15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</row>
    <row r="677" ht="15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</row>
    <row r="678" ht="15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</row>
    <row r="679" ht="15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</row>
    <row r="680" ht="15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</row>
    <row r="681" ht="15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</row>
    <row r="682" ht="15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</row>
    <row r="683" ht="15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</row>
    <row r="684" ht="15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</row>
    <row r="685" ht="15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</row>
    <row r="686" ht="15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</row>
    <row r="687" ht="15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</row>
    <row r="688" ht="15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</row>
    <row r="689" ht="15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</row>
    <row r="690" ht="15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</row>
    <row r="691" ht="15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</row>
    <row r="692" ht="15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</row>
    <row r="693" ht="15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</row>
    <row r="694" ht="15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</row>
    <row r="695" ht="15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</row>
    <row r="696" ht="15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</row>
    <row r="697" ht="15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</row>
    <row r="698" ht="15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</row>
    <row r="699" ht="15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</row>
    <row r="700" ht="15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</row>
    <row r="701" ht="15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</row>
    <row r="702" ht="15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</row>
    <row r="703" ht="15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</row>
    <row r="704" ht="15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</row>
    <row r="705" ht="15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</row>
    <row r="706" ht="15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</row>
    <row r="707" ht="15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</row>
    <row r="708" ht="15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</row>
    <row r="709" ht="15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</row>
    <row r="710" ht="15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</row>
    <row r="711" ht="15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</row>
    <row r="712" ht="15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</row>
    <row r="713" ht="15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</row>
    <row r="714" ht="15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</row>
    <row r="715" ht="15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</row>
    <row r="716" ht="15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</row>
    <row r="717" ht="15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</row>
    <row r="718" ht="15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</row>
    <row r="719" ht="15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</row>
    <row r="720" ht="15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</row>
    <row r="721" ht="15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</row>
    <row r="722" ht="15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</row>
    <row r="723" ht="15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</row>
    <row r="724" ht="15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</row>
    <row r="725" ht="15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</row>
    <row r="726" ht="15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</row>
    <row r="727" ht="15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</row>
    <row r="728" ht="15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</row>
    <row r="729" ht="15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</row>
    <row r="730" ht="15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</row>
    <row r="731" ht="15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</row>
    <row r="732" ht="15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</row>
    <row r="733" ht="15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</row>
    <row r="734" ht="15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</row>
    <row r="735" ht="15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</row>
    <row r="736" ht="15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</row>
    <row r="737" ht="15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</row>
    <row r="738" ht="15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</row>
    <row r="739" ht="15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</row>
    <row r="740" ht="15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</row>
    <row r="741" ht="15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</row>
    <row r="742" ht="15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</row>
    <row r="743" ht="15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</row>
    <row r="744" ht="15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</row>
    <row r="745" ht="15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</row>
    <row r="746" ht="15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</row>
    <row r="747" ht="15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</row>
    <row r="748" ht="15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</row>
    <row r="749" ht="15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</row>
    <row r="750" ht="15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</row>
    <row r="751" ht="15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</row>
    <row r="752" ht="15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</row>
    <row r="753" ht="15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</row>
    <row r="754" ht="15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</row>
    <row r="755" ht="15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</row>
    <row r="756" ht="15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</row>
    <row r="757" ht="15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</row>
    <row r="758" ht="15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</row>
    <row r="759" ht="15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</row>
    <row r="760" ht="15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</row>
    <row r="761" ht="15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</row>
    <row r="762" ht="15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</row>
    <row r="763" ht="15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</row>
    <row r="764" ht="15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</row>
    <row r="765" ht="15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</row>
    <row r="766" ht="15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</row>
    <row r="767" ht="15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</row>
    <row r="768" ht="15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</row>
    <row r="769" ht="15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</row>
    <row r="770" ht="15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</row>
    <row r="771" ht="15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</row>
    <row r="772" ht="15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</row>
    <row r="773" ht="15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</row>
    <row r="774" ht="15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</row>
    <row r="775" ht="15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</row>
    <row r="776" ht="15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</row>
    <row r="777" ht="15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</row>
    <row r="778" ht="15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</row>
    <row r="779" ht="15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</row>
    <row r="780" ht="15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</row>
    <row r="781" ht="15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</row>
    <row r="782" ht="15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</row>
    <row r="783" ht="15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</row>
    <row r="784" ht="15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</row>
    <row r="785" ht="15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</row>
    <row r="786" ht="15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</row>
    <row r="787" ht="15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</row>
    <row r="788" ht="15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</row>
    <row r="789" ht="15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</row>
    <row r="790" ht="15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</row>
    <row r="791" ht="15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</row>
    <row r="792" ht="15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</row>
    <row r="793" ht="15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</row>
    <row r="794" ht="15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</row>
    <row r="795" ht="15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</row>
    <row r="796" ht="15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</row>
    <row r="797" ht="15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</row>
    <row r="798" ht="15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</row>
    <row r="799" ht="15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</row>
    <row r="800" ht="15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</row>
    <row r="801" ht="15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</row>
    <row r="802" ht="15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</row>
    <row r="803" ht="15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</row>
    <row r="804" ht="15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</row>
    <row r="805" ht="15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</row>
    <row r="806" ht="15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</row>
    <row r="807" ht="15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</row>
    <row r="808" ht="15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</row>
    <row r="809" ht="15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</row>
    <row r="810" ht="15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</row>
    <row r="811" ht="15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</row>
    <row r="812" ht="15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</row>
    <row r="813" ht="15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</row>
    <row r="814" ht="15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</row>
    <row r="815" ht="15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</row>
    <row r="816" ht="15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</row>
    <row r="817" ht="15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</row>
    <row r="818" ht="15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</row>
    <row r="819" ht="15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</row>
    <row r="820" ht="15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</row>
    <row r="821" ht="15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</row>
    <row r="822" ht="15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</row>
    <row r="823" ht="15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</row>
    <row r="824" ht="15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</row>
    <row r="825" ht="15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</row>
    <row r="826" ht="15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</row>
    <row r="827" ht="15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</row>
    <row r="828" ht="15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</row>
    <row r="829" ht="15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</row>
    <row r="830" ht="15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</row>
    <row r="831" ht="15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</row>
    <row r="832" ht="15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</row>
    <row r="833" ht="15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</row>
    <row r="834" ht="15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</row>
    <row r="835" ht="15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</row>
    <row r="836" ht="15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</row>
    <row r="837" ht="15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</row>
    <row r="838" ht="15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</row>
    <row r="839" ht="15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</row>
    <row r="840" ht="15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</row>
    <row r="841" ht="15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</row>
    <row r="842" ht="15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</row>
    <row r="843" ht="15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</row>
    <row r="844" ht="15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</row>
    <row r="845" ht="15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</row>
    <row r="846" ht="15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</row>
    <row r="847" ht="15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</row>
    <row r="848" ht="15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</row>
    <row r="849" ht="15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</row>
    <row r="850" ht="15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</row>
    <row r="851" ht="15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</row>
    <row r="852" ht="15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</row>
    <row r="853" ht="15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</row>
    <row r="854" ht="15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</row>
    <row r="855" ht="15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</row>
    <row r="856" ht="15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</row>
    <row r="857" ht="15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</row>
    <row r="858" ht="15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</row>
    <row r="859" ht="15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</row>
    <row r="860" ht="15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</row>
    <row r="861" ht="15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</row>
    <row r="862" ht="15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</row>
    <row r="863" ht="15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</row>
    <row r="864" ht="15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</row>
    <row r="865" ht="15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</row>
    <row r="866" ht="15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</row>
    <row r="867" ht="15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</row>
    <row r="868" ht="15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</row>
    <row r="869" ht="15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</row>
    <row r="870" ht="15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</row>
    <row r="871" ht="15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</row>
    <row r="872" ht="15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</row>
    <row r="873" ht="15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</row>
    <row r="874" ht="15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</row>
    <row r="875" ht="15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</row>
    <row r="876" ht="15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</row>
    <row r="877" ht="15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</row>
    <row r="878" ht="15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</row>
    <row r="879" ht="15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</row>
    <row r="880" ht="15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</row>
    <row r="881" ht="15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</row>
    <row r="882" ht="15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</row>
    <row r="883" ht="15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</row>
    <row r="884" ht="15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</row>
    <row r="885" ht="15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</row>
    <row r="886" ht="15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</row>
    <row r="887" ht="15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</row>
    <row r="888" ht="15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</row>
    <row r="889" ht="15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</row>
    <row r="890" ht="15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</row>
    <row r="891" ht="15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</row>
    <row r="892" ht="15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</row>
    <row r="893" ht="15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</row>
    <row r="894" ht="15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</row>
    <row r="895" ht="15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</row>
    <row r="896" ht="15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</row>
    <row r="897" ht="15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</row>
    <row r="898" ht="15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</row>
    <row r="899" ht="15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</row>
    <row r="900" ht="15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</row>
    <row r="901" ht="15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</row>
    <row r="902" ht="15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</row>
    <row r="903" ht="15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</row>
    <row r="904" ht="15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</row>
    <row r="905" ht="15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</row>
    <row r="906" ht="15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</row>
    <row r="907" ht="15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</row>
    <row r="908" ht="15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</row>
    <row r="909" ht="15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</row>
    <row r="910" ht="15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</row>
    <row r="911" ht="15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</row>
    <row r="912" ht="15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</row>
    <row r="913" ht="15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</row>
    <row r="914" ht="15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</row>
    <row r="915" ht="15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</row>
    <row r="916" ht="15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</row>
    <row r="917" ht="15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</row>
    <row r="918" ht="15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</row>
    <row r="919" ht="15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</row>
    <row r="920" ht="15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</row>
    <row r="921" ht="15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</row>
    <row r="922" ht="15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</row>
    <row r="923" ht="15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</row>
    <row r="924" ht="15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</row>
    <row r="925" ht="15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</row>
    <row r="926" ht="15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</row>
    <row r="927" ht="15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</row>
    <row r="928" ht="15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</row>
    <row r="929" ht="15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</row>
    <row r="930" ht="15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</row>
    <row r="931" ht="15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</row>
    <row r="932" ht="15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</row>
    <row r="933" ht="15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</row>
    <row r="934" ht="15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</row>
    <row r="935" ht="15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</row>
    <row r="936" ht="15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</row>
    <row r="937" ht="15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</row>
    <row r="938" ht="15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</row>
    <row r="939" ht="15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</row>
    <row r="940" ht="15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</row>
    <row r="941" ht="15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</row>
    <row r="942" ht="15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</row>
    <row r="943" ht="15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</row>
    <row r="944" ht="15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</row>
    <row r="945" ht="15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</row>
    <row r="946" ht="15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</row>
    <row r="947" ht="15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</row>
    <row r="948" ht="15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</row>
    <row r="949" ht="15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</row>
    <row r="950" ht="15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</row>
    <row r="951" ht="15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</row>
    <row r="952" ht="15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</row>
    <row r="953" ht="15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</row>
    <row r="954" ht="15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</row>
    <row r="955" ht="15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</row>
    <row r="956" ht="15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</row>
    <row r="957" ht="15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</row>
    <row r="958" ht="15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</row>
    <row r="959" ht="15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</row>
    <row r="960" ht="15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</row>
    <row r="961" ht="15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</row>
    <row r="962" ht="15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</row>
    <row r="963" ht="15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</row>
    <row r="964" ht="15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</row>
    <row r="965" ht="15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</row>
    <row r="966" ht="15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</row>
    <row r="967" ht="15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</row>
    <row r="968" ht="15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</row>
    <row r="969" ht="15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</row>
    <row r="970" ht="15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</row>
    <row r="971" ht="15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</row>
    <row r="972" ht="15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</row>
    <row r="973" ht="15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</row>
    <row r="974" ht="15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</row>
    <row r="975" ht="15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</row>
    <row r="976" ht="15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</row>
    <row r="977" ht="15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</row>
    <row r="978" ht="15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</row>
    <row r="979" ht="15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</row>
    <row r="980" ht="15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</row>
    <row r="981" ht="15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</row>
    <row r="982" ht="15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</row>
    <row r="983" ht="15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</row>
    <row r="984" ht="15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</row>
    <row r="985" ht="15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</row>
    <row r="986" ht="15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</row>
    <row r="987" ht="15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</row>
    <row r="988" ht="15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</row>
    <row r="989" ht="15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</row>
    <row r="990" ht="15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</row>
    <row r="991" ht="15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</row>
    <row r="992" ht="15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</row>
    <row r="993" ht="15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</row>
    <row r="994" ht="15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</row>
    <row r="995" ht="15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</row>
    <row r="996" ht="15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</row>
    <row r="997" ht="15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</row>
    <row r="998" ht="15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</row>
    <row r="999" ht="15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</row>
    <row r="1000" ht="15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</row>
  </sheetData>
  <autoFilter ref="$A$4:$I$112"/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0.0"/>
    <col customWidth="1" min="2" max="2" width="220.0"/>
    <col customWidth="1" min="3" max="3" width="150.0"/>
    <col customWidth="1" min="4" max="4" width="130.0"/>
    <col customWidth="1" min="5" max="5" width="140.0"/>
    <col customWidth="1" min="6" max="6" width="130.0"/>
  </cols>
  <sheetData>
    <row r="1" ht="15.0" customHeight="1">
      <c r="A1" s="128" t="s">
        <v>661</v>
      </c>
      <c r="B1" s="128" t="s">
        <v>452</v>
      </c>
      <c r="C1" s="128" t="s">
        <v>579</v>
      </c>
      <c r="D1" s="128" t="s">
        <v>16</v>
      </c>
      <c r="E1" s="128" t="s">
        <v>17</v>
      </c>
      <c r="F1" s="128" t="s">
        <v>18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 t="s">
        <v>662</v>
      </c>
      <c r="B2" s="2" t="s">
        <v>473</v>
      </c>
      <c r="C2" s="2" t="s">
        <v>594</v>
      </c>
      <c r="D2" s="2">
        <v>1.0</v>
      </c>
      <c r="E2" s="2">
        <v>1.0</v>
      </c>
      <c r="F2" s="2">
        <f t="shared" ref="F2:F11" si="1">D2-E2</f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 t="s">
        <v>663</v>
      </c>
      <c r="B3" s="2" t="s">
        <v>477</v>
      </c>
      <c r="C3" s="2" t="s">
        <v>664</v>
      </c>
      <c r="D3" s="2">
        <v>3.0</v>
      </c>
      <c r="E3" s="2">
        <v>3.0</v>
      </c>
      <c r="F3" s="2">
        <f t="shared" si="1"/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 t="s">
        <v>665</v>
      </c>
      <c r="B4" s="2" t="s">
        <v>479</v>
      </c>
      <c r="C4" s="2" t="s">
        <v>664</v>
      </c>
      <c r="D4" s="2">
        <v>4.0</v>
      </c>
      <c r="E4" s="2">
        <v>4.0</v>
      </c>
      <c r="F4" s="2">
        <f t="shared" si="1"/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 t="s">
        <v>666</v>
      </c>
      <c r="B5" s="2" t="s">
        <v>480</v>
      </c>
      <c r="C5" s="2" t="s">
        <v>664</v>
      </c>
      <c r="D5" s="2">
        <v>2.0</v>
      </c>
      <c r="E5" s="2">
        <v>1.0</v>
      </c>
      <c r="F5" s="2">
        <f t="shared" si="1"/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 t="s">
        <v>667</v>
      </c>
      <c r="B6" s="2" t="s">
        <v>481</v>
      </c>
      <c r="C6" s="2" t="s">
        <v>664</v>
      </c>
      <c r="D6" s="2">
        <v>20.0</v>
      </c>
      <c r="E6" s="2">
        <v>19.0</v>
      </c>
      <c r="F6" s="2">
        <f t="shared" si="1"/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 t="s">
        <v>668</v>
      </c>
      <c r="B7" s="2" t="s">
        <v>482</v>
      </c>
      <c r="C7" s="2" t="s">
        <v>594</v>
      </c>
      <c r="D7" s="2">
        <v>105.0</v>
      </c>
      <c r="E7" s="2">
        <v>85.0</v>
      </c>
      <c r="F7" s="2">
        <f t="shared" si="1"/>
        <v>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 t="s">
        <v>669</v>
      </c>
      <c r="B8" s="2" t="s">
        <v>670</v>
      </c>
      <c r="C8" s="2" t="s">
        <v>633</v>
      </c>
      <c r="D8" s="2">
        <v>87.0</v>
      </c>
      <c r="E8" s="2">
        <v>47.0</v>
      </c>
      <c r="F8" s="2">
        <f t="shared" si="1"/>
        <v>40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 t="s">
        <v>671</v>
      </c>
      <c r="B9" s="2" t="s">
        <v>672</v>
      </c>
      <c r="C9" s="2" t="s">
        <v>633</v>
      </c>
      <c r="D9" s="2">
        <v>118.0</v>
      </c>
      <c r="E9" s="2">
        <v>10.0</v>
      </c>
      <c r="F9" s="2">
        <f t="shared" si="1"/>
        <v>108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 t="s">
        <v>673</v>
      </c>
      <c r="B10" s="2" t="s">
        <v>537</v>
      </c>
      <c r="C10" s="2" t="s">
        <v>594</v>
      </c>
      <c r="D10" s="2">
        <v>54.0</v>
      </c>
      <c r="E10" s="2">
        <v>48.0</v>
      </c>
      <c r="F10" s="2">
        <f t="shared" si="1"/>
        <v>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">
        <v>674</v>
      </c>
      <c r="B11" s="2" t="s">
        <v>476</v>
      </c>
      <c r="C11" s="2" t="s">
        <v>675</v>
      </c>
      <c r="D11" s="2">
        <v>861.0</v>
      </c>
      <c r="E11" s="2">
        <v>861.0</v>
      </c>
      <c r="F11" s="2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9.0"/>
    <col customWidth="1" min="3" max="3" width="24.0"/>
    <col customWidth="1" min="4" max="4" width="16.0"/>
    <col customWidth="1" min="5" max="5" width="14.0"/>
    <col customWidth="1" min="6" max="6" width="26.0"/>
    <col customWidth="1" min="7" max="7" width="16.0"/>
    <col customWidth="1" min="8" max="8" width="40.0"/>
    <col customWidth="1" min="9" max="9" width="26.0"/>
    <col customWidth="1" min="10" max="10" width="9.0"/>
    <col customWidth="1" min="11" max="11" width="13.0"/>
    <col customWidth="1" min="12" max="12" width="24.0"/>
    <col customWidth="1" min="13" max="32" width="13.0"/>
    <col customWidth="1" min="33" max="33" width="8.71"/>
  </cols>
  <sheetData>
    <row r="1" ht="30.0" customHeight="1">
      <c r="A1" s="129" t="s">
        <v>676</v>
      </c>
      <c r="B1" s="129" t="s">
        <v>453</v>
      </c>
      <c r="C1" s="129" t="s">
        <v>677</v>
      </c>
      <c r="D1" s="129" t="s">
        <v>678</v>
      </c>
      <c r="E1" s="129" t="s">
        <v>658</v>
      </c>
      <c r="F1" s="129" t="s">
        <v>679</v>
      </c>
      <c r="G1" s="129" t="s">
        <v>680</v>
      </c>
      <c r="H1" s="129" t="s">
        <v>681</v>
      </c>
      <c r="I1" s="129" t="s">
        <v>682</v>
      </c>
      <c r="J1" s="129" t="s">
        <v>683</v>
      </c>
      <c r="K1" s="129" t="s">
        <v>684</v>
      </c>
      <c r="L1" s="129" t="s">
        <v>685</v>
      </c>
      <c r="M1" s="129" t="s">
        <v>686</v>
      </c>
      <c r="N1" s="129" t="s">
        <v>687</v>
      </c>
      <c r="O1" s="129" t="s">
        <v>688</v>
      </c>
      <c r="P1" s="129" t="s">
        <v>689</v>
      </c>
      <c r="Q1" s="129" t="s">
        <v>690</v>
      </c>
      <c r="R1" s="129" t="s">
        <v>691</v>
      </c>
      <c r="S1" s="129" t="s">
        <v>692</v>
      </c>
      <c r="T1" s="129" t="s">
        <v>693</v>
      </c>
      <c r="U1" s="129" t="s">
        <v>694</v>
      </c>
      <c r="V1" s="129" t="s">
        <v>695</v>
      </c>
      <c r="W1" s="129" t="s">
        <v>696</v>
      </c>
      <c r="X1" s="129" t="s">
        <v>697</v>
      </c>
      <c r="Y1" s="129" t="s">
        <v>698</v>
      </c>
      <c r="Z1" s="129" t="s">
        <v>699</v>
      </c>
      <c r="AA1" s="129" t="s">
        <v>587</v>
      </c>
      <c r="AB1" s="129" t="s">
        <v>700</v>
      </c>
      <c r="AC1" s="129" t="s">
        <v>582</v>
      </c>
      <c r="AD1" s="129" t="s">
        <v>468</v>
      </c>
      <c r="AE1" s="129" t="s">
        <v>701</v>
      </c>
      <c r="AF1" s="129" t="s">
        <v>68</v>
      </c>
      <c r="AG1" s="2"/>
    </row>
    <row r="2" ht="15.0" customHeight="1">
      <c r="A2" s="2" t="s">
        <v>702</v>
      </c>
      <c r="B2" s="2" t="s">
        <v>703</v>
      </c>
      <c r="C2" s="2" t="s">
        <v>327</v>
      </c>
      <c r="D2" s="2" t="s">
        <v>704</v>
      </c>
      <c r="E2" s="2" t="s">
        <v>705</v>
      </c>
      <c r="F2" s="2" t="s">
        <v>706</v>
      </c>
      <c r="G2" s="2">
        <v>74.0</v>
      </c>
      <c r="H2" s="2" t="s">
        <v>707</v>
      </c>
      <c r="I2" s="2" t="s">
        <v>708</v>
      </c>
      <c r="J2" s="2">
        <v>32.0</v>
      </c>
      <c r="K2" s="2" t="s">
        <v>709</v>
      </c>
      <c r="L2" s="2" t="s">
        <v>710</v>
      </c>
      <c r="M2" s="2" t="s">
        <v>711</v>
      </c>
      <c r="N2" s="2" t="s">
        <v>712</v>
      </c>
      <c r="O2" s="2" t="s">
        <v>713</v>
      </c>
      <c r="P2" s="2" t="s">
        <v>714</v>
      </c>
      <c r="Q2" s="2" t="s">
        <v>715</v>
      </c>
      <c r="R2" s="2" t="s">
        <v>716</v>
      </c>
      <c r="S2" s="2" t="s">
        <v>717</v>
      </c>
      <c r="T2" s="2" t="s">
        <v>718</v>
      </c>
      <c r="U2" s="2"/>
      <c r="V2" s="2"/>
      <c r="W2" s="2"/>
      <c r="X2" s="2"/>
      <c r="Y2" s="2" t="s">
        <v>719</v>
      </c>
      <c r="Z2" s="130">
        <v>45108.0</v>
      </c>
      <c r="AA2" s="2" t="s">
        <v>720</v>
      </c>
      <c r="AB2" s="2"/>
      <c r="AC2" s="2"/>
      <c r="AD2" s="2" t="s">
        <v>541</v>
      </c>
      <c r="AE2" s="2" t="s">
        <v>721</v>
      </c>
      <c r="AF2" s="2"/>
      <c r="AG2" s="2" t="s">
        <v>327</v>
      </c>
    </row>
    <row r="3" ht="15.0" customHeight="1">
      <c r="A3" s="2" t="s">
        <v>722</v>
      </c>
      <c r="B3" s="2" t="s">
        <v>703</v>
      </c>
      <c r="C3" s="2" t="s">
        <v>244</v>
      </c>
      <c r="D3" s="2" t="s">
        <v>723</v>
      </c>
      <c r="E3" s="2" t="s">
        <v>724</v>
      </c>
      <c r="F3" s="2" t="s">
        <v>706</v>
      </c>
      <c r="G3" s="2">
        <v>74.0</v>
      </c>
      <c r="H3" s="2" t="s">
        <v>707</v>
      </c>
      <c r="I3" s="2" t="s">
        <v>708</v>
      </c>
      <c r="J3" s="2">
        <v>32.0</v>
      </c>
      <c r="K3" s="2" t="s">
        <v>725</v>
      </c>
      <c r="L3" s="2" t="s">
        <v>710</v>
      </c>
      <c r="M3" s="2" t="s">
        <v>726</v>
      </c>
      <c r="N3" s="2" t="s">
        <v>712</v>
      </c>
      <c r="O3" s="2" t="s">
        <v>713</v>
      </c>
      <c r="P3" s="2" t="s">
        <v>714</v>
      </c>
      <c r="Q3" s="2" t="s">
        <v>715</v>
      </c>
      <c r="R3" s="2" t="s">
        <v>727</v>
      </c>
      <c r="S3" s="2"/>
      <c r="T3" s="2" t="s">
        <v>718</v>
      </c>
      <c r="U3" s="2"/>
      <c r="V3" s="2"/>
      <c r="W3" s="2"/>
      <c r="X3" s="2"/>
      <c r="Y3" s="2" t="s">
        <v>719</v>
      </c>
      <c r="Z3" s="130">
        <v>45108.0</v>
      </c>
      <c r="AA3" s="2" t="s">
        <v>728</v>
      </c>
      <c r="AB3" s="2"/>
      <c r="AC3" s="2"/>
      <c r="AD3" s="2" t="s">
        <v>541</v>
      </c>
      <c r="AE3" s="2" t="s">
        <v>721</v>
      </c>
      <c r="AF3" s="2"/>
      <c r="AG3" s="2" t="s">
        <v>244</v>
      </c>
    </row>
    <row r="4" ht="15.0" customHeight="1">
      <c r="A4" s="2" t="s">
        <v>729</v>
      </c>
      <c r="B4" s="2" t="s">
        <v>703</v>
      </c>
      <c r="C4" s="2" t="s">
        <v>91</v>
      </c>
      <c r="D4" s="2" t="s">
        <v>730</v>
      </c>
      <c r="E4" s="2" t="s">
        <v>731</v>
      </c>
      <c r="F4" s="2" t="s">
        <v>706</v>
      </c>
      <c r="G4" s="2">
        <v>76.0</v>
      </c>
      <c r="H4" s="2" t="s">
        <v>707</v>
      </c>
      <c r="I4" s="2" t="s">
        <v>732</v>
      </c>
      <c r="J4" s="2">
        <v>32.0</v>
      </c>
      <c r="K4" s="2" t="s">
        <v>725</v>
      </c>
      <c r="L4" s="2" t="s">
        <v>710</v>
      </c>
      <c r="M4" s="2" t="s">
        <v>733</v>
      </c>
      <c r="N4" s="2" t="s">
        <v>712</v>
      </c>
      <c r="O4" s="2" t="s">
        <v>713</v>
      </c>
      <c r="P4" s="2" t="s">
        <v>714</v>
      </c>
      <c r="Q4" s="2" t="s">
        <v>715</v>
      </c>
      <c r="R4" s="2" t="s">
        <v>734</v>
      </c>
      <c r="S4" s="2"/>
      <c r="T4" s="2" t="s">
        <v>718</v>
      </c>
      <c r="U4" s="2"/>
      <c r="V4" s="2"/>
      <c r="W4" s="2" t="s">
        <v>168</v>
      </c>
      <c r="X4" s="2"/>
      <c r="Y4" s="2" t="s">
        <v>719</v>
      </c>
      <c r="Z4" s="130">
        <v>45108.0</v>
      </c>
      <c r="AA4" s="2" t="s">
        <v>720</v>
      </c>
      <c r="AB4" s="2"/>
      <c r="AC4" s="2"/>
      <c r="AD4" s="2" t="s">
        <v>541</v>
      </c>
      <c r="AE4" s="2" t="s">
        <v>721</v>
      </c>
      <c r="AF4" s="2"/>
      <c r="AG4" s="2" t="s">
        <v>91</v>
      </c>
    </row>
    <row r="5" ht="15.0" customHeight="1">
      <c r="A5" s="2" t="s">
        <v>735</v>
      </c>
      <c r="B5" s="2" t="s">
        <v>703</v>
      </c>
      <c r="C5" s="2" t="s">
        <v>301</v>
      </c>
      <c r="D5" s="2" t="s">
        <v>736</v>
      </c>
      <c r="E5" s="2" t="s">
        <v>737</v>
      </c>
      <c r="F5" s="2" t="s">
        <v>738</v>
      </c>
      <c r="G5" s="2">
        <v>42.0</v>
      </c>
      <c r="H5" s="2" t="s">
        <v>739</v>
      </c>
      <c r="I5" s="2" t="s">
        <v>740</v>
      </c>
      <c r="J5" s="2">
        <v>16.0</v>
      </c>
      <c r="K5" s="2" t="s">
        <v>725</v>
      </c>
      <c r="L5" s="2" t="s">
        <v>741</v>
      </c>
      <c r="M5" s="2" t="s">
        <v>742</v>
      </c>
      <c r="N5" s="2" t="s">
        <v>743</v>
      </c>
      <c r="O5" s="2" t="s">
        <v>713</v>
      </c>
      <c r="P5" s="2" t="s">
        <v>714</v>
      </c>
      <c r="Q5" s="2" t="s">
        <v>715</v>
      </c>
      <c r="R5" s="2" t="s">
        <v>727</v>
      </c>
      <c r="S5" s="2"/>
      <c r="T5" s="2"/>
      <c r="U5" s="2"/>
      <c r="V5" s="2"/>
      <c r="W5" s="2"/>
      <c r="X5" s="2"/>
      <c r="Y5" s="2" t="s">
        <v>719</v>
      </c>
      <c r="Z5" s="130">
        <v>45108.0</v>
      </c>
      <c r="AA5" s="2" t="s">
        <v>720</v>
      </c>
      <c r="AB5" s="2"/>
      <c r="AC5" s="2"/>
      <c r="AD5" s="2" t="s">
        <v>541</v>
      </c>
      <c r="AE5" s="2" t="s">
        <v>721</v>
      </c>
      <c r="AF5" s="2"/>
      <c r="AG5" s="2" t="s">
        <v>301</v>
      </c>
    </row>
    <row r="6" ht="15.0" customHeight="1">
      <c r="A6" s="2" t="s">
        <v>744</v>
      </c>
      <c r="B6" s="2" t="s">
        <v>703</v>
      </c>
      <c r="C6" s="2" t="s">
        <v>188</v>
      </c>
      <c r="D6" s="2" t="s">
        <v>745</v>
      </c>
      <c r="E6" s="2" t="s">
        <v>745</v>
      </c>
      <c r="F6" s="2" t="s">
        <v>706</v>
      </c>
      <c r="G6" s="2">
        <v>73.0</v>
      </c>
      <c r="H6" s="2" t="s">
        <v>746</v>
      </c>
      <c r="I6" s="2" t="s">
        <v>747</v>
      </c>
      <c r="J6" s="2">
        <v>16.0</v>
      </c>
      <c r="K6" s="2" t="s">
        <v>725</v>
      </c>
      <c r="L6" s="2" t="s">
        <v>710</v>
      </c>
      <c r="M6" s="2"/>
      <c r="N6" s="2" t="s">
        <v>748</v>
      </c>
      <c r="O6" s="2" t="s">
        <v>749</v>
      </c>
      <c r="P6" s="2" t="s">
        <v>714</v>
      </c>
      <c r="Q6" s="2" t="s">
        <v>715</v>
      </c>
      <c r="R6" s="2" t="s">
        <v>734</v>
      </c>
      <c r="S6" s="2" t="s">
        <v>750</v>
      </c>
      <c r="T6" s="2" t="s">
        <v>751</v>
      </c>
      <c r="U6" s="2"/>
      <c r="V6" s="2"/>
      <c r="W6" s="2"/>
      <c r="X6" s="2"/>
      <c r="Y6" s="2" t="s">
        <v>719</v>
      </c>
      <c r="Z6" s="130">
        <v>45413.0</v>
      </c>
      <c r="AA6" s="2" t="s">
        <v>752</v>
      </c>
      <c r="AB6" s="2"/>
      <c r="AC6" s="2"/>
      <c r="AD6" s="2" t="s">
        <v>541</v>
      </c>
      <c r="AE6" s="2" t="s">
        <v>721</v>
      </c>
      <c r="AF6" s="2"/>
      <c r="AG6" s="2" t="s">
        <v>188</v>
      </c>
    </row>
    <row r="7" ht="15.0" customHeight="1">
      <c r="A7" s="2" t="s">
        <v>753</v>
      </c>
      <c r="B7" s="2" t="s">
        <v>703</v>
      </c>
      <c r="C7" s="2" t="s">
        <v>238</v>
      </c>
      <c r="D7" s="2" t="s">
        <v>754</v>
      </c>
      <c r="E7" s="2" t="s">
        <v>724</v>
      </c>
      <c r="F7" s="2" t="s">
        <v>706</v>
      </c>
      <c r="G7" s="2">
        <v>68.0</v>
      </c>
      <c r="H7" s="2" t="s">
        <v>746</v>
      </c>
      <c r="I7" s="2" t="s">
        <v>755</v>
      </c>
      <c r="J7" s="2">
        <v>16.0</v>
      </c>
      <c r="K7" s="2" t="s">
        <v>756</v>
      </c>
      <c r="L7" s="2" t="s">
        <v>710</v>
      </c>
      <c r="M7" s="2" t="s">
        <v>726</v>
      </c>
      <c r="N7" s="2" t="s">
        <v>748</v>
      </c>
      <c r="O7" s="2" t="s">
        <v>713</v>
      </c>
      <c r="P7" s="2" t="s">
        <v>714</v>
      </c>
      <c r="Q7" s="2" t="s">
        <v>715</v>
      </c>
      <c r="R7" s="2" t="s">
        <v>734</v>
      </c>
      <c r="S7" s="2"/>
      <c r="T7" s="2" t="s">
        <v>751</v>
      </c>
      <c r="U7" s="2"/>
      <c r="V7" s="2"/>
      <c r="W7" s="2" t="s">
        <v>757</v>
      </c>
      <c r="X7" s="2"/>
      <c r="Y7" s="2" t="s">
        <v>719</v>
      </c>
      <c r="Z7" s="130"/>
      <c r="AA7" s="2"/>
      <c r="AB7" s="2"/>
      <c r="AC7" s="2"/>
      <c r="AD7" s="2" t="s">
        <v>541</v>
      </c>
      <c r="AE7" s="2" t="s">
        <v>721</v>
      </c>
      <c r="AF7" s="2"/>
      <c r="AG7" s="2"/>
    </row>
    <row r="8" ht="15.0" customHeight="1">
      <c r="A8" s="2" t="s">
        <v>758</v>
      </c>
      <c r="B8" s="2" t="s">
        <v>703</v>
      </c>
      <c r="C8" s="2" t="s">
        <v>333</v>
      </c>
      <c r="D8" s="2" t="s">
        <v>759</v>
      </c>
      <c r="E8" s="2" t="s">
        <v>705</v>
      </c>
      <c r="F8" s="2" t="s">
        <v>760</v>
      </c>
      <c r="G8" s="2">
        <v>57.0</v>
      </c>
      <c r="H8" s="2" t="s">
        <v>739</v>
      </c>
      <c r="I8" s="2" t="s">
        <v>732</v>
      </c>
      <c r="J8" s="2">
        <v>16.0</v>
      </c>
      <c r="K8" s="2" t="s">
        <v>725</v>
      </c>
      <c r="L8" s="2" t="s">
        <v>761</v>
      </c>
      <c r="M8" s="2" t="s">
        <v>711</v>
      </c>
      <c r="N8" s="2" t="s">
        <v>712</v>
      </c>
      <c r="O8" s="2" t="s">
        <v>713</v>
      </c>
      <c r="P8" s="2" t="s">
        <v>714</v>
      </c>
      <c r="Q8" s="2" t="s">
        <v>715</v>
      </c>
      <c r="R8" s="2" t="s">
        <v>727</v>
      </c>
      <c r="S8" s="2"/>
      <c r="T8" s="2" t="s">
        <v>762</v>
      </c>
      <c r="U8" s="2"/>
      <c r="V8" s="2"/>
      <c r="W8" s="2"/>
      <c r="X8" s="2"/>
      <c r="Y8" s="2" t="s">
        <v>719</v>
      </c>
      <c r="Z8" s="130">
        <v>45108.0</v>
      </c>
      <c r="AA8" s="2" t="s">
        <v>720</v>
      </c>
      <c r="AB8" s="2"/>
      <c r="AC8" s="2"/>
      <c r="AD8" s="2" t="s">
        <v>541</v>
      </c>
      <c r="AE8" s="2"/>
      <c r="AF8" s="2"/>
      <c r="AG8" s="2" t="s">
        <v>333</v>
      </c>
    </row>
    <row r="9" ht="15.0" customHeight="1">
      <c r="A9" s="2" t="s">
        <v>763</v>
      </c>
      <c r="B9" s="2" t="s">
        <v>703</v>
      </c>
      <c r="C9" s="2" t="s">
        <v>764</v>
      </c>
      <c r="D9" s="2" t="s">
        <v>765</v>
      </c>
      <c r="E9" s="2" t="s">
        <v>395</v>
      </c>
      <c r="F9" s="2" t="s">
        <v>706</v>
      </c>
      <c r="G9" s="2">
        <v>63.0</v>
      </c>
      <c r="H9" s="2" t="s">
        <v>707</v>
      </c>
      <c r="I9" s="2" t="s">
        <v>708</v>
      </c>
      <c r="J9" s="2">
        <v>32.0</v>
      </c>
      <c r="K9" s="2" t="s">
        <v>766</v>
      </c>
      <c r="L9" s="2" t="s">
        <v>767</v>
      </c>
      <c r="M9" s="2"/>
      <c r="N9" s="2" t="s">
        <v>712</v>
      </c>
      <c r="O9" s="2" t="s">
        <v>768</v>
      </c>
      <c r="P9" s="2" t="s">
        <v>714</v>
      </c>
      <c r="Q9" s="2" t="s">
        <v>715</v>
      </c>
      <c r="R9" s="2" t="s">
        <v>734</v>
      </c>
      <c r="S9" s="2" t="s">
        <v>717</v>
      </c>
      <c r="T9" s="2" t="s">
        <v>751</v>
      </c>
      <c r="U9" s="2"/>
      <c r="V9" s="2"/>
      <c r="W9" s="2" t="s">
        <v>219</v>
      </c>
      <c r="X9" s="2"/>
      <c r="Y9" s="2" t="s">
        <v>719</v>
      </c>
      <c r="Z9" s="130">
        <v>44866.0</v>
      </c>
      <c r="AA9" s="2" t="s">
        <v>720</v>
      </c>
      <c r="AB9" s="2"/>
      <c r="AC9" s="2"/>
      <c r="AD9" s="2" t="s">
        <v>541</v>
      </c>
      <c r="AE9" s="2" t="s">
        <v>721</v>
      </c>
      <c r="AF9" s="2"/>
      <c r="AG9" s="2"/>
    </row>
    <row r="10" ht="15.0" customHeight="1">
      <c r="A10" s="2" t="s">
        <v>769</v>
      </c>
      <c r="B10" s="2" t="s">
        <v>703</v>
      </c>
      <c r="C10" s="2" t="s">
        <v>770</v>
      </c>
      <c r="D10" s="2" t="s">
        <v>771</v>
      </c>
      <c r="E10" s="2" t="s">
        <v>395</v>
      </c>
      <c r="F10" s="2" t="s">
        <v>706</v>
      </c>
      <c r="G10" s="2">
        <v>74.0</v>
      </c>
      <c r="H10" s="2" t="s">
        <v>707</v>
      </c>
      <c r="I10" s="2" t="s">
        <v>708</v>
      </c>
      <c r="J10" s="2">
        <v>32.0</v>
      </c>
      <c r="K10" s="2" t="s">
        <v>725</v>
      </c>
      <c r="L10" s="2" t="s">
        <v>710</v>
      </c>
      <c r="M10" s="2" t="s">
        <v>772</v>
      </c>
      <c r="N10" s="2" t="s">
        <v>712</v>
      </c>
      <c r="O10" s="2" t="s">
        <v>713</v>
      </c>
      <c r="P10" s="2" t="s">
        <v>714</v>
      </c>
      <c r="Q10" s="2" t="s">
        <v>715</v>
      </c>
      <c r="R10" s="2" t="s">
        <v>773</v>
      </c>
      <c r="S10" s="2"/>
      <c r="T10" s="2" t="s">
        <v>751</v>
      </c>
      <c r="U10" s="2"/>
      <c r="V10" s="2"/>
      <c r="W10" s="2" t="s">
        <v>219</v>
      </c>
      <c r="X10" s="2"/>
      <c r="Y10" s="2" t="s">
        <v>719</v>
      </c>
      <c r="Z10" s="130">
        <v>45108.0</v>
      </c>
      <c r="AA10" s="2" t="s">
        <v>752</v>
      </c>
      <c r="AB10" s="2"/>
      <c r="AC10" s="2"/>
      <c r="AD10" s="2" t="s">
        <v>541</v>
      </c>
      <c r="AE10" s="2" t="s">
        <v>721</v>
      </c>
      <c r="AF10" s="2"/>
      <c r="AG10" s="2" t="s">
        <v>437</v>
      </c>
    </row>
    <row r="11" ht="15.0" customHeight="1">
      <c r="A11" s="2" t="s">
        <v>774</v>
      </c>
      <c r="B11" s="2" t="s">
        <v>703</v>
      </c>
      <c r="C11" s="2" t="s">
        <v>247</v>
      </c>
      <c r="D11" s="2" t="s">
        <v>775</v>
      </c>
      <c r="E11" s="2" t="s">
        <v>724</v>
      </c>
      <c r="F11" s="2" t="s">
        <v>706</v>
      </c>
      <c r="G11" s="2">
        <v>78.0</v>
      </c>
      <c r="H11" s="2" t="s">
        <v>707</v>
      </c>
      <c r="I11" s="2" t="s">
        <v>708</v>
      </c>
      <c r="J11" s="2">
        <v>32.0</v>
      </c>
      <c r="K11" s="2" t="s">
        <v>766</v>
      </c>
      <c r="L11" s="2" t="s">
        <v>776</v>
      </c>
      <c r="M11" s="2"/>
      <c r="N11" s="2" t="s">
        <v>712</v>
      </c>
      <c r="O11" s="2" t="s">
        <v>713</v>
      </c>
      <c r="P11" s="2" t="s">
        <v>714</v>
      </c>
      <c r="Q11" s="2" t="s">
        <v>715</v>
      </c>
      <c r="R11" s="2" t="s">
        <v>734</v>
      </c>
      <c r="S11" s="2" t="s">
        <v>777</v>
      </c>
      <c r="T11" s="2" t="s">
        <v>751</v>
      </c>
      <c r="U11" s="2"/>
      <c r="V11" s="2"/>
      <c r="W11" s="2"/>
      <c r="X11" s="2" t="s">
        <v>778</v>
      </c>
      <c r="Y11" s="2" t="s">
        <v>719</v>
      </c>
      <c r="Z11" s="130">
        <v>45078.0</v>
      </c>
      <c r="AA11" s="2" t="s">
        <v>720</v>
      </c>
      <c r="AB11" s="2"/>
      <c r="AC11" s="2"/>
      <c r="AD11" s="2" t="s">
        <v>541</v>
      </c>
      <c r="AE11" s="2" t="s">
        <v>721</v>
      </c>
      <c r="AF11" s="2"/>
      <c r="AG11" s="2" t="s">
        <v>247</v>
      </c>
    </row>
    <row r="12" ht="15.0" customHeight="1">
      <c r="A12" s="2" t="s">
        <v>779</v>
      </c>
      <c r="B12" s="2" t="s">
        <v>703</v>
      </c>
      <c r="C12" s="2" t="s">
        <v>229</v>
      </c>
      <c r="D12" s="2" t="s">
        <v>780</v>
      </c>
      <c r="E12" s="2" t="s">
        <v>724</v>
      </c>
      <c r="F12" s="2" t="s">
        <v>738</v>
      </c>
      <c r="G12" s="2">
        <v>42.0</v>
      </c>
      <c r="H12" s="2" t="s">
        <v>739</v>
      </c>
      <c r="I12" s="2" t="s">
        <v>781</v>
      </c>
      <c r="J12" s="2">
        <v>16.0</v>
      </c>
      <c r="K12" s="2" t="s">
        <v>725</v>
      </c>
      <c r="L12" s="2" t="s">
        <v>782</v>
      </c>
      <c r="M12" s="2" t="s">
        <v>783</v>
      </c>
      <c r="N12" s="2" t="s">
        <v>748</v>
      </c>
      <c r="O12" s="2" t="s">
        <v>784</v>
      </c>
      <c r="P12" s="2" t="s">
        <v>714</v>
      </c>
      <c r="Q12" s="2" t="s">
        <v>715</v>
      </c>
      <c r="R12" s="2"/>
      <c r="S12" s="2"/>
      <c r="T12" s="2"/>
      <c r="U12" s="2"/>
      <c r="V12" s="2"/>
      <c r="W12" s="2"/>
      <c r="X12" s="2"/>
      <c r="Y12" s="2"/>
      <c r="Z12" s="130"/>
      <c r="AA12" s="2"/>
      <c r="AB12" s="2"/>
      <c r="AC12" s="2"/>
      <c r="AD12" s="2" t="s">
        <v>541</v>
      </c>
      <c r="AE12" s="2" t="s">
        <v>721</v>
      </c>
      <c r="AF12" s="2"/>
      <c r="AG12" s="2" t="s">
        <v>229</v>
      </c>
    </row>
    <row r="13" ht="15.0" customHeight="1">
      <c r="A13" s="2" t="s">
        <v>785</v>
      </c>
      <c r="B13" s="2" t="s">
        <v>703</v>
      </c>
      <c r="C13" s="2"/>
      <c r="D13" s="2" t="s">
        <v>786</v>
      </c>
      <c r="E13" s="2" t="s">
        <v>787</v>
      </c>
      <c r="F13" s="2" t="s">
        <v>706</v>
      </c>
      <c r="G13" s="2">
        <v>65.0</v>
      </c>
      <c r="H13" s="2" t="s">
        <v>707</v>
      </c>
      <c r="I13" s="2" t="s">
        <v>732</v>
      </c>
      <c r="J13" s="2">
        <v>32.0</v>
      </c>
      <c r="K13" s="2" t="s">
        <v>766</v>
      </c>
      <c r="L13" s="2" t="s">
        <v>788</v>
      </c>
      <c r="M13" s="2"/>
      <c r="N13" s="2" t="s">
        <v>789</v>
      </c>
      <c r="O13" s="2" t="s">
        <v>790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130">
        <v>45108.0</v>
      </c>
      <c r="AA13" s="2" t="s">
        <v>728</v>
      </c>
      <c r="AB13" s="2"/>
      <c r="AC13" s="2"/>
      <c r="AD13" s="2" t="s">
        <v>541</v>
      </c>
      <c r="AE13" s="2" t="s">
        <v>721</v>
      </c>
      <c r="AF13" s="2"/>
      <c r="AG13" s="2"/>
    </row>
    <row r="14" ht="15.0" customHeight="1">
      <c r="A14" s="2" t="s">
        <v>791</v>
      </c>
      <c r="B14" s="2" t="s">
        <v>703</v>
      </c>
      <c r="C14" s="2" t="s">
        <v>307</v>
      </c>
      <c r="D14" s="2" t="s">
        <v>792</v>
      </c>
      <c r="E14" s="2" t="s">
        <v>737</v>
      </c>
      <c r="F14" s="2" t="s">
        <v>706</v>
      </c>
      <c r="G14" s="2">
        <v>66.0</v>
      </c>
      <c r="H14" s="2" t="s">
        <v>746</v>
      </c>
      <c r="I14" s="2" t="s">
        <v>708</v>
      </c>
      <c r="J14" s="2">
        <v>16.0</v>
      </c>
      <c r="K14" s="2" t="s">
        <v>725</v>
      </c>
      <c r="L14" s="2" t="s">
        <v>710</v>
      </c>
      <c r="M14" s="2" t="s">
        <v>793</v>
      </c>
      <c r="N14" s="2" t="s">
        <v>712</v>
      </c>
      <c r="O14" s="2" t="s">
        <v>713</v>
      </c>
      <c r="P14" s="2" t="s">
        <v>714</v>
      </c>
      <c r="Q14" s="2" t="s">
        <v>715</v>
      </c>
      <c r="R14" s="2" t="s">
        <v>716</v>
      </c>
      <c r="S14" s="2"/>
      <c r="T14" s="2" t="s">
        <v>751</v>
      </c>
      <c r="U14" s="2"/>
      <c r="V14" s="2"/>
      <c r="W14" s="2"/>
      <c r="X14" s="2"/>
      <c r="Y14" s="2" t="s">
        <v>719</v>
      </c>
      <c r="Z14" s="130">
        <v>45108.0</v>
      </c>
      <c r="AA14" s="2" t="s">
        <v>728</v>
      </c>
      <c r="AB14" s="2"/>
      <c r="AC14" s="2"/>
      <c r="AD14" s="2" t="s">
        <v>541</v>
      </c>
      <c r="AE14" s="2" t="s">
        <v>721</v>
      </c>
      <c r="AF14" s="2"/>
      <c r="AG14" s="2"/>
    </row>
    <row r="15" ht="15.0" customHeight="1">
      <c r="A15" s="2" t="s">
        <v>794</v>
      </c>
      <c r="B15" s="2" t="s">
        <v>703</v>
      </c>
      <c r="C15" s="2" t="s">
        <v>250</v>
      </c>
      <c r="D15" s="2" t="s">
        <v>795</v>
      </c>
      <c r="E15" s="2" t="s">
        <v>724</v>
      </c>
      <c r="F15" s="2" t="s">
        <v>706</v>
      </c>
      <c r="G15" s="2">
        <v>66.0</v>
      </c>
      <c r="H15" s="2" t="s">
        <v>746</v>
      </c>
      <c r="I15" s="2" t="s">
        <v>708</v>
      </c>
      <c r="J15" s="2">
        <v>16.0</v>
      </c>
      <c r="K15" s="2" t="s">
        <v>725</v>
      </c>
      <c r="L15" s="2" t="s">
        <v>710</v>
      </c>
      <c r="M15" s="2" t="s">
        <v>726</v>
      </c>
      <c r="N15" s="2" t="s">
        <v>712</v>
      </c>
      <c r="O15" s="2" t="s">
        <v>713</v>
      </c>
      <c r="P15" s="2" t="s">
        <v>714</v>
      </c>
      <c r="Q15" s="2" t="s">
        <v>715</v>
      </c>
      <c r="R15" s="2" t="s">
        <v>727</v>
      </c>
      <c r="S15" s="2"/>
      <c r="T15" s="2" t="s">
        <v>718</v>
      </c>
      <c r="U15" s="2"/>
      <c r="V15" s="2"/>
      <c r="W15" s="2"/>
      <c r="X15" s="2"/>
      <c r="Y15" s="2" t="s">
        <v>719</v>
      </c>
      <c r="Z15" s="130">
        <v>45078.0</v>
      </c>
      <c r="AA15" s="2" t="s">
        <v>720</v>
      </c>
      <c r="AB15" s="2"/>
      <c r="AC15" s="2"/>
      <c r="AD15" s="2" t="s">
        <v>541</v>
      </c>
      <c r="AE15" s="2" t="s">
        <v>721</v>
      </c>
      <c r="AF15" s="2"/>
      <c r="AG15" s="2" t="s">
        <v>250</v>
      </c>
    </row>
    <row r="16" ht="15.0" customHeight="1">
      <c r="A16" s="2" t="s">
        <v>796</v>
      </c>
      <c r="B16" s="2" t="s">
        <v>703</v>
      </c>
      <c r="C16" s="2" t="s">
        <v>193</v>
      </c>
      <c r="D16" s="2" t="s">
        <v>192</v>
      </c>
      <c r="E16" s="2" t="s">
        <v>745</v>
      </c>
      <c r="F16" s="2" t="s">
        <v>760</v>
      </c>
      <c r="G16" s="2">
        <v>47.0</v>
      </c>
      <c r="H16" s="2" t="s">
        <v>739</v>
      </c>
      <c r="I16" s="2" t="s">
        <v>740</v>
      </c>
      <c r="J16" s="2">
        <v>16.0</v>
      </c>
      <c r="K16" s="2" t="s">
        <v>725</v>
      </c>
      <c r="L16" s="2" t="s">
        <v>797</v>
      </c>
      <c r="M16" s="2"/>
      <c r="N16" s="2" t="s">
        <v>798</v>
      </c>
      <c r="O16" s="2" t="s">
        <v>799</v>
      </c>
      <c r="P16" s="2" t="s">
        <v>714</v>
      </c>
      <c r="Q16" s="2" t="s">
        <v>715</v>
      </c>
      <c r="R16" s="2" t="s">
        <v>727</v>
      </c>
      <c r="S16" s="2"/>
      <c r="T16" s="2"/>
      <c r="U16" s="2"/>
      <c r="V16" s="2"/>
      <c r="W16" s="2"/>
      <c r="X16" s="2"/>
      <c r="Y16" s="2" t="s">
        <v>719</v>
      </c>
      <c r="Z16" s="130"/>
      <c r="AA16" s="2"/>
      <c r="AB16" s="2"/>
      <c r="AC16" s="2"/>
      <c r="AD16" s="2" t="s">
        <v>541</v>
      </c>
      <c r="AE16" s="2" t="s">
        <v>721</v>
      </c>
      <c r="AF16" s="2"/>
      <c r="AG16" s="2" t="s">
        <v>294</v>
      </c>
    </row>
    <row r="17" ht="15.0" customHeight="1">
      <c r="A17" s="2" t="s">
        <v>800</v>
      </c>
      <c r="B17" s="2" t="s">
        <v>703</v>
      </c>
      <c r="C17" s="2" t="s">
        <v>801</v>
      </c>
      <c r="D17" s="2" t="s">
        <v>802</v>
      </c>
      <c r="E17" s="2" t="s">
        <v>803</v>
      </c>
      <c r="F17" s="2" t="s">
        <v>760</v>
      </c>
      <c r="G17" s="2">
        <v>55.0</v>
      </c>
      <c r="H17" s="2" t="s">
        <v>739</v>
      </c>
      <c r="I17" s="2" t="s">
        <v>708</v>
      </c>
      <c r="J17" s="2">
        <v>16.0</v>
      </c>
      <c r="K17" s="2" t="s">
        <v>766</v>
      </c>
      <c r="L17" s="2" t="s">
        <v>767</v>
      </c>
      <c r="M17" s="2" t="s">
        <v>772</v>
      </c>
      <c r="N17" s="2" t="s">
        <v>712</v>
      </c>
      <c r="O17" s="2" t="s">
        <v>768</v>
      </c>
      <c r="P17" s="2" t="s">
        <v>714</v>
      </c>
      <c r="Q17" s="2" t="s">
        <v>715</v>
      </c>
      <c r="R17" s="2" t="s">
        <v>804</v>
      </c>
      <c r="S17" s="2"/>
      <c r="T17" s="2"/>
      <c r="U17" s="2"/>
      <c r="V17" s="2"/>
      <c r="W17" s="2"/>
      <c r="X17" s="2"/>
      <c r="Y17" s="2" t="s">
        <v>719</v>
      </c>
      <c r="Z17" s="130">
        <v>44866.0</v>
      </c>
      <c r="AA17" s="2" t="s">
        <v>720</v>
      </c>
      <c r="AB17" s="2"/>
      <c r="AC17" s="2"/>
      <c r="AD17" s="2" t="s">
        <v>541</v>
      </c>
      <c r="AE17" s="2" t="s">
        <v>721</v>
      </c>
      <c r="AF17" s="2"/>
      <c r="AG17" s="2" t="s">
        <v>450</v>
      </c>
    </row>
    <row r="18" ht="15.0" customHeight="1">
      <c r="A18" s="2" t="s">
        <v>805</v>
      </c>
      <c r="B18" s="2" t="s">
        <v>703</v>
      </c>
      <c r="C18" s="2" t="s">
        <v>310</v>
      </c>
      <c r="D18" s="2" t="s">
        <v>806</v>
      </c>
      <c r="E18" s="2" t="s">
        <v>737</v>
      </c>
      <c r="F18" s="2" t="s">
        <v>738</v>
      </c>
      <c r="G18" s="2">
        <v>38.0</v>
      </c>
      <c r="H18" s="2" t="s">
        <v>807</v>
      </c>
      <c r="I18" s="2" t="s">
        <v>740</v>
      </c>
      <c r="J18" s="2">
        <v>16.0</v>
      </c>
      <c r="K18" s="2" t="s">
        <v>766</v>
      </c>
      <c r="L18" s="2" t="s">
        <v>808</v>
      </c>
      <c r="M18" s="2" t="s">
        <v>742</v>
      </c>
      <c r="N18" s="2" t="s">
        <v>743</v>
      </c>
      <c r="O18" s="2" t="s">
        <v>784</v>
      </c>
      <c r="P18" s="2" t="s">
        <v>714</v>
      </c>
      <c r="Q18" s="2" t="s">
        <v>715</v>
      </c>
      <c r="R18" s="2" t="s">
        <v>773</v>
      </c>
      <c r="S18" s="2"/>
      <c r="T18" s="2"/>
      <c r="U18" s="2"/>
      <c r="V18" s="2"/>
      <c r="W18" s="2"/>
      <c r="X18" s="2"/>
      <c r="Y18" s="2" t="s">
        <v>719</v>
      </c>
      <c r="Z18" s="130"/>
      <c r="AA18" s="2"/>
      <c r="AB18" s="2"/>
      <c r="AC18" s="2"/>
      <c r="AD18" s="2" t="s">
        <v>541</v>
      </c>
      <c r="AE18" s="2" t="s">
        <v>721</v>
      </c>
      <c r="AF18" s="2"/>
      <c r="AG18" s="2"/>
    </row>
    <row r="19" ht="15.0" customHeight="1">
      <c r="A19" s="2" t="s">
        <v>809</v>
      </c>
      <c r="B19" s="2" t="s">
        <v>703</v>
      </c>
      <c r="C19" s="2" t="s">
        <v>135</v>
      </c>
      <c r="D19" s="2" t="s">
        <v>810</v>
      </c>
      <c r="E19" s="2" t="s">
        <v>787</v>
      </c>
      <c r="F19" s="2" t="s">
        <v>706</v>
      </c>
      <c r="G19" s="2">
        <v>74.0</v>
      </c>
      <c r="H19" s="2" t="s">
        <v>707</v>
      </c>
      <c r="I19" s="2" t="s">
        <v>708</v>
      </c>
      <c r="J19" s="2">
        <v>32.0</v>
      </c>
      <c r="K19" s="2" t="s">
        <v>725</v>
      </c>
      <c r="L19" s="2" t="s">
        <v>710</v>
      </c>
      <c r="M19" s="2"/>
      <c r="N19" s="2" t="s">
        <v>748</v>
      </c>
      <c r="O19" s="2" t="s">
        <v>713</v>
      </c>
      <c r="P19" s="2" t="s">
        <v>714</v>
      </c>
      <c r="Q19" s="2" t="s">
        <v>715</v>
      </c>
      <c r="R19" s="2" t="s">
        <v>727</v>
      </c>
      <c r="S19" s="2" t="s">
        <v>811</v>
      </c>
      <c r="T19" s="2"/>
      <c r="U19" s="2"/>
      <c r="V19" s="2"/>
      <c r="W19" s="2"/>
      <c r="X19" s="2"/>
      <c r="Y19" s="2" t="s">
        <v>719</v>
      </c>
      <c r="Z19" s="130">
        <v>45078.0</v>
      </c>
      <c r="AA19" s="2" t="s">
        <v>728</v>
      </c>
      <c r="AB19" s="2"/>
      <c r="AC19" s="2"/>
      <c r="AD19" s="2" t="s">
        <v>541</v>
      </c>
      <c r="AE19" s="2" t="s">
        <v>721</v>
      </c>
      <c r="AF19" s="2"/>
      <c r="AG19" s="2"/>
    </row>
    <row r="20" ht="15.0" customHeight="1">
      <c r="A20" s="2" t="s">
        <v>812</v>
      </c>
      <c r="B20" s="2" t="s">
        <v>703</v>
      </c>
      <c r="C20" s="2" t="s">
        <v>261</v>
      </c>
      <c r="D20" s="2" t="s">
        <v>813</v>
      </c>
      <c r="E20" s="2" t="s">
        <v>252</v>
      </c>
      <c r="F20" s="2" t="s">
        <v>706</v>
      </c>
      <c r="G20" s="2">
        <v>71.0</v>
      </c>
      <c r="H20" s="2" t="s">
        <v>707</v>
      </c>
      <c r="I20" s="2" t="s">
        <v>814</v>
      </c>
      <c r="J20" s="2">
        <v>32.0</v>
      </c>
      <c r="K20" s="2"/>
      <c r="L20" s="2" t="s">
        <v>815</v>
      </c>
      <c r="M20" s="2" t="s">
        <v>816</v>
      </c>
      <c r="N20" s="2" t="s">
        <v>748</v>
      </c>
      <c r="O20" s="2" t="s">
        <v>817</v>
      </c>
      <c r="P20" s="2" t="s">
        <v>714</v>
      </c>
      <c r="Q20" s="2" t="s">
        <v>715</v>
      </c>
      <c r="R20" s="2" t="s">
        <v>727</v>
      </c>
      <c r="S20" s="2" t="s">
        <v>818</v>
      </c>
      <c r="T20" s="2" t="s">
        <v>819</v>
      </c>
      <c r="U20" s="2"/>
      <c r="V20" s="2"/>
      <c r="W20" s="2"/>
      <c r="X20" s="2" t="s">
        <v>757</v>
      </c>
      <c r="Y20" s="2" t="s">
        <v>719</v>
      </c>
      <c r="Z20" s="130">
        <v>45505.0</v>
      </c>
      <c r="AA20" s="2" t="s">
        <v>752</v>
      </c>
      <c r="AB20" s="2"/>
      <c r="AC20" s="2"/>
      <c r="AD20" s="2" t="s">
        <v>541</v>
      </c>
      <c r="AE20" s="2" t="s">
        <v>721</v>
      </c>
      <c r="AF20" s="2"/>
      <c r="AG20" s="2" t="s">
        <v>261</v>
      </c>
    </row>
    <row r="21" ht="15.0" customHeight="1">
      <c r="A21" s="2" t="s">
        <v>820</v>
      </c>
      <c r="B21" s="2" t="s">
        <v>703</v>
      </c>
      <c r="C21" s="88" t="s">
        <v>378</v>
      </c>
      <c r="D21" s="2" t="s">
        <v>821</v>
      </c>
      <c r="E21" s="2" t="s">
        <v>803</v>
      </c>
      <c r="F21" s="2" t="s">
        <v>706</v>
      </c>
      <c r="G21" s="2">
        <v>74.0</v>
      </c>
      <c r="H21" s="2" t="s">
        <v>707</v>
      </c>
      <c r="I21" s="2" t="s">
        <v>708</v>
      </c>
      <c r="J21" s="2">
        <v>32.0</v>
      </c>
      <c r="K21" s="2"/>
      <c r="L21" s="2" t="s">
        <v>710</v>
      </c>
      <c r="M21" s="2"/>
      <c r="N21" s="2" t="s">
        <v>748</v>
      </c>
      <c r="O21" s="2" t="s">
        <v>749</v>
      </c>
      <c r="P21" s="2" t="s">
        <v>714</v>
      </c>
      <c r="Q21" s="2" t="s">
        <v>715</v>
      </c>
      <c r="R21" s="2" t="s">
        <v>804</v>
      </c>
      <c r="S21" s="2"/>
      <c r="T21" s="2" t="s">
        <v>751</v>
      </c>
      <c r="U21" s="2"/>
      <c r="V21" s="2"/>
      <c r="W21" s="2" t="s">
        <v>822</v>
      </c>
      <c r="X21" s="2"/>
      <c r="Y21" s="2" t="s">
        <v>719</v>
      </c>
      <c r="Z21" s="130">
        <v>45474.0</v>
      </c>
      <c r="AA21" s="2" t="s">
        <v>752</v>
      </c>
      <c r="AB21" s="2"/>
      <c r="AC21" s="2"/>
      <c r="AD21" s="2" t="s">
        <v>541</v>
      </c>
      <c r="AE21" s="2"/>
      <c r="AF21" s="2"/>
      <c r="AG21" s="2" t="s">
        <v>378</v>
      </c>
    </row>
    <row r="22" ht="15.0" customHeight="1">
      <c r="A22" s="2" t="s">
        <v>823</v>
      </c>
      <c r="B22" s="2" t="s">
        <v>703</v>
      </c>
      <c r="C22" s="88" t="s">
        <v>387</v>
      </c>
      <c r="D22" s="2" t="s">
        <v>824</v>
      </c>
      <c r="E22" s="2" t="s">
        <v>803</v>
      </c>
      <c r="F22" s="2" t="s">
        <v>706</v>
      </c>
      <c r="G22" s="2">
        <v>63.0</v>
      </c>
      <c r="H22" s="2" t="s">
        <v>707</v>
      </c>
      <c r="I22" s="2" t="s">
        <v>747</v>
      </c>
      <c r="J22" s="2"/>
      <c r="K22" s="2"/>
      <c r="L22" s="2" t="s">
        <v>710</v>
      </c>
      <c r="M22" s="2" t="s">
        <v>825</v>
      </c>
      <c r="N22" s="2" t="s">
        <v>826</v>
      </c>
      <c r="O22" s="2" t="s">
        <v>749</v>
      </c>
      <c r="P22" s="2" t="s">
        <v>714</v>
      </c>
      <c r="Q22" s="2" t="s">
        <v>715</v>
      </c>
      <c r="R22" s="2" t="s">
        <v>727</v>
      </c>
      <c r="S22" s="2"/>
      <c r="T22" s="2" t="s">
        <v>819</v>
      </c>
      <c r="U22" s="2"/>
      <c r="V22" s="2"/>
      <c r="W22" s="2"/>
      <c r="X22" s="2"/>
      <c r="Y22" s="2" t="s">
        <v>719</v>
      </c>
      <c r="Z22" s="130">
        <v>45505.0</v>
      </c>
      <c r="AA22" s="2" t="s">
        <v>752</v>
      </c>
      <c r="AB22" s="2"/>
      <c r="AC22" s="2"/>
      <c r="AD22" s="2" t="s">
        <v>541</v>
      </c>
      <c r="AE22" s="2" t="s">
        <v>721</v>
      </c>
      <c r="AF22" s="2"/>
      <c r="AG22" s="2" t="s">
        <v>301</v>
      </c>
    </row>
    <row r="23" ht="15.0" customHeight="1">
      <c r="A23" s="2" t="s">
        <v>827</v>
      </c>
      <c r="B23" s="2" t="s">
        <v>703</v>
      </c>
      <c r="C23" s="2" t="s">
        <v>253</v>
      </c>
      <c r="D23" s="2" t="s">
        <v>252</v>
      </c>
      <c r="E23" s="2" t="s">
        <v>252</v>
      </c>
      <c r="F23" s="2" t="s">
        <v>760</v>
      </c>
      <c r="G23" s="2">
        <v>55.0</v>
      </c>
      <c r="H23" s="2" t="s">
        <v>739</v>
      </c>
      <c r="I23" s="2" t="s">
        <v>828</v>
      </c>
      <c r="J23" s="2">
        <v>16.0</v>
      </c>
      <c r="K23" s="2" t="s">
        <v>766</v>
      </c>
      <c r="L23" s="2" t="s">
        <v>815</v>
      </c>
      <c r="M23" s="2" t="s">
        <v>829</v>
      </c>
      <c r="N23" s="2" t="s">
        <v>748</v>
      </c>
      <c r="O23" s="2" t="s">
        <v>817</v>
      </c>
      <c r="P23" s="2" t="s">
        <v>714</v>
      </c>
      <c r="Q23" s="2" t="s">
        <v>715</v>
      </c>
      <c r="R23" s="2" t="s">
        <v>727</v>
      </c>
      <c r="S23" s="2"/>
      <c r="T23" s="2" t="s">
        <v>718</v>
      </c>
      <c r="U23" s="2"/>
      <c r="V23" s="2"/>
      <c r="W23" s="2"/>
      <c r="X23" s="2"/>
      <c r="Y23" s="2" t="s">
        <v>719</v>
      </c>
      <c r="Z23" s="130">
        <v>45315.0</v>
      </c>
      <c r="AA23" s="2" t="s">
        <v>752</v>
      </c>
      <c r="AB23" s="2"/>
      <c r="AC23" s="2"/>
      <c r="AD23" s="2" t="s">
        <v>541</v>
      </c>
      <c r="AE23" s="2" t="s">
        <v>721</v>
      </c>
      <c r="AF23" s="2"/>
      <c r="AG23" s="2" t="s">
        <v>253</v>
      </c>
    </row>
    <row r="24" ht="15.0" customHeight="1">
      <c r="A24" s="2" t="s">
        <v>830</v>
      </c>
      <c r="B24" s="2" t="s">
        <v>703</v>
      </c>
      <c r="C24" s="2" t="s">
        <v>277</v>
      </c>
      <c r="D24" s="2" t="s">
        <v>831</v>
      </c>
      <c r="E24" s="2" t="s">
        <v>832</v>
      </c>
      <c r="F24" s="2" t="s">
        <v>760</v>
      </c>
      <c r="G24" s="2">
        <v>59.0</v>
      </c>
      <c r="H24" s="2" t="s">
        <v>833</v>
      </c>
      <c r="I24" s="2" t="s">
        <v>834</v>
      </c>
      <c r="J24" s="2">
        <v>32.0</v>
      </c>
      <c r="K24" s="2" t="s">
        <v>725</v>
      </c>
      <c r="L24" s="2" t="s">
        <v>710</v>
      </c>
      <c r="M24" s="2"/>
      <c r="N24" s="2" t="s">
        <v>712</v>
      </c>
      <c r="O24" s="2" t="s">
        <v>817</v>
      </c>
      <c r="P24" s="2" t="s">
        <v>714</v>
      </c>
      <c r="Q24" s="2" t="s">
        <v>715</v>
      </c>
      <c r="R24" s="2" t="s">
        <v>734</v>
      </c>
      <c r="S24" s="2" t="s">
        <v>717</v>
      </c>
      <c r="T24" s="2" t="s">
        <v>751</v>
      </c>
      <c r="U24" s="2"/>
      <c r="V24" s="2"/>
      <c r="W24" s="2"/>
      <c r="X24" s="2"/>
      <c r="Y24" s="2" t="s">
        <v>719</v>
      </c>
      <c r="Z24" s="130">
        <v>45108.0</v>
      </c>
      <c r="AA24" s="2" t="s">
        <v>728</v>
      </c>
      <c r="AB24" s="2"/>
      <c r="AC24" s="2"/>
      <c r="AD24" s="2" t="s">
        <v>541</v>
      </c>
      <c r="AE24" s="2" t="s">
        <v>721</v>
      </c>
      <c r="AF24" s="2"/>
      <c r="AG24" s="2" t="s">
        <v>163</v>
      </c>
    </row>
    <row r="25" ht="15.0" customHeight="1">
      <c r="A25" s="2" t="s">
        <v>835</v>
      </c>
      <c r="B25" s="2" t="s">
        <v>703</v>
      </c>
      <c r="C25" s="2" t="s">
        <v>836</v>
      </c>
      <c r="D25" s="2" t="s">
        <v>837</v>
      </c>
      <c r="E25" s="2" t="s">
        <v>395</v>
      </c>
      <c r="F25" s="2" t="s">
        <v>738</v>
      </c>
      <c r="G25" s="2">
        <v>34.0</v>
      </c>
      <c r="H25" s="2" t="s">
        <v>807</v>
      </c>
      <c r="I25" s="2" t="s">
        <v>838</v>
      </c>
      <c r="J25" s="2">
        <v>16.0</v>
      </c>
      <c r="K25" s="2"/>
      <c r="L25" s="2" t="s">
        <v>839</v>
      </c>
      <c r="M25" s="2"/>
      <c r="N25" s="2" t="s">
        <v>798</v>
      </c>
      <c r="O25" s="2" t="s">
        <v>840</v>
      </c>
      <c r="P25" s="2" t="s">
        <v>714</v>
      </c>
      <c r="Q25" s="2" t="s">
        <v>715</v>
      </c>
      <c r="R25" s="2" t="s">
        <v>727</v>
      </c>
      <c r="S25" s="2"/>
      <c r="T25" s="2"/>
      <c r="U25" s="2"/>
      <c r="V25" s="2"/>
      <c r="W25" s="2"/>
      <c r="X25" s="2"/>
      <c r="Y25" s="2" t="s">
        <v>719</v>
      </c>
      <c r="Z25" s="130"/>
      <c r="AA25" s="2"/>
      <c r="AB25" s="2"/>
      <c r="AC25" s="2"/>
      <c r="AD25" s="2" t="s">
        <v>541</v>
      </c>
      <c r="AE25" s="2" t="s">
        <v>721</v>
      </c>
      <c r="AF25" s="2"/>
      <c r="AG25" s="2" t="s">
        <v>407</v>
      </c>
    </row>
    <row r="26" ht="15.0" customHeight="1">
      <c r="A26" s="2" t="s">
        <v>841</v>
      </c>
      <c r="B26" s="2" t="s">
        <v>703</v>
      </c>
      <c r="C26" s="2" t="s">
        <v>115</v>
      </c>
      <c r="D26" s="2" t="s">
        <v>114</v>
      </c>
      <c r="E26" s="2" t="s">
        <v>731</v>
      </c>
      <c r="F26" s="2" t="s">
        <v>738</v>
      </c>
      <c r="G26" s="2">
        <v>42.0</v>
      </c>
      <c r="H26" s="2" t="s">
        <v>739</v>
      </c>
      <c r="I26" s="2" t="s">
        <v>842</v>
      </c>
      <c r="J26" s="2">
        <v>16.0</v>
      </c>
      <c r="K26" s="2" t="s">
        <v>766</v>
      </c>
      <c r="L26" s="2" t="s">
        <v>843</v>
      </c>
      <c r="M26" s="2" t="s">
        <v>742</v>
      </c>
      <c r="N26" s="2" t="s">
        <v>844</v>
      </c>
      <c r="O26" s="2" t="s">
        <v>799</v>
      </c>
      <c r="P26" s="2" t="s">
        <v>714</v>
      </c>
      <c r="Q26" s="2" t="s">
        <v>715</v>
      </c>
      <c r="R26" s="2" t="s">
        <v>727</v>
      </c>
      <c r="S26" s="2"/>
      <c r="T26" s="2"/>
      <c r="U26" s="2"/>
      <c r="V26" s="2"/>
      <c r="W26" s="2"/>
      <c r="X26" s="2"/>
      <c r="Y26" s="2" t="s">
        <v>719</v>
      </c>
      <c r="Z26" s="130"/>
      <c r="AA26" s="2"/>
      <c r="AB26" s="2"/>
      <c r="AC26" s="2"/>
      <c r="AD26" s="2" t="s">
        <v>541</v>
      </c>
      <c r="AE26" s="2" t="s">
        <v>721</v>
      </c>
      <c r="AF26" s="2"/>
      <c r="AG26" s="2" t="s">
        <v>294</v>
      </c>
    </row>
    <row r="27" ht="15.0" customHeight="1">
      <c r="A27" s="2" t="s">
        <v>845</v>
      </c>
      <c r="B27" s="2" t="s">
        <v>703</v>
      </c>
      <c r="C27" s="2" t="s">
        <v>348</v>
      </c>
      <c r="D27" s="2" t="s">
        <v>846</v>
      </c>
      <c r="E27" s="2" t="s">
        <v>705</v>
      </c>
      <c r="F27" s="2" t="s">
        <v>706</v>
      </c>
      <c r="G27" s="2">
        <v>76.0</v>
      </c>
      <c r="H27" s="2" t="s">
        <v>707</v>
      </c>
      <c r="I27" s="2" t="s">
        <v>847</v>
      </c>
      <c r="J27" s="2">
        <v>32.0</v>
      </c>
      <c r="K27" s="2" t="s">
        <v>766</v>
      </c>
      <c r="L27" s="2" t="s">
        <v>710</v>
      </c>
      <c r="M27" s="2" t="s">
        <v>711</v>
      </c>
      <c r="N27" s="2" t="s">
        <v>848</v>
      </c>
      <c r="O27" s="2" t="s">
        <v>749</v>
      </c>
      <c r="P27" s="2" t="s">
        <v>714</v>
      </c>
      <c r="Q27" s="2" t="s">
        <v>715</v>
      </c>
      <c r="R27" s="2" t="s">
        <v>727</v>
      </c>
      <c r="S27" s="2"/>
      <c r="T27" s="2" t="s">
        <v>718</v>
      </c>
      <c r="U27" s="2"/>
      <c r="V27" s="2"/>
      <c r="W27" s="2"/>
      <c r="X27" s="2"/>
      <c r="Y27" s="2" t="s">
        <v>719</v>
      </c>
      <c r="Z27" s="130">
        <v>45505.0</v>
      </c>
      <c r="AA27" s="2" t="s">
        <v>752</v>
      </c>
      <c r="AB27" s="2"/>
      <c r="AC27" s="2"/>
      <c r="AD27" s="2" t="s">
        <v>541</v>
      </c>
      <c r="AE27" s="2" t="s">
        <v>721</v>
      </c>
      <c r="AF27" s="2"/>
      <c r="AG27" s="2" t="s">
        <v>348</v>
      </c>
    </row>
    <row r="28" ht="15.0" customHeight="1">
      <c r="A28" s="2" t="s">
        <v>849</v>
      </c>
      <c r="B28" s="2" t="s">
        <v>703</v>
      </c>
      <c r="C28" s="2" t="s">
        <v>313</v>
      </c>
      <c r="D28" s="2" t="s">
        <v>850</v>
      </c>
      <c r="E28" s="2" t="s">
        <v>737</v>
      </c>
      <c r="F28" s="2" t="s">
        <v>738</v>
      </c>
      <c r="G28" s="2">
        <v>38.0</v>
      </c>
      <c r="H28" s="2" t="s">
        <v>739</v>
      </c>
      <c r="I28" s="2" t="s">
        <v>838</v>
      </c>
      <c r="J28" s="2">
        <v>16.0</v>
      </c>
      <c r="K28" s="2" t="s">
        <v>756</v>
      </c>
      <c r="L28" s="2" t="s">
        <v>851</v>
      </c>
      <c r="M28" s="2" t="s">
        <v>852</v>
      </c>
      <c r="N28" s="2" t="s">
        <v>853</v>
      </c>
      <c r="O28" s="2" t="s">
        <v>784</v>
      </c>
      <c r="P28" s="2" t="s">
        <v>714</v>
      </c>
      <c r="Q28" s="2" t="s">
        <v>715</v>
      </c>
      <c r="R28" s="2" t="s">
        <v>727</v>
      </c>
      <c r="S28" s="2" t="s">
        <v>717</v>
      </c>
      <c r="T28" s="2"/>
      <c r="U28" s="2"/>
      <c r="V28" s="2"/>
      <c r="W28" s="2"/>
      <c r="X28" s="2"/>
      <c r="Y28" s="2" t="s">
        <v>719</v>
      </c>
      <c r="Z28" s="130"/>
      <c r="AA28" s="2"/>
      <c r="AB28" s="2"/>
      <c r="AC28" s="2"/>
      <c r="AD28" s="2" t="s">
        <v>541</v>
      </c>
      <c r="AE28" s="2" t="s">
        <v>721</v>
      </c>
      <c r="AF28" s="2"/>
      <c r="AG28" s="2"/>
    </row>
    <row r="29" ht="15.0" customHeight="1">
      <c r="A29" s="2" t="s">
        <v>854</v>
      </c>
      <c r="B29" s="2" t="s">
        <v>703</v>
      </c>
      <c r="C29" s="2" t="s">
        <v>359</v>
      </c>
      <c r="D29" s="2" t="s">
        <v>392</v>
      </c>
      <c r="E29" s="2" t="s">
        <v>803</v>
      </c>
      <c r="F29" s="2" t="s">
        <v>855</v>
      </c>
      <c r="G29" s="2">
        <v>25.0</v>
      </c>
      <c r="H29" s="2" t="s">
        <v>807</v>
      </c>
      <c r="I29" s="2" t="s">
        <v>856</v>
      </c>
      <c r="J29" s="2">
        <v>20.0</v>
      </c>
      <c r="K29" s="2" t="s">
        <v>756</v>
      </c>
      <c r="L29" s="2" t="s">
        <v>857</v>
      </c>
      <c r="M29" s="2" t="s">
        <v>858</v>
      </c>
      <c r="N29" s="2" t="s">
        <v>844</v>
      </c>
      <c r="O29" s="2" t="s">
        <v>859</v>
      </c>
      <c r="P29" s="2" t="s">
        <v>714</v>
      </c>
      <c r="Q29" s="2" t="s">
        <v>715</v>
      </c>
      <c r="R29" s="2" t="s">
        <v>804</v>
      </c>
      <c r="S29" s="2"/>
      <c r="T29" s="2"/>
      <c r="U29" s="2"/>
      <c r="V29" s="2"/>
      <c r="W29" s="2"/>
      <c r="X29" s="2"/>
      <c r="Y29" s="2" t="s">
        <v>719</v>
      </c>
      <c r="Z29" s="130"/>
      <c r="AA29" s="2"/>
      <c r="AB29" s="2"/>
      <c r="AC29" s="2"/>
      <c r="AD29" s="2" t="s">
        <v>541</v>
      </c>
      <c r="AE29" s="2" t="s">
        <v>721</v>
      </c>
      <c r="AF29" s="2"/>
      <c r="AG29" s="2" t="s">
        <v>393</v>
      </c>
    </row>
    <row r="30" ht="15.0" customHeight="1">
      <c r="A30" s="2" t="s">
        <v>860</v>
      </c>
      <c r="B30" s="2" t="s">
        <v>703</v>
      </c>
      <c r="C30" s="2"/>
      <c r="D30" s="2" t="s">
        <v>861</v>
      </c>
      <c r="E30" s="2" t="s">
        <v>705</v>
      </c>
      <c r="F30" s="2" t="s">
        <v>738</v>
      </c>
      <c r="G30" s="2">
        <v>36.0</v>
      </c>
      <c r="H30" s="2" t="s">
        <v>739</v>
      </c>
      <c r="I30" s="2" t="s">
        <v>862</v>
      </c>
      <c r="J30" s="2">
        <v>16.0</v>
      </c>
      <c r="K30" s="2" t="s">
        <v>766</v>
      </c>
      <c r="L30" s="2" t="s">
        <v>863</v>
      </c>
      <c r="M30" s="2" t="s">
        <v>711</v>
      </c>
      <c r="N30" s="2" t="s">
        <v>864</v>
      </c>
      <c r="O30" s="2" t="s">
        <v>865</v>
      </c>
      <c r="P30" s="2" t="s">
        <v>714</v>
      </c>
      <c r="Q30" s="2" t="s">
        <v>715</v>
      </c>
      <c r="R30" s="2" t="s">
        <v>727</v>
      </c>
      <c r="S30" s="2" t="s">
        <v>717</v>
      </c>
      <c r="T30" s="2"/>
      <c r="U30" s="2"/>
      <c r="V30" s="2"/>
      <c r="W30" s="2"/>
      <c r="X30" s="2"/>
      <c r="Y30" s="2" t="s">
        <v>719</v>
      </c>
      <c r="Z30" s="130"/>
      <c r="AA30" s="2"/>
      <c r="AB30" s="2"/>
      <c r="AC30" s="2"/>
      <c r="AD30" s="2" t="s">
        <v>541</v>
      </c>
      <c r="AE30" s="2" t="s">
        <v>721</v>
      </c>
      <c r="AF30" s="2"/>
      <c r="AG30" s="2"/>
    </row>
    <row r="31" ht="15.0" customHeight="1">
      <c r="A31" s="2" t="s">
        <v>866</v>
      </c>
      <c r="B31" s="2" t="s">
        <v>703</v>
      </c>
      <c r="C31" s="2"/>
      <c r="D31" s="2"/>
      <c r="E31" s="2" t="s">
        <v>867</v>
      </c>
      <c r="F31" s="2" t="s">
        <v>760</v>
      </c>
      <c r="G31" s="2">
        <v>48.0</v>
      </c>
      <c r="H31" s="2" t="s">
        <v>739</v>
      </c>
      <c r="I31" s="2" t="s">
        <v>868</v>
      </c>
      <c r="J31" s="2">
        <v>64.0</v>
      </c>
      <c r="K31" s="2" t="s">
        <v>766</v>
      </c>
      <c r="L31" s="2" t="s">
        <v>851</v>
      </c>
      <c r="M31" s="2"/>
      <c r="N31" s="2" t="s">
        <v>864</v>
      </c>
      <c r="O31" s="2" t="s">
        <v>869</v>
      </c>
      <c r="P31" s="2" t="s">
        <v>714</v>
      </c>
      <c r="Q31" s="2" t="s">
        <v>715</v>
      </c>
      <c r="R31" s="2" t="s">
        <v>734</v>
      </c>
      <c r="S31" s="2"/>
      <c r="T31" s="2"/>
      <c r="U31" s="2"/>
      <c r="V31" s="2"/>
      <c r="W31" s="2"/>
      <c r="X31" s="2"/>
      <c r="Y31" s="2" t="s">
        <v>719</v>
      </c>
      <c r="Z31" s="130"/>
      <c r="AA31" s="2"/>
      <c r="AB31" s="2"/>
      <c r="AC31" s="2"/>
      <c r="AD31" s="2" t="s">
        <v>541</v>
      </c>
      <c r="AE31" s="2" t="s">
        <v>721</v>
      </c>
      <c r="AF31" s="2"/>
      <c r="AG31" s="2"/>
    </row>
    <row r="32" ht="15.0" customHeight="1">
      <c r="A32" s="2" t="s">
        <v>870</v>
      </c>
      <c r="B32" s="2" t="s">
        <v>703</v>
      </c>
      <c r="C32" s="2"/>
      <c r="D32" s="2"/>
      <c r="E32" s="2" t="s">
        <v>867</v>
      </c>
      <c r="F32" s="2" t="s">
        <v>738</v>
      </c>
      <c r="G32" s="2">
        <v>30.0</v>
      </c>
      <c r="H32" s="2" t="s">
        <v>807</v>
      </c>
      <c r="I32" s="2" t="s">
        <v>868</v>
      </c>
      <c r="J32" s="2">
        <v>16.0</v>
      </c>
      <c r="K32" s="2" t="s">
        <v>766</v>
      </c>
      <c r="L32" s="2" t="s">
        <v>839</v>
      </c>
      <c r="M32" s="2"/>
      <c r="N32" s="2" t="s">
        <v>864</v>
      </c>
      <c r="O32" s="2" t="s">
        <v>869</v>
      </c>
      <c r="P32" s="2" t="s">
        <v>714</v>
      </c>
      <c r="Q32" s="2" t="s">
        <v>715</v>
      </c>
      <c r="R32" s="2" t="s">
        <v>734</v>
      </c>
      <c r="S32" s="2"/>
      <c r="T32" s="2"/>
      <c r="U32" s="2"/>
      <c r="V32" s="2"/>
      <c r="W32" s="2"/>
      <c r="X32" s="2"/>
      <c r="Y32" s="2" t="s">
        <v>719</v>
      </c>
      <c r="Z32" s="130"/>
      <c r="AA32" s="2"/>
      <c r="AB32" s="2"/>
      <c r="AC32" s="2"/>
      <c r="AD32" s="2" t="s">
        <v>541</v>
      </c>
      <c r="AE32" s="2"/>
      <c r="AF32" s="2"/>
      <c r="AG32" s="2"/>
    </row>
    <row r="33" ht="15.0" customHeight="1">
      <c r="A33" s="2" t="s">
        <v>871</v>
      </c>
      <c r="B33" s="2" t="s">
        <v>703</v>
      </c>
      <c r="C33" s="88" t="s">
        <v>393</v>
      </c>
      <c r="D33" s="2" t="s">
        <v>872</v>
      </c>
      <c r="E33" s="2" t="s">
        <v>803</v>
      </c>
      <c r="F33" s="2" t="s">
        <v>873</v>
      </c>
      <c r="G33" s="2">
        <v>89.0</v>
      </c>
      <c r="H33" s="2" t="s">
        <v>874</v>
      </c>
      <c r="I33" s="2" t="s">
        <v>875</v>
      </c>
      <c r="J33" s="2">
        <v>32.0</v>
      </c>
      <c r="K33" s="2" t="s">
        <v>766</v>
      </c>
      <c r="L33" s="2" t="s">
        <v>876</v>
      </c>
      <c r="M33" s="2"/>
      <c r="N33" s="2" t="s">
        <v>712</v>
      </c>
      <c r="O33" s="2" t="s">
        <v>877</v>
      </c>
      <c r="P33" s="2" t="s">
        <v>714</v>
      </c>
      <c r="Q33" s="2" t="s">
        <v>715</v>
      </c>
      <c r="R33" s="2" t="s">
        <v>804</v>
      </c>
      <c r="S33" s="2"/>
      <c r="T33" s="2" t="s">
        <v>718</v>
      </c>
      <c r="U33" s="2"/>
      <c r="V33" s="2"/>
      <c r="W33" s="2"/>
      <c r="X33" s="2"/>
      <c r="Y33" s="2" t="s">
        <v>719</v>
      </c>
      <c r="Z33" s="130"/>
      <c r="AA33" s="2" t="s">
        <v>720</v>
      </c>
      <c r="AB33" s="2"/>
      <c r="AC33" s="2"/>
      <c r="AD33" s="2" t="s">
        <v>541</v>
      </c>
      <c r="AE33" s="2" t="s">
        <v>721</v>
      </c>
      <c r="AF33" s="2"/>
      <c r="AG33" s="2" t="s">
        <v>371</v>
      </c>
    </row>
    <row r="34" ht="15.0" customHeight="1">
      <c r="A34" s="2" t="s">
        <v>878</v>
      </c>
      <c r="B34" s="2" t="s">
        <v>703</v>
      </c>
      <c r="C34" s="2"/>
      <c r="D34" s="2"/>
      <c r="E34" s="2" t="s">
        <v>803</v>
      </c>
      <c r="F34" s="2" t="s">
        <v>738</v>
      </c>
      <c r="G34" s="2">
        <v>42.0</v>
      </c>
      <c r="H34" s="2" t="s">
        <v>807</v>
      </c>
      <c r="I34" s="2" t="s">
        <v>879</v>
      </c>
      <c r="J34" s="2">
        <v>32.0</v>
      </c>
      <c r="K34" s="2" t="s">
        <v>766</v>
      </c>
      <c r="L34" s="2" t="s">
        <v>839</v>
      </c>
      <c r="M34" s="2"/>
      <c r="N34" s="2" t="s">
        <v>844</v>
      </c>
      <c r="O34" s="2" t="s">
        <v>880</v>
      </c>
      <c r="P34" s="2" t="s">
        <v>714</v>
      </c>
      <c r="Q34" s="2" t="s">
        <v>715</v>
      </c>
      <c r="R34" s="2" t="s">
        <v>734</v>
      </c>
      <c r="S34" s="2"/>
      <c r="T34" s="2"/>
      <c r="U34" s="2"/>
      <c r="V34" s="2"/>
      <c r="W34" s="2"/>
      <c r="X34" s="2"/>
      <c r="Y34" s="2" t="s">
        <v>719</v>
      </c>
      <c r="Z34" s="130"/>
      <c r="AA34" s="2"/>
      <c r="AB34" s="2"/>
      <c r="AC34" s="2"/>
      <c r="AD34" s="2" t="s">
        <v>541</v>
      </c>
      <c r="AE34" s="2" t="s">
        <v>721</v>
      </c>
      <c r="AF34" s="2"/>
      <c r="AG34" s="2"/>
    </row>
    <row r="35" ht="15.0" customHeight="1">
      <c r="A35" s="2" t="s">
        <v>881</v>
      </c>
      <c r="B35" s="2" t="s">
        <v>703</v>
      </c>
      <c r="C35" s="2" t="s">
        <v>196</v>
      </c>
      <c r="D35" s="2" t="s">
        <v>882</v>
      </c>
      <c r="E35" s="2" t="s">
        <v>745</v>
      </c>
      <c r="F35" s="2" t="s">
        <v>760</v>
      </c>
      <c r="G35" s="2">
        <v>55.0</v>
      </c>
      <c r="H35" s="2" t="s">
        <v>883</v>
      </c>
      <c r="I35" s="2" t="s">
        <v>884</v>
      </c>
      <c r="J35" s="2">
        <v>32.0</v>
      </c>
      <c r="K35" s="2" t="s">
        <v>725</v>
      </c>
      <c r="L35" s="2" t="s">
        <v>741</v>
      </c>
      <c r="M35" s="2"/>
      <c r="N35" s="2" t="s">
        <v>748</v>
      </c>
      <c r="O35" s="2" t="s">
        <v>749</v>
      </c>
      <c r="P35" s="2" t="s">
        <v>714</v>
      </c>
      <c r="Q35" s="2" t="s">
        <v>715</v>
      </c>
      <c r="R35" s="2" t="s">
        <v>734</v>
      </c>
      <c r="S35" s="2"/>
      <c r="T35" s="2" t="s">
        <v>751</v>
      </c>
      <c r="U35" s="2"/>
      <c r="V35" s="2"/>
      <c r="W35" s="2"/>
      <c r="X35" s="2"/>
      <c r="Y35" s="2" t="s">
        <v>719</v>
      </c>
      <c r="Z35" s="130"/>
      <c r="AA35" s="2"/>
      <c r="AB35" s="2"/>
      <c r="AC35" s="2"/>
      <c r="AD35" s="2" t="s">
        <v>541</v>
      </c>
      <c r="AE35" s="2" t="s">
        <v>721</v>
      </c>
      <c r="AF35" s="2"/>
      <c r="AG35" s="2"/>
    </row>
    <row r="36" ht="15.0" customHeight="1">
      <c r="A36" s="2" t="s">
        <v>885</v>
      </c>
      <c r="B36" s="2" t="s">
        <v>703</v>
      </c>
      <c r="C36" s="2"/>
      <c r="D36" s="2" t="s">
        <v>861</v>
      </c>
      <c r="E36" s="2" t="s">
        <v>737</v>
      </c>
      <c r="F36" s="2" t="s">
        <v>760</v>
      </c>
      <c r="G36" s="2">
        <v>45.0</v>
      </c>
      <c r="H36" s="2" t="s">
        <v>739</v>
      </c>
      <c r="I36" s="2" t="s">
        <v>886</v>
      </c>
      <c r="J36" s="2">
        <v>16.0</v>
      </c>
      <c r="K36" s="2" t="s">
        <v>766</v>
      </c>
      <c r="L36" s="2" t="s">
        <v>887</v>
      </c>
      <c r="M36" s="2"/>
      <c r="N36" s="2" t="s">
        <v>853</v>
      </c>
      <c r="O36" s="2" t="s">
        <v>888</v>
      </c>
      <c r="P36" s="2" t="s">
        <v>714</v>
      </c>
      <c r="Q36" s="2" t="s">
        <v>715</v>
      </c>
      <c r="R36" s="2" t="s">
        <v>734</v>
      </c>
      <c r="S36" s="2"/>
      <c r="T36" s="2"/>
      <c r="U36" s="2"/>
      <c r="V36" s="2"/>
      <c r="W36" s="2"/>
      <c r="X36" s="2"/>
      <c r="Y36" s="2" t="s">
        <v>719</v>
      </c>
      <c r="Z36" s="130"/>
      <c r="AA36" s="2"/>
      <c r="AB36" s="2"/>
      <c r="AC36" s="2"/>
      <c r="AD36" s="2" t="s">
        <v>541</v>
      </c>
      <c r="AE36" s="2" t="s">
        <v>721</v>
      </c>
      <c r="AF36" s="2"/>
      <c r="AG36" s="2"/>
    </row>
    <row r="37" ht="15.0" customHeight="1">
      <c r="A37" s="2" t="s">
        <v>889</v>
      </c>
      <c r="B37" s="2" t="s">
        <v>703</v>
      </c>
      <c r="C37" s="2" t="s">
        <v>277</v>
      </c>
      <c r="D37" s="2" t="s">
        <v>890</v>
      </c>
      <c r="E37" s="2" t="s">
        <v>252</v>
      </c>
      <c r="F37" s="2" t="s">
        <v>706</v>
      </c>
      <c r="G37" s="2">
        <v>72.0</v>
      </c>
      <c r="H37" s="2" t="s">
        <v>746</v>
      </c>
      <c r="I37" s="2" t="s">
        <v>891</v>
      </c>
      <c r="J37" s="2">
        <v>16.0</v>
      </c>
      <c r="K37" s="2" t="s">
        <v>766</v>
      </c>
      <c r="L37" s="2" t="s">
        <v>710</v>
      </c>
      <c r="M37" s="2" t="s">
        <v>892</v>
      </c>
      <c r="N37" s="2" t="s">
        <v>748</v>
      </c>
      <c r="O37" s="2" t="s">
        <v>749</v>
      </c>
      <c r="P37" s="2" t="s">
        <v>714</v>
      </c>
      <c r="Q37" s="2" t="s">
        <v>715</v>
      </c>
      <c r="R37" s="2" t="s">
        <v>734</v>
      </c>
      <c r="S37" s="2"/>
      <c r="T37" s="2" t="s">
        <v>751</v>
      </c>
      <c r="U37" s="2"/>
      <c r="V37" s="2"/>
      <c r="W37" s="2"/>
      <c r="X37" s="2"/>
      <c r="Y37" s="2" t="s">
        <v>719</v>
      </c>
      <c r="Z37" s="130">
        <v>45505.0</v>
      </c>
      <c r="AA37" s="2" t="s">
        <v>752</v>
      </c>
      <c r="AB37" s="2"/>
      <c r="AC37" s="2"/>
      <c r="AD37" s="2" t="s">
        <v>541</v>
      </c>
      <c r="AE37" s="2" t="s">
        <v>721</v>
      </c>
      <c r="AF37" s="2"/>
      <c r="AG37" s="2" t="s">
        <v>277</v>
      </c>
    </row>
    <row r="38" ht="15.0" customHeight="1">
      <c r="A38" s="2" t="s">
        <v>893</v>
      </c>
      <c r="B38" s="2" t="s">
        <v>703</v>
      </c>
      <c r="C38" s="2" t="s">
        <v>297</v>
      </c>
      <c r="D38" s="2" t="s">
        <v>192</v>
      </c>
      <c r="E38" s="2" t="s">
        <v>737</v>
      </c>
      <c r="F38" s="2" t="s">
        <v>873</v>
      </c>
      <c r="G38" s="2">
        <v>89.0</v>
      </c>
      <c r="H38" s="2" t="s">
        <v>874</v>
      </c>
      <c r="I38" s="2" t="s">
        <v>875</v>
      </c>
      <c r="J38" s="2">
        <v>32.0</v>
      </c>
      <c r="K38" s="2" t="s">
        <v>766</v>
      </c>
      <c r="L38" s="2" t="s">
        <v>876</v>
      </c>
      <c r="M38" s="2" t="s">
        <v>894</v>
      </c>
      <c r="N38" s="2" t="s">
        <v>712</v>
      </c>
      <c r="O38" s="2" t="s">
        <v>877</v>
      </c>
      <c r="P38" s="2" t="s">
        <v>714</v>
      </c>
      <c r="Q38" s="2" t="s">
        <v>715</v>
      </c>
      <c r="R38" s="2" t="s">
        <v>727</v>
      </c>
      <c r="S38" s="2"/>
      <c r="T38" s="2" t="s">
        <v>718</v>
      </c>
      <c r="U38" s="2"/>
      <c r="V38" s="2"/>
      <c r="W38" s="2"/>
      <c r="X38" s="2" t="s">
        <v>757</v>
      </c>
      <c r="Y38" s="2" t="s">
        <v>719</v>
      </c>
      <c r="Z38" s="130"/>
      <c r="AA38" s="2" t="s">
        <v>720</v>
      </c>
      <c r="AB38" s="2"/>
      <c r="AC38" s="2"/>
      <c r="AD38" s="2" t="s">
        <v>541</v>
      </c>
      <c r="AE38" s="2" t="s">
        <v>721</v>
      </c>
      <c r="AF38" s="2"/>
      <c r="AG38" s="2" t="s">
        <v>294</v>
      </c>
    </row>
    <row r="39" ht="15.0" customHeight="1">
      <c r="A39" s="2" t="s">
        <v>895</v>
      </c>
      <c r="B39" s="2" t="s">
        <v>703</v>
      </c>
      <c r="C39" s="2" t="s">
        <v>274</v>
      </c>
      <c r="D39" s="2" t="s">
        <v>896</v>
      </c>
      <c r="E39" s="2" t="s">
        <v>252</v>
      </c>
      <c r="F39" s="2" t="s">
        <v>873</v>
      </c>
      <c r="G39" s="2">
        <v>89.0</v>
      </c>
      <c r="H39" s="2" t="s">
        <v>874</v>
      </c>
      <c r="I39" s="2" t="s">
        <v>875</v>
      </c>
      <c r="J39" s="2">
        <v>32.0</v>
      </c>
      <c r="K39" s="2" t="s">
        <v>766</v>
      </c>
      <c r="L39" s="2" t="s">
        <v>876</v>
      </c>
      <c r="M39" s="2"/>
      <c r="N39" s="2" t="s">
        <v>712</v>
      </c>
      <c r="O39" s="2" t="s">
        <v>877</v>
      </c>
      <c r="P39" s="2" t="s">
        <v>714</v>
      </c>
      <c r="Q39" s="2" t="s">
        <v>715</v>
      </c>
      <c r="R39" s="2" t="s">
        <v>727</v>
      </c>
      <c r="S39" s="2"/>
      <c r="T39" s="2" t="s">
        <v>718</v>
      </c>
      <c r="U39" s="2"/>
      <c r="V39" s="2"/>
      <c r="W39" s="2"/>
      <c r="X39" s="2" t="s">
        <v>757</v>
      </c>
      <c r="Y39" s="2" t="s">
        <v>719</v>
      </c>
      <c r="Z39" s="130"/>
      <c r="AA39" s="2"/>
      <c r="AB39" s="2"/>
      <c r="AC39" s="2"/>
      <c r="AD39" s="2" t="s">
        <v>541</v>
      </c>
      <c r="AE39" s="2" t="s">
        <v>721</v>
      </c>
      <c r="AF39" s="2"/>
      <c r="AG39" s="2" t="s">
        <v>274</v>
      </c>
    </row>
    <row r="40" ht="15.0" customHeight="1">
      <c r="A40" s="2" t="s">
        <v>897</v>
      </c>
      <c r="B40" s="2" t="s">
        <v>703</v>
      </c>
      <c r="C40" s="2" t="s">
        <v>450</v>
      </c>
      <c r="D40" s="2" t="s">
        <v>898</v>
      </c>
      <c r="E40" s="2" t="s">
        <v>803</v>
      </c>
      <c r="F40" s="2" t="s">
        <v>760</v>
      </c>
      <c r="G40" s="2">
        <v>46.0</v>
      </c>
      <c r="H40" s="2" t="s">
        <v>739</v>
      </c>
      <c r="I40" s="2" t="s">
        <v>879</v>
      </c>
      <c r="J40" s="2">
        <v>32.0</v>
      </c>
      <c r="K40" s="2" t="s">
        <v>766</v>
      </c>
      <c r="L40" s="2" t="s">
        <v>851</v>
      </c>
      <c r="M40" s="2" t="s">
        <v>899</v>
      </c>
      <c r="N40" s="2" t="s">
        <v>900</v>
      </c>
      <c r="O40" s="2" t="s">
        <v>901</v>
      </c>
      <c r="P40" s="2" t="s">
        <v>714</v>
      </c>
      <c r="Q40" s="2" t="s">
        <v>715</v>
      </c>
      <c r="R40" s="2" t="s">
        <v>804</v>
      </c>
      <c r="S40" s="2" t="s">
        <v>717</v>
      </c>
      <c r="T40" s="2"/>
      <c r="U40" s="2"/>
      <c r="V40" s="2"/>
      <c r="W40" s="2"/>
      <c r="X40" s="2"/>
      <c r="Y40" s="2" t="s">
        <v>719</v>
      </c>
      <c r="Z40" s="130"/>
      <c r="AA40" s="2"/>
      <c r="AB40" s="2"/>
      <c r="AC40" s="2"/>
      <c r="AD40" s="2" t="s">
        <v>541</v>
      </c>
      <c r="AE40" s="2" t="s">
        <v>721</v>
      </c>
      <c r="AF40" s="2"/>
      <c r="AG40" s="2"/>
    </row>
    <row r="41" ht="15.0" customHeight="1">
      <c r="A41" s="2" t="s">
        <v>902</v>
      </c>
      <c r="B41" s="2" t="s">
        <v>703</v>
      </c>
      <c r="C41" s="2" t="s">
        <v>232</v>
      </c>
      <c r="D41" s="2" t="s">
        <v>231</v>
      </c>
      <c r="E41" s="2" t="s">
        <v>724</v>
      </c>
      <c r="F41" s="2" t="s">
        <v>706</v>
      </c>
      <c r="G41" s="2">
        <v>63.0</v>
      </c>
      <c r="H41" s="2" t="s">
        <v>707</v>
      </c>
      <c r="I41" s="2" t="s">
        <v>903</v>
      </c>
      <c r="J41" s="2">
        <v>32.0</v>
      </c>
      <c r="K41" s="2" t="s">
        <v>766</v>
      </c>
      <c r="L41" s="2" t="s">
        <v>761</v>
      </c>
      <c r="M41" s="2"/>
      <c r="N41" s="2" t="s">
        <v>844</v>
      </c>
      <c r="O41" s="2" t="s">
        <v>904</v>
      </c>
      <c r="P41" s="2" t="s">
        <v>714</v>
      </c>
      <c r="Q41" s="2" t="s">
        <v>715</v>
      </c>
      <c r="R41" s="2" t="s">
        <v>734</v>
      </c>
      <c r="S41" s="2" t="s">
        <v>717</v>
      </c>
      <c r="T41" s="2" t="s">
        <v>751</v>
      </c>
      <c r="U41" s="2"/>
      <c r="V41" s="2"/>
      <c r="W41" s="2"/>
      <c r="X41" s="2"/>
      <c r="Y41" s="2" t="s">
        <v>719</v>
      </c>
      <c r="Z41" s="130"/>
      <c r="AA41" s="2"/>
      <c r="AB41" s="2"/>
      <c r="AC41" s="2"/>
      <c r="AD41" s="2" t="s">
        <v>541</v>
      </c>
      <c r="AE41" s="2" t="s">
        <v>721</v>
      </c>
      <c r="AF41" s="2"/>
      <c r="AG41" s="2" t="s">
        <v>232</v>
      </c>
    </row>
    <row r="42" ht="15.0" customHeight="1">
      <c r="A42" s="2" t="s">
        <v>905</v>
      </c>
      <c r="B42" s="2" t="s">
        <v>703</v>
      </c>
      <c r="C42" s="2" t="s">
        <v>107</v>
      </c>
      <c r="D42" s="2" t="s">
        <v>106</v>
      </c>
      <c r="E42" s="2" t="s">
        <v>731</v>
      </c>
      <c r="F42" s="2" t="s">
        <v>738</v>
      </c>
      <c r="G42" s="2">
        <v>42.0</v>
      </c>
      <c r="H42" s="2" t="s">
        <v>739</v>
      </c>
      <c r="I42" s="2" t="s">
        <v>740</v>
      </c>
      <c r="J42" s="2">
        <v>16.0</v>
      </c>
      <c r="K42" s="2" t="s">
        <v>766</v>
      </c>
      <c r="L42" s="2" t="s">
        <v>741</v>
      </c>
      <c r="M42" s="2" t="s">
        <v>742</v>
      </c>
      <c r="N42" s="2" t="s">
        <v>844</v>
      </c>
      <c r="O42" s="2" t="s">
        <v>906</v>
      </c>
      <c r="P42" s="2" t="s">
        <v>714</v>
      </c>
      <c r="Q42" s="2" t="s">
        <v>715</v>
      </c>
      <c r="R42" s="2" t="s">
        <v>773</v>
      </c>
      <c r="S42" s="2" t="s">
        <v>717</v>
      </c>
      <c r="T42" s="2"/>
      <c r="U42" s="2"/>
      <c r="V42" s="2"/>
      <c r="W42" s="2"/>
      <c r="X42" s="2"/>
      <c r="Y42" s="2" t="s">
        <v>719</v>
      </c>
      <c r="Z42" s="130"/>
      <c r="AA42" s="2"/>
      <c r="AB42" s="2"/>
      <c r="AC42" s="2"/>
      <c r="AD42" s="2" t="s">
        <v>541</v>
      </c>
      <c r="AE42" s="2" t="s">
        <v>721</v>
      </c>
      <c r="AF42" s="2"/>
      <c r="AG42" s="2" t="s">
        <v>107</v>
      </c>
    </row>
    <row r="43" ht="15.0" customHeight="1">
      <c r="A43" s="2" t="s">
        <v>907</v>
      </c>
      <c r="B43" s="2" t="s">
        <v>703</v>
      </c>
      <c r="C43" s="2" t="s">
        <v>363</v>
      </c>
      <c r="D43" s="2" t="s">
        <v>908</v>
      </c>
      <c r="E43" s="2" t="s">
        <v>803</v>
      </c>
      <c r="F43" s="2" t="s">
        <v>738</v>
      </c>
      <c r="G43" s="2">
        <v>42.0</v>
      </c>
      <c r="H43" s="2" t="s">
        <v>739</v>
      </c>
      <c r="I43" s="2" t="s">
        <v>740</v>
      </c>
      <c r="J43" s="2">
        <v>16.0</v>
      </c>
      <c r="K43" s="2" t="s">
        <v>766</v>
      </c>
      <c r="L43" s="2" t="s">
        <v>741</v>
      </c>
      <c r="M43" s="2" t="s">
        <v>899</v>
      </c>
      <c r="N43" s="2" t="s">
        <v>909</v>
      </c>
      <c r="O43" s="2" t="s">
        <v>906</v>
      </c>
      <c r="P43" s="2" t="s">
        <v>714</v>
      </c>
      <c r="Q43" s="2" t="s">
        <v>715</v>
      </c>
      <c r="R43" s="2" t="s">
        <v>910</v>
      </c>
      <c r="S43" s="2"/>
      <c r="T43" s="2"/>
      <c r="U43" s="2"/>
      <c r="V43" s="2"/>
      <c r="W43" s="2"/>
      <c r="X43" s="2"/>
      <c r="Y43" s="2" t="s">
        <v>719</v>
      </c>
      <c r="Z43" s="130"/>
      <c r="AA43" s="2"/>
      <c r="AB43" s="2"/>
      <c r="AC43" s="2"/>
      <c r="AD43" s="2" t="s">
        <v>541</v>
      </c>
      <c r="AE43" s="2" t="s">
        <v>721</v>
      </c>
      <c r="AF43" s="2"/>
      <c r="AG43" s="2" t="s">
        <v>443</v>
      </c>
    </row>
    <row r="44" ht="15.0" customHeight="1">
      <c r="A44" s="2" t="s">
        <v>911</v>
      </c>
      <c r="B44" s="2" t="s">
        <v>703</v>
      </c>
      <c r="C44" s="2" t="s">
        <v>121</v>
      </c>
      <c r="D44" s="2" t="s">
        <v>120</v>
      </c>
      <c r="E44" s="2" t="s">
        <v>731</v>
      </c>
      <c r="F44" s="2" t="s">
        <v>738</v>
      </c>
      <c r="G44" s="2">
        <v>42.0</v>
      </c>
      <c r="H44" s="2" t="s">
        <v>739</v>
      </c>
      <c r="I44" s="2" t="s">
        <v>740</v>
      </c>
      <c r="J44" s="2">
        <v>16.0</v>
      </c>
      <c r="K44" s="2" t="s">
        <v>766</v>
      </c>
      <c r="L44" s="2" t="s">
        <v>741</v>
      </c>
      <c r="M44" s="2" t="s">
        <v>742</v>
      </c>
      <c r="N44" s="2" t="s">
        <v>912</v>
      </c>
      <c r="O44" s="2" t="s">
        <v>799</v>
      </c>
      <c r="P44" s="2" t="s">
        <v>714</v>
      </c>
      <c r="Q44" s="2" t="s">
        <v>715</v>
      </c>
      <c r="R44" s="2" t="s">
        <v>773</v>
      </c>
      <c r="S44" s="2"/>
      <c r="T44" s="2"/>
      <c r="U44" s="2"/>
      <c r="V44" s="2"/>
      <c r="W44" s="2"/>
      <c r="X44" s="2"/>
      <c r="Y44" s="2" t="s">
        <v>719</v>
      </c>
      <c r="Z44" s="130"/>
      <c r="AA44" s="2"/>
      <c r="AB44" s="2"/>
      <c r="AC44" s="2"/>
      <c r="AD44" s="2" t="s">
        <v>541</v>
      </c>
      <c r="AE44" s="2" t="s">
        <v>721</v>
      </c>
      <c r="AF44" s="2"/>
      <c r="AG44" s="2" t="s">
        <v>913</v>
      </c>
    </row>
    <row r="45" ht="15.0" customHeight="1">
      <c r="A45" s="2" t="s">
        <v>914</v>
      </c>
      <c r="B45" s="2" t="s">
        <v>703</v>
      </c>
      <c r="C45" s="2" t="s">
        <v>915</v>
      </c>
      <c r="D45" s="2" t="s">
        <v>916</v>
      </c>
      <c r="E45" s="2" t="s">
        <v>705</v>
      </c>
      <c r="F45" s="2" t="s">
        <v>738</v>
      </c>
      <c r="G45" s="2">
        <v>42.0</v>
      </c>
      <c r="H45" s="2" t="s">
        <v>739</v>
      </c>
      <c r="I45" s="2" t="s">
        <v>740</v>
      </c>
      <c r="J45" s="2">
        <v>16.0</v>
      </c>
      <c r="K45" s="2" t="s">
        <v>766</v>
      </c>
      <c r="L45" s="2" t="s">
        <v>741</v>
      </c>
      <c r="M45" s="2" t="s">
        <v>711</v>
      </c>
      <c r="N45" s="2" t="s">
        <v>844</v>
      </c>
      <c r="O45" s="2" t="s">
        <v>799</v>
      </c>
      <c r="P45" s="2" t="s">
        <v>714</v>
      </c>
      <c r="Q45" s="2" t="s">
        <v>715</v>
      </c>
      <c r="R45" s="2" t="s">
        <v>734</v>
      </c>
      <c r="S45" s="2"/>
      <c r="T45" s="2"/>
      <c r="U45" s="2"/>
      <c r="V45" s="2"/>
      <c r="W45" s="2"/>
      <c r="X45" s="2"/>
      <c r="Y45" s="2" t="s">
        <v>719</v>
      </c>
      <c r="Z45" s="130"/>
      <c r="AA45" s="2"/>
      <c r="AB45" s="2"/>
      <c r="AC45" s="2"/>
      <c r="AD45" s="2" t="s">
        <v>541</v>
      </c>
      <c r="AE45" s="2" t="s">
        <v>721</v>
      </c>
      <c r="AF45" s="2"/>
      <c r="AG45" s="2"/>
    </row>
    <row r="46" ht="15.0" customHeight="1">
      <c r="A46" s="2" t="s">
        <v>917</v>
      </c>
      <c r="B46" s="2" t="s">
        <v>703</v>
      </c>
      <c r="C46" s="2" t="s">
        <v>422</v>
      </c>
      <c r="D46" s="2" t="s">
        <v>918</v>
      </c>
      <c r="E46" s="2" t="s">
        <v>395</v>
      </c>
      <c r="F46" s="2" t="s">
        <v>738</v>
      </c>
      <c r="G46" s="2">
        <v>42.0</v>
      </c>
      <c r="H46" s="2" t="s">
        <v>739</v>
      </c>
      <c r="I46" s="2" t="s">
        <v>740</v>
      </c>
      <c r="J46" s="2">
        <v>16.0</v>
      </c>
      <c r="K46" s="2" t="s">
        <v>766</v>
      </c>
      <c r="L46" s="2" t="s">
        <v>741</v>
      </c>
      <c r="M46" s="2" t="s">
        <v>919</v>
      </c>
      <c r="N46" s="2" t="s">
        <v>844</v>
      </c>
      <c r="O46" s="2" t="s">
        <v>799</v>
      </c>
      <c r="P46" s="2" t="s">
        <v>714</v>
      </c>
      <c r="Q46" s="2" t="s">
        <v>715</v>
      </c>
      <c r="R46" s="2" t="s">
        <v>734</v>
      </c>
      <c r="S46" s="2"/>
      <c r="T46" s="2"/>
      <c r="U46" s="2"/>
      <c r="V46" s="2"/>
      <c r="W46" s="2"/>
      <c r="X46" s="2"/>
      <c r="Y46" s="2" t="s">
        <v>719</v>
      </c>
      <c r="Z46" s="130"/>
      <c r="AA46" s="2"/>
      <c r="AB46" s="2"/>
      <c r="AC46" s="2"/>
      <c r="AD46" s="2" t="s">
        <v>541</v>
      </c>
      <c r="AE46" s="2" t="s">
        <v>721</v>
      </c>
      <c r="AF46" s="2"/>
      <c r="AG46" s="2"/>
    </row>
    <row r="47" ht="15.0" customHeight="1">
      <c r="A47" s="2" t="s">
        <v>920</v>
      </c>
      <c r="B47" s="2" t="s">
        <v>703</v>
      </c>
      <c r="C47" s="2" t="s">
        <v>425</v>
      </c>
      <c r="D47" s="2" t="s">
        <v>921</v>
      </c>
      <c r="E47" s="2" t="s">
        <v>395</v>
      </c>
      <c r="F47" s="2" t="s">
        <v>738</v>
      </c>
      <c r="G47" s="2">
        <v>42.0</v>
      </c>
      <c r="H47" s="2" t="s">
        <v>739</v>
      </c>
      <c r="I47" s="2" t="s">
        <v>740</v>
      </c>
      <c r="J47" s="2">
        <v>16.0</v>
      </c>
      <c r="K47" s="2" t="s">
        <v>766</v>
      </c>
      <c r="L47" s="2" t="s">
        <v>741</v>
      </c>
      <c r="M47" s="2"/>
      <c r="N47" s="2" t="s">
        <v>844</v>
      </c>
      <c r="O47" s="2" t="s">
        <v>799</v>
      </c>
      <c r="P47" s="2" t="s">
        <v>714</v>
      </c>
      <c r="Q47" s="2" t="s">
        <v>715</v>
      </c>
      <c r="R47" s="2" t="s">
        <v>734</v>
      </c>
      <c r="S47" s="2" t="s">
        <v>717</v>
      </c>
      <c r="T47" s="2"/>
      <c r="U47" s="2"/>
      <c r="V47" s="2"/>
      <c r="W47" s="2"/>
      <c r="X47" s="2"/>
      <c r="Y47" s="2" t="s">
        <v>719</v>
      </c>
      <c r="Z47" s="130"/>
      <c r="AA47" s="2"/>
      <c r="AB47" s="2"/>
      <c r="AC47" s="2"/>
      <c r="AD47" s="2" t="s">
        <v>541</v>
      </c>
      <c r="AE47" s="2" t="s">
        <v>721</v>
      </c>
      <c r="AF47" s="2"/>
      <c r="AG47" s="2" t="s">
        <v>922</v>
      </c>
    </row>
    <row r="48" ht="15.0" customHeight="1">
      <c r="A48" s="2" t="s">
        <v>923</v>
      </c>
      <c r="B48" s="2" t="s">
        <v>703</v>
      </c>
      <c r="C48" s="2" t="s">
        <v>440</v>
      </c>
      <c r="D48" s="2" t="s">
        <v>924</v>
      </c>
      <c r="E48" s="2" t="s">
        <v>395</v>
      </c>
      <c r="F48" s="2" t="s">
        <v>738</v>
      </c>
      <c r="G48" s="2">
        <v>42.0</v>
      </c>
      <c r="H48" s="2" t="s">
        <v>739</v>
      </c>
      <c r="I48" s="2" t="s">
        <v>740</v>
      </c>
      <c r="J48" s="2">
        <v>16.0</v>
      </c>
      <c r="K48" s="2" t="s">
        <v>766</v>
      </c>
      <c r="L48" s="2" t="s">
        <v>741</v>
      </c>
      <c r="M48" s="2" t="s">
        <v>919</v>
      </c>
      <c r="N48" s="2" t="s">
        <v>925</v>
      </c>
      <c r="O48" s="2" t="s">
        <v>799</v>
      </c>
      <c r="P48" s="2" t="s">
        <v>714</v>
      </c>
      <c r="Q48" s="2" t="s">
        <v>715</v>
      </c>
      <c r="R48" s="2" t="s">
        <v>926</v>
      </c>
      <c r="S48" s="2"/>
      <c r="T48" s="2" t="s">
        <v>751</v>
      </c>
      <c r="U48" s="2"/>
      <c r="V48" s="2"/>
      <c r="W48" s="2"/>
      <c r="X48" s="2"/>
      <c r="Y48" s="2" t="s">
        <v>719</v>
      </c>
      <c r="Z48" s="130"/>
      <c r="AA48" s="2"/>
      <c r="AB48" s="2"/>
      <c r="AC48" s="2"/>
      <c r="AD48" s="2" t="s">
        <v>541</v>
      </c>
      <c r="AE48" s="2" t="s">
        <v>721</v>
      </c>
      <c r="AF48" s="2"/>
      <c r="AG48" s="2" t="s">
        <v>440</v>
      </c>
    </row>
    <row r="49" ht="15.0" customHeight="1">
      <c r="A49" s="2" t="s">
        <v>927</v>
      </c>
      <c r="B49" s="2" t="s">
        <v>703</v>
      </c>
      <c r="C49" s="2"/>
      <c r="D49" s="2"/>
      <c r="E49" s="2" t="s">
        <v>867</v>
      </c>
      <c r="F49" s="2" t="s">
        <v>738</v>
      </c>
      <c r="G49" s="2">
        <v>30.0</v>
      </c>
      <c r="H49" s="2" t="s">
        <v>807</v>
      </c>
      <c r="I49" s="2" t="s">
        <v>928</v>
      </c>
      <c r="J49" s="2">
        <v>16.0</v>
      </c>
      <c r="K49" s="2" t="s">
        <v>766</v>
      </c>
      <c r="L49" s="2" t="s">
        <v>839</v>
      </c>
      <c r="M49" s="2"/>
      <c r="N49" s="2" t="s">
        <v>798</v>
      </c>
      <c r="O49" s="2" t="s">
        <v>869</v>
      </c>
      <c r="P49" s="2" t="s">
        <v>714</v>
      </c>
      <c r="Q49" s="2" t="s">
        <v>715</v>
      </c>
      <c r="R49" s="2" t="s">
        <v>734</v>
      </c>
      <c r="S49" s="2"/>
      <c r="T49" s="2"/>
      <c r="U49" s="2"/>
      <c r="V49" s="2"/>
      <c r="W49" s="2"/>
      <c r="X49" s="2"/>
      <c r="Y49" s="2" t="s">
        <v>719</v>
      </c>
      <c r="Z49" s="130"/>
      <c r="AA49" s="2"/>
      <c r="AB49" s="2"/>
      <c r="AC49" s="2"/>
      <c r="AD49" s="2" t="s">
        <v>541</v>
      </c>
      <c r="AE49" s="2"/>
      <c r="AF49" s="2"/>
      <c r="AG49" s="2"/>
    </row>
    <row r="50" ht="15.0" customHeight="1">
      <c r="A50" s="2" t="s">
        <v>929</v>
      </c>
      <c r="B50" s="2" t="s">
        <v>703</v>
      </c>
      <c r="C50" s="2" t="s">
        <v>316</v>
      </c>
      <c r="D50" s="2" t="s">
        <v>930</v>
      </c>
      <c r="E50" s="2" t="s">
        <v>737</v>
      </c>
      <c r="F50" s="2" t="s">
        <v>738</v>
      </c>
      <c r="G50" s="2">
        <v>42.0</v>
      </c>
      <c r="H50" s="2" t="s">
        <v>739</v>
      </c>
      <c r="I50" s="2" t="s">
        <v>740</v>
      </c>
      <c r="J50" s="2">
        <v>16.0</v>
      </c>
      <c r="K50" s="2" t="s">
        <v>766</v>
      </c>
      <c r="L50" s="2" t="s">
        <v>741</v>
      </c>
      <c r="M50" s="2" t="s">
        <v>742</v>
      </c>
      <c r="N50" s="2" t="s">
        <v>931</v>
      </c>
      <c r="O50" s="2" t="s">
        <v>799</v>
      </c>
      <c r="P50" s="2" t="s">
        <v>714</v>
      </c>
      <c r="Q50" s="2" t="s">
        <v>715</v>
      </c>
      <c r="R50" s="2" t="s">
        <v>734</v>
      </c>
      <c r="S50" s="2"/>
      <c r="T50" s="2" t="s">
        <v>718</v>
      </c>
      <c r="U50" s="2"/>
      <c r="V50" s="2"/>
      <c r="W50" s="2"/>
      <c r="X50" s="2"/>
      <c r="Y50" s="2" t="s">
        <v>719</v>
      </c>
      <c r="Z50" s="130"/>
      <c r="AA50" s="2"/>
      <c r="AB50" s="2"/>
      <c r="AC50" s="2"/>
      <c r="AD50" s="2" t="s">
        <v>541</v>
      </c>
      <c r="AE50" s="2" t="s">
        <v>721</v>
      </c>
      <c r="AF50" s="2"/>
      <c r="AG50" s="2" t="s">
        <v>316</v>
      </c>
    </row>
    <row r="51" ht="15.0" customHeight="1">
      <c r="A51" s="2" t="s">
        <v>932</v>
      </c>
      <c r="B51" s="2" t="s">
        <v>703</v>
      </c>
      <c r="C51" s="2" t="s">
        <v>401</v>
      </c>
      <c r="D51" s="2" t="s">
        <v>400</v>
      </c>
      <c r="E51" s="2" t="s">
        <v>395</v>
      </c>
      <c r="F51" s="2" t="s">
        <v>738</v>
      </c>
      <c r="G51" s="2">
        <v>42.0</v>
      </c>
      <c r="H51" s="2" t="s">
        <v>739</v>
      </c>
      <c r="I51" s="2" t="s">
        <v>740</v>
      </c>
      <c r="J51" s="2">
        <v>16.0</v>
      </c>
      <c r="K51" s="2" t="s">
        <v>766</v>
      </c>
      <c r="L51" s="2" t="s">
        <v>741</v>
      </c>
      <c r="M51" s="2" t="s">
        <v>919</v>
      </c>
      <c r="N51" s="2" t="s">
        <v>798</v>
      </c>
      <c r="O51" s="2" t="s">
        <v>799</v>
      </c>
      <c r="P51" s="2" t="s">
        <v>714</v>
      </c>
      <c r="Q51" s="2" t="s">
        <v>715</v>
      </c>
      <c r="R51" s="2" t="s">
        <v>734</v>
      </c>
      <c r="S51" s="2"/>
      <c r="T51" s="2" t="s">
        <v>751</v>
      </c>
      <c r="U51" s="2"/>
      <c r="V51" s="2"/>
      <c r="W51" s="2"/>
      <c r="X51" s="2"/>
      <c r="Y51" s="2" t="s">
        <v>719</v>
      </c>
      <c r="Z51" s="130"/>
      <c r="AA51" s="2"/>
      <c r="AB51" s="2"/>
      <c r="AC51" s="2"/>
      <c r="AD51" s="2" t="s">
        <v>541</v>
      </c>
      <c r="AE51" s="2" t="s">
        <v>721</v>
      </c>
      <c r="AF51" s="2"/>
      <c r="AG51" s="2" t="s">
        <v>401</v>
      </c>
    </row>
    <row r="52" ht="15.0" customHeight="1">
      <c r="A52" s="2" t="s">
        <v>933</v>
      </c>
      <c r="B52" s="2" t="s">
        <v>703</v>
      </c>
      <c r="C52" s="2" t="s">
        <v>363</v>
      </c>
      <c r="D52" s="2" t="s">
        <v>824</v>
      </c>
      <c r="E52" s="2" t="s">
        <v>803</v>
      </c>
      <c r="F52" s="2" t="s">
        <v>738</v>
      </c>
      <c r="G52" s="2">
        <v>42.0</v>
      </c>
      <c r="H52" s="2" t="s">
        <v>739</v>
      </c>
      <c r="I52" s="2" t="s">
        <v>740</v>
      </c>
      <c r="J52" s="2">
        <v>16.0</v>
      </c>
      <c r="K52" s="2" t="s">
        <v>766</v>
      </c>
      <c r="L52" s="2" t="s">
        <v>741</v>
      </c>
      <c r="M52" s="2"/>
      <c r="N52" s="2" t="s">
        <v>798</v>
      </c>
      <c r="O52" s="2" t="s">
        <v>799</v>
      </c>
      <c r="P52" s="2" t="s">
        <v>714</v>
      </c>
      <c r="Q52" s="2" t="s">
        <v>715</v>
      </c>
      <c r="R52" s="2" t="s">
        <v>804</v>
      </c>
      <c r="S52" s="2"/>
      <c r="T52" s="2" t="s">
        <v>751</v>
      </c>
      <c r="U52" s="2"/>
      <c r="V52" s="2"/>
      <c r="W52" s="2"/>
      <c r="X52" s="2"/>
      <c r="Y52" s="2" t="s">
        <v>719</v>
      </c>
      <c r="Z52" s="130"/>
      <c r="AA52" s="2"/>
      <c r="AB52" s="2"/>
      <c r="AC52" s="2"/>
      <c r="AD52" s="2" t="s">
        <v>541</v>
      </c>
      <c r="AE52" s="2" t="s">
        <v>721</v>
      </c>
      <c r="AF52" s="2"/>
      <c r="AG52" s="2" t="s">
        <v>301</v>
      </c>
    </row>
    <row r="53" ht="15.0" customHeight="1">
      <c r="A53" s="2" t="s">
        <v>934</v>
      </c>
      <c r="B53" s="2" t="s">
        <v>703</v>
      </c>
      <c r="C53" s="2"/>
      <c r="D53" s="2"/>
      <c r="E53" s="2" t="s">
        <v>867</v>
      </c>
      <c r="F53" s="2" t="s">
        <v>738</v>
      </c>
      <c r="G53" s="2">
        <v>43.0</v>
      </c>
      <c r="H53" s="2" t="s">
        <v>739</v>
      </c>
      <c r="I53" s="2" t="s">
        <v>928</v>
      </c>
      <c r="J53" s="2">
        <v>32.0</v>
      </c>
      <c r="K53" s="2" t="s">
        <v>766</v>
      </c>
      <c r="L53" s="2" t="s">
        <v>851</v>
      </c>
      <c r="M53" s="2"/>
      <c r="N53" s="2" t="s">
        <v>798</v>
      </c>
      <c r="O53" s="2" t="s">
        <v>935</v>
      </c>
      <c r="P53" s="2" t="s">
        <v>714</v>
      </c>
      <c r="Q53" s="2" t="s">
        <v>715</v>
      </c>
      <c r="R53" s="2" t="s">
        <v>734</v>
      </c>
      <c r="S53" s="2"/>
      <c r="T53" s="2"/>
      <c r="U53" s="2"/>
      <c r="V53" s="2"/>
      <c r="W53" s="2"/>
      <c r="X53" s="2"/>
      <c r="Y53" s="2" t="s">
        <v>719</v>
      </c>
      <c r="Z53" s="130"/>
      <c r="AA53" s="2"/>
      <c r="AB53" s="2"/>
      <c r="AC53" s="2"/>
      <c r="AD53" s="2" t="s">
        <v>541</v>
      </c>
      <c r="AE53" s="2" t="s">
        <v>721</v>
      </c>
      <c r="AF53" s="2"/>
      <c r="AG53" s="2"/>
    </row>
    <row r="54" ht="15.0" customHeight="1">
      <c r="A54" s="2" t="s">
        <v>936</v>
      </c>
      <c r="B54" s="2" t="s">
        <v>703</v>
      </c>
      <c r="C54" s="2" t="s">
        <v>345</v>
      </c>
      <c r="D54" s="2" t="s">
        <v>937</v>
      </c>
      <c r="E54" s="2" t="s">
        <v>705</v>
      </c>
      <c r="F54" s="2" t="s">
        <v>738</v>
      </c>
      <c r="G54" s="2">
        <v>42.0</v>
      </c>
      <c r="H54" s="2" t="s">
        <v>739</v>
      </c>
      <c r="I54" s="2" t="s">
        <v>740</v>
      </c>
      <c r="J54" s="2">
        <v>16.0</v>
      </c>
      <c r="K54" s="2" t="s">
        <v>756</v>
      </c>
      <c r="L54" s="2" t="s">
        <v>741</v>
      </c>
      <c r="M54" s="2" t="s">
        <v>711</v>
      </c>
      <c r="N54" s="2" t="s">
        <v>798</v>
      </c>
      <c r="O54" s="2" t="s">
        <v>799</v>
      </c>
      <c r="P54" s="2" t="s">
        <v>714</v>
      </c>
      <c r="Q54" s="2" t="s">
        <v>715</v>
      </c>
      <c r="R54" s="2" t="s">
        <v>734</v>
      </c>
      <c r="S54" s="2"/>
      <c r="T54" s="2" t="s">
        <v>751</v>
      </c>
      <c r="U54" s="2"/>
      <c r="V54" s="2"/>
      <c r="W54" s="2"/>
      <c r="X54" s="2"/>
      <c r="Y54" s="2" t="s">
        <v>719</v>
      </c>
      <c r="Z54" s="130"/>
      <c r="AA54" s="2"/>
      <c r="AB54" s="2"/>
      <c r="AC54" s="2"/>
      <c r="AD54" s="2" t="s">
        <v>541</v>
      </c>
      <c r="AE54" s="2" t="s">
        <v>721</v>
      </c>
      <c r="AF54" s="2"/>
      <c r="AG54" s="2" t="s">
        <v>345</v>
      </c>
    </row>
    <row r="55" ht="15.0" customHeight="1">
      <c r="A55" s="2" t="s">
        <v>938</v>
      </c>
      <c r="B55" s="2" t="s">
        <v>703</v>
      </c>
      <c r="C55" s="2" t="s">
        <v>83</v>
      </c>
      <c r="D55" s="2" t="s">
        <v>939</v>
      </c>
      <c r="E55" s="2" t="s">
        <v>731</v>
      </c>
      <c r="F55" s="2" t="s">
        <v>873</v>
      </c>
      <c r="G55" s="2">
        <v>90.0</v>
      </c>
      <c r="H55" s="2" t="s">
        <v>874</v>
      </c>
      <c r="I55" s="2" t="s">
        <v>875</v>
      </c>
      <c r="J55" s="2">
        <v>64.0</v>
      </c>
      <c r="K55" s="2" t="s">
        <v>709</v>
      </c>
      <c r="L55" s="2" t="s">
        <v>940</v>
      </c>
      <c r="M55" s="2" t="s">
        <v>733</v>
      </c>
      <c r="N55" s="2" t="s">
        <v>712</v>
      </c>
      <c r="O55" s="2" t="s">
        <v>941</v>
      </c>
      <c r="P55" s="2" t="s">
        <v>714</v>
      </c>
      <c r="Q55" s="2" t="s">
        <v>715</v>
      </c>
      <c r="R55" s="2" t="s">
        <v>727</v>
      </c>
      <c r="S55" s="2" t="s">
        <v>942</v>
      </c>
      <c r="T55" s="2"/>
      <c r="U55" s="2"/>
      <c r="V55" s="2"/>
      <c r="W55" s="2"/>
      <c r="X55" s="2" t="s">
        <v>757</v>
      </c>
      <c r="Y55" s="2" t="s">
        <v>719</v>
      </c>
      <c r="Z55" s="130"/>
      <c r="AA55" s="2" t="s">
        <v>720</v>
      </c>
      <c r="AB55" s="2"/>
      <c r="AC55" s="2"/>
      <c r="AD55" s="2" t="s">
        <v>541</v>
      </c>
      <c r="AE55" s="2" t="s">
        <v>721</v>
      </c>
      <c r="AF55" s="2"/>
      <c r="AG55" s="2"/>
    </row>
    <row r="56" ht="15.0" customHeight="1">
      <c r="A56" s="2" t="s">
        <v>943</v>
      </c>
      <c r="B56" s="2" t="s">
        <v>703</v>
      </c>
      <c r="C56" s="2" t="s">
        <v>944</v>
      </c>
      <c r="D56" s="2" t="s">
        <v>945</v>
      </c>
      <c r="E56" s="2" t="s">
        <v>395</v>
      </c>
      <c r="F56" s="2" t="s">
        <v>873</v>
      </c>
      <c r="G56" s="2">
        <v>89.0</v>
      </c>
      <c r="H56" s="2" t="s">
        <v>874</v>
      </c>
      <c r="I56" s="2" t="s">
        <v>875</v>
      </c>
      <c r="J56" s="2">
        <v>32.0</v>
      </c>
      <c r="K56" s="2" t="s">
        <v>766</v>
      </c>
      <c r="L56" s="2" t="s">
        <v>876</v>
      </c>
      <c r="M56" s="2"/>
      <c r="N56" s="2" t="s">
        <v>712</v>
      </c>
      <c r="O56" s="2" t="s">
        <v>877</v>
      </c>
      <c r="P56" s="2" t="s">
        <v>714</v>
      </c>
      <c r="Q56" s="2" t="s">
        <v>715</v>
      </c>
      <c r="R56" s="2" t="s">
        <v>734</v>
      </c>
      <c r="S56" s="2"/>
      <c r="T56" s="2" t="s">
        <v>751</v>
      </c>
      <c r="U56" s="2"/>
      <c r="V56" s="2"/>
      <c r="W56" s="2"/>
      <c r="X56" s="2"/>
      <c r="Y56" s="2" t="s">
        <v>719</v>
      </c>
      <c r="Z56" s="130"/>
      <c r="AA56" s="2" t="s">
        <v>720</v>
      </c>
      <c r="AB56" s="2"/>
      <c r="AC56" s="2"/>
      <c r="AD56" s="2" t="s">
        <v>541</v>
      </c>
      <c r="AE56" s="2" t="s">
        <v>721</v>
      </c>
      <c r="AF56" s="2"/>
      <c r="AG56" s="2"/>
    </row>
    <row r="57" ht="15.0" customHeight="1">
      <c r="A57" s="2" t="s">
        <v>946</v>
      </c>
      <c r="B57" s="2" t="s">
        <v>703</v>
      </c>
      <c r="C57" s="2"/>
      <c r="D57" s="2"/>
      <c r="E57" s="2" t="s">
        <v>867</v>
      </c>
      <c r="F57" s="2" t="s">
        <v>760</v>
      </c>
      <c r="G57" s="2">
        <v>48.0</v>
      </c>
      <c r="H57" s="2" t="s">
        <v>739</v>
      </c>
      <c r="I57" s="2" t="s">
        <v>947</v>
      </c>
      <c r="J57" s="2">
        <v>64.0</v>
      </c>
      <c r="K57" s="2" t="s">
        <v>766</v>
      </c>
      <c r="L57" s="2" t="s">
        <v>851</v>
      </c>
      <c r="M57" s="2"/>
      <c r="N57" s="2" t="s">
        <v>798</v>
      </c>
      <c r="O57" s="2" t="s">
        <v>935</v>
      </c>
      <c r="P57" s="2" t="s">
        <v>714</v>
      </c>
      <c r="Q57" s="2" t="s">
        <v>715</v>
      </c>
      <c r="R57" s="2" t="s">
        <v>734</v>
      </c>
      <c r="S57" s="2"/>
      <c r="T57" s="2"/>
      <c r="U57" s="2"/>
      <c r="V57" s="2"/>
      <c r="W57" s="2"/>
      <c r="X57" s="2"/>
      <c r="Y57" s="2" t="s">
        <v>719</v>
      </c>
      <c r="Z57" s="130"/>
      <c r="AA57" s="2"/>
      <c r="AB57" s="2"/>
      <c r="AC57" s="2"/>
      <c r="AD57" s="2" t="s">
        <v>541</v>
      </c>
      <c r="AE57" s="2"/>
      <c r="AF57" s="2"/>
      <c r="AG57" s="2"/>
    </row>
    <row r="58" ht="15.0" customHeight="1">
      <c r="A58" s="2" t="s">
        <v>948</v>
      </c>
      <c r="B58" s="2" t="s">
        <v>703</v>
      </c>
      <c r="C58" s="2" t="s">
        <v>271</v>
      </c>
      <c r="D58" s="2" t="s">
        <v>949</v>
      </c>
      <c r="E58" s="2" t="s">
        <v>252</v>
      </c>
      <c r="F58" s="2" t="s">
        <v>760</v>
      </c>
      <c r="G58" s="2">
        <v>60.0</v>
      </c>
      <c r="H58" s="2" t="s">
        <v>739</v>
      </c>
      <c r="I58" s="2" t="s">
        <v>950</v>
      </c>
      <c r="J58" s="2">
        <v>16.0</v>
      </c>
      <c r="K58" s="2" t="s">
        <v>766</v>
      </c>
      <c r="L58" s="2" t="s">
        <v>951</v>
      </c>
      <c r="M58" s="2" t="s">
        <v>952</v>
      </c>
      <c r="N58" s="2" t="s">
        <v>953</v>
      </c>
      <c r="O58" s="2" t="s">
        <v>935</v>
      </c>
      <c r="P58" s="2" t="s">
        <v>714</v>
      </c>
      <c r="Q58" s="2" t="s">
        <v>715</v>
      </c>
      <c r="R58" s="2" t="s">
        <v>954</v>
      </c>
      <c r="S58" s="2"/>
      <c r="T58" s="2"/>
      <c r="U58" s="2"/>
      <c r="V58" s="2" t="s">
        <v>757</v>
      </c>
      <c r="W58" s="2"/>
      <c r="X58" s="2"/>
      <c r="Y58" s="2" t="s">
        <v>719</v>
      </c>
      <c r="Z58" s="130"/>
      <c r="AA58" s="2"/>
      <c r="AB58" s="2"/>
      <c r="AC58" s="2"/>
      <c r="AD58" s="2" t="s">
        <v>541</v>
      </c>
      <c r="AE58" s="2" t="s">
        <v>721</v>
      </c>
      <c r="AF58" s="2"/>
      <c r="AG58" s="2" t="s">
        <v>271</v>
      </c>
    </row>
    <row r="59" ht="15.0" customHeight="1">
      <c r="A59" s="2" t="s">
        <v>955</v>
      </c>
      <c r="B59" s="2" t="s">
        <v>703</v>
      </c>
      <c r="C59" s="2" t="s">
        <v>304</v>
      </c>
      <c r="D59" s="2" t="s">
        <v>956</v>
      </c>
      <c r="E59" s="2" t="s">
        <v>737</v>
      </c>
      <c r="F59" s="2" t="s">
        <v>760</v>
      </c>
      <c r="G59" s="2">
        <v>49.0</v>
      </c>
      <c r="H59" s="2" t="s">
        <v>739</v>
      </c>
      <c r="I59" s="2" t="s">
        <v>950</v>
      </c>
      <c r="J59" s="2">
        <v>16.0</v>
      </c>
      <c r="K59" s="2" t="s">
        <v>766</v>
      </c>
      <c r="L59" s="2" t="s">
        <v>957</v>
      </c>
      <c r="M59" s="2" t="s">
        <v>742</v>
      </c>
      <c r="N59" s="2" t="s">
        <v>953</v>
      </c>
      <c r="O59" s="2" t="s">
        <v>935</v>
      </c>
      <c r="P59" s="2" t="s">
        <v>714</v>
      </c>
      <c r="Q59" s="2" t="s">
        <v>715</v>
      </c>
      <c r="R59" s="2" t="s">
        <v>734</v>
      </c>
      <c r="S59" s="2"/>
      <c r="T59" s="2" t="s">
        <v>751</v>
      </c>
      <c r="U59" s="2"/>
      <c r="V59" s="2"/>
      <c r="W59" s="2"/>
      <c r="X59" s="2"/>
      <c r="Y59" s="2" t="s">
        <v>719</v>
      </c>
      <c r="Z59" s="130"/>
      <c r="AA59" s="2"/>
      <c r="AB59" s="2"/>
      <c r="AC59" s="2"/>
      <c r="AD59" s="2" t="s">
        <v>541</v>
      </c>
      <c r="AE59" s="2" t="s">
        <v>721</v>
      </c>
      <c r="AF59" s="2"/>
      <c r="AG59" s="2" t="s">
        <v>304</v>
      </c>
    </row>
    <row r="60" ht="15.0" customHeight="1">
      <c r="A60" s="2" t="s">
        <v>958</v>
      </c>
      <c r="B60" s="2" t="s">
        <v>703</v>
      </c>
      <c r="C60" s="2" t="s">
        <v>431</v>
      </c>
      <c r="D60" s="2" t="s">
        <v>959</v>
      </c>
      <c r="E60" s="2" t="s">
        <v>395</v>
      </c>
      <c r="F60" s="2" t="s">
        <v>760</v>
      </c>
      <c r="G60" s="2">
        <v>49.0</v>
      </c>
      <c r="H60" s="2" t="s">
        <v>739</v>
      </c>
      <c r="I60" s="2" t="s">
        <v>950</v>
      </c>
      <c r="J60" s="2">
        <v>16.0</v>
      </c>
      <c r="K60" s="2" t="s">
        <v>725</v>
      </c>
      <c r="L60" s="2" t="s">
        <v>957</v>
      </c>
      <c r="M60" s="2"/>
      <c r="N60" s="2" t="s">
        <v>953</v>
      </c>
      <c r="O60" s="2" t="s">
        <v>935</v>
      </c>
      <c r="P60" s="2" t="s">
        <v>714</v>
      </c>
      <c r="Q60" s="2" t="s">
        <v>715</v>
      </c>
      <c r="R60" s="2" t="s">
        <v>734</v>
      </c>
      <c r="S60" s="2"/>
      <c r="T60" s="2" t="s">
        <v>751</v>
      </c>
      <c r="U60" s="2"/>
      <c r="V60" s="2"/>
      <c r="W60" s="2"/>
      <c r="X60" s="2"/>
      <c r="Y60" s="2" t="s">
        <v>719</v>
      </c>
      <c r="Z60" s="130"/>
      <c r="AA60" s="2"/>
      <c r="AB60" s="2"/>
      <c r="AC60" s="2"/>
      <c r="AD60" s="2" t="s">
        <v>541</v>
      </c>
      <c r="AE60" s="2" t="s">
        <v>721</v>
      </c>
      <c r="AF60" s="2"/>
      <c r="AG60" s="2" t="s">
        <v>431</v>
      </c>
    </row>
    <row r="61" ht="15.0" customHeight="1">
      <c r="A61" s="2" t="s">
        <v>960</v>
      </c>
      <c r="B61" s="2" t="s">
        <v>703</v>
      </c>
      <c r="C61" s="2"/>
      <c r="D61" s="2"/>
      <c r="E61" s="2" t="s">
        <v>787</v>
      </c>
      <c r="F61" s="2" t="s">
        <v>760</v>
      </c>
      <c r="G61" s="2">
        <v>55.0</v>
      </c>
      <c r="H61" s="2" t="s">
        <v>739</v>
      </c>
      <c r="I61" s="2" t="s">
        <v>708</v>
      </c>
      <c r="J61" s="2">
        <v>16.0</v>
      </c>
      <c r="K61" s="2" t="s">
        <v>725</v>
      </c>
      <c r="L61" s="2" t="s">
        <v>767</v>
      </c>
      <c r="M61" s="2"/>
      <c r="N61" s="2" t="s">
        <v>748</v>
      </c>
      <c r="O61" s="2" t="s">
        <v>713</v>
      </c>
      <c r="P61" s="2" t="s">
        <v>714</v>
      </c>
      <c r="Q61" s="2" t="s">
        <v>715</v>
      </c>
      <c r="R61" s="2" t="s">
        <v>734</v>
      </c>
      <c r="S61" s="2" t="s">
        <v>961</v>
      </c>
      <c r="T61" s="2" t="s">
        <v>751</v>
      </c>
      <c r="U61" s="2"/>
      <c r="V61" s="2"/>
      <c r="W61" s="2"/>
      <c r="X61" s="2"/>
      <c r="Y61" s="2" t="s">
        <v>719</v>
      </c>
      <c r="Z61" s="130"/>
      <c r="AA61" s="2"/>
      <c r="AB61" s="2"/>
      <c r="AC61" s="2"/>
      <c r="AD61" s="2" t="s">
        <v>541</v>
      </c>
      <c r="AE61" s="2" t="s">
        <v>721</v>
      </c>
      <c r="AF61" s="2"/>
      <c r="AG61" s="2"/>
    </row>
    <row r="62" ht="15.0" customHeight="1">
      <c r="A62" s="2" t="s">
        <v>962</v>
      </c>
      <c r="B62" s="2" t="s">
        <v>703</v>
      </c>
      <c r="C62" s="2" t="s">
        <v>330</v>
      </c>
      <c r="D62" s="2" t="s">
        <v>963</v>
      </c>
      <c r="E62" s="2" t="s">
        <v>705</v>
      </c>
      <c r="F62" s="2" t="s">
        <v>760</v>
      </c>
      <c r="G62" s="2">
        <v>49.0</v>
      </c>
      <c r="H62" s="2" t="s">
        <v>739</v>
      </c>
      <c r="I62" s="2" t="s">
        <v>950</v>
      </c>
      <c r="J62" s="2">
        <v>16.0</v>
      </c>
      <c r="K62" s="2" t="s">
        <v>725</v>
      </c>
      <c r="L62" s="2" t="s">
        <v>957</v>
      </c>
      <c r="M62" s="2" t="s">
        <v>964</v>
      </c>
      <c r="N62" s="2" t="s">
        <v>953</v>
      </c>
      <c r="O62" s="2" t="s">
        <v>965</v>
      </c>
      <c r="P62" s="2" t="s">
        <v>714</v>
      </c>
      <c r="Q62" s="2" t="s">
        <v>715</v>
      </c>
      <c r="R62" s="2" t="s">
        <v>727</v>
      </c>
      <c r="S62" s="2"/>
      <c r="T62" s="2"/>
      <c r="U62" s="2"/>
      <c r="V62" s="2"/>
      <c r="W62" s="2"/>
      <c r="X62" s="2"/>
      <c r="Y62" s="2" t="s">
        <v>719</v>
      </c>
      <c r="Z62" s="130"/>
      <c r="AA62" s="2"/>
      <c r="AB62" s="2"/>
      <c r="AC62" s="2"/>
      <c r="AD62" s="2" t="s">
        <v>541</v>
      </c>
      <c r="AE62" s="2" t="s">
        <v>721</v>
      </c>
      <c r="AF62" s="2"/>
      <c r="AG62" s="2"/>
    </row>
    <row r="63" ht="15.0" customHeight="1">
      <c r="A63" s="2" t="s">
        <v>966</v>
      </c>
      <c r="B63" s="2" t="s">
        <v>703</v>
      </c>
      <c r="C63" s="2" t="s">
        <v>413</v>
      </c>
      <c r="D63" s="2" t="s">
        <v>967</v>
      </c>
      <c r="E63" s="2" t="s">
        <v>395</v>
      </c>
      <c r="F63" s="2" t="s">
        <v>760</v>
      </c>
      <c r="G63" s="2">
        <v>49.0</v>
      </c>
      <c r="H63" s="2" t="s">
        <v>739</v>
      </c>
      <c r="I63" s="2" t="s">
        <v>950</v>
      </c>
      <c r="J63" s="2">
        <v>16.0</v>
      </c>
      <c r="K63" s="2" t="s">
        <v>766</v>
      </c>
      <c r="L63" s="2" t="s">
        <v>957</v>
      </c>
      <c r="M63" s="2"/>
      <c r="N63" s="2" t="s">
        <v>953</v>
      </c>
      <c r="O63" s="2" t="s">
        <v>965</v>
      </c>
      <c r="P63" s="2" t="s">
        <v>714</v>
      </c>
      <c r="Q63" s="2" t="s">
        <v>715</v>
      </c>
      <c r="R63" s="2" t="s">
        <v>727</v>
      </c>
      <c r="S63" s="2" t="s">
        <v>717</v>
      </c>
      <c r="T63" s="2"/>
      <c r="U63" s="2"/>
      <c r="V63" s="2"/>
      <c r="W63" s="2"/>
      <c r="X63" s="2"/>
      <c r="Y63" s="2" t="s">
        <v>719</v>
      </c>
      <c r="Z63" s="130"/>
      <c r="AA63" s="2"/>
      <c r="AB63" s="2"/>
      <c r="AC63" s="2"/>
      <c r="AD63" s="2" t="s">
        <v>541</v>
      </c>
      <c r="AE63" s="2"/>
      <c r="AF63" s="2"/>
      <c r="AG63" s="2" t="s">
        <v>413</v>
      </c>
    </row>
    <row r="64" ht="15.0" customHeight="1">
      <c r="A64" s="2" t="s">
        <v>968</v>
      </c>
      <c r="B64" s="2" t="s">
        <v>703</v>
      </c>
      <c r="C64" s="2" t="s">
        <v>324</v>
      </c>
      <c r="D64" s="2" t="s">
        <v>323</v>
      </c>
      <c r="E64" s="2" t="s">
        <v>705</v>
      </c>
      <c r="F64" s="2" t="s">
        <v>738</v>
      </c>
      <c r="G64" s="2">
        <v>42.0</v>
      </c>
      <c r="H64" s="2" t="s">
        <v>969</v>
      </c>
      <c r="I64" s="2" t="s">
        <v>950</v>
      </c>
      <c r="J64" s="2">
        <v>8.0</v>
      </c>
      <c r="K64" s="2" t="s">
        <v>766</v>
      </c>
      <c r="L64" s="2" t="s">
        <v>957</v>
      </c>
      <c r="M64" s="2" t="s">
        <v>711</v>
      </c>
      <c r="N64" s="2" t="s">
        <v>953</v>
      </c>
      <c r="O64" s="2" t="s">
        <v>965</v>
      </c>
      <c r="P64" s="2" t="s">
        <v>714</v>
      </c>
      <c r="Q64" s="2" t="s">
        <v>715</v>
      </c>
      <c r="R64" s="2" t="s">
        <v>734</v>
      </c>
      <c r="S64" s="2"/>
      <c r="T64" s="2"/>
      <c r="U64" s="2"/>
      <c r="V64" s="2"/>
      <c r="W64" s="2"/>
      <c r="X64" s="2"/>
      <c r="Y64" s="2" t="s">
        <v>719</v>
      </c>
      <c r="Z64" s="130"/>
      <c r="AA64" s="2"/>
      <c r="AB64" s="2"/>
      <c r="AC64" s="2"/>
      <c r="AD64" s="2" t="s">
        <v>541</v>
      </c>
      <c r="AE64" s="2" t="s">
        <v>721</v>
      </c>
      <c r="AF64" s="2"/>
      <c r="AG64" s="2" t="s">
        <v>324</v>
      </c>
    </row>
    <row r="65" ht="15.0" customHeight="1">
      <c r="A65" s="2" t="s">
        <v>970</v>
      </c>
      <c r="B65" s="2" t="s">
        <v>703</v>
      </c>
      <c r="C65" s="2" t="s">
        <v>351</v>
      </c>
      <c r="D65" s="2" t="s">
        <v>971</v>
      </c>
      <c r="E65" s="2" t="s">
        <v>705</v>
      </c>
      <c r="F65" s="2" t="s">
        <v>760</v>
      </c>
      <c r="G65" s="2">
        <v>47.0</v>
      </c>
      <c r="H65" s="2" t="s">
        <v>883</v>
      </c>
      <c r="I65" s="2" t="s">
        <v>708</v>
      </c>
      <c r="J65" s="2">
        <v>16.0</v>
      </c>
      <c r="K65" s="2" t="s">
        <v>725</v>
      </c>
      <c r="L65" s="2" t="s">
        <v>741</v>
      </c>
      <c r="M65" s="2" t="s">
        <v>711</v>
      </c>
      <c r="N65" s="2" t="s">
        <v>972</v>
      </c>
      <c r="O65" s="2" t="s">
        <v>973</v>
      </c>
      <c r="P65" s="2" t="s">
        <v>714</v>
      </c>
      <c r="Q65" s="2" t="s">
        <v>715</v>
      </c>
      <c r="R65" s="2" t="s">
        <v>734</v>
      </c>
      <c r="S65" s="2"/>
      <c r="T65" s="2"/>
      <c r="U65" s="2"/>
      <c r="V65" s="2"/>
      <c r="W65" s="2"/>
      <c r="X65" s="2"/>
      <c r="Y65" s="2" t="s">
        <v>719</v>
      </c>
      <c r="Z65" s="130">
        <v>44378.0</v>
      </c>
      <c r="AA65" s="2" t="s">
        <v>728</v>
      </c>
      <c r="AB65" s="2"/>
      <c r="AC65" s="2"/>
      <c r="AD65" s="2" t="s">
        <v>541</v>
      </c>
      <c r="AE65" s="2" t="s">
        <v>721</v>
      </c>
      <c r="AF65" s="2"/>
      <c r="AG65" s="2"/>
    </row>
    <row r="66" ht="15.0" customHeight="1">
      <c r="A66" s="2" t="s">
        <v>974</v>
      </c>
      <c r="B66" s="2" t="s">
        <v>703</v>
      </c>
      <c r="C66" s="2" t="s">
        <v>104</v>
      </c>
      <c r="D66" s="2" t="s">
        <v>975</v>
      </c>
      <c r="E66" s="2" t="s">
        <v>731</v>
      </c>
      <c r="F66" s="2" t="s">
        <v>760</v>
      </c>
      <c r="G66" s="2">
        <v>55.0</v>
      </c>
      <c r="H66" s="2" t="s">
        <v>883</v>
      </c>
      <c r="I66" s="2" t="s">
        <v>708</v>
      </c>
      <c r="J66" s="2">
        <v>32.0</v>
      </c>
      <c r="K66" s="2" t="s">
        <v>725</v>
      </c>
      <c r="L66" s="2" t="s">
        <v>976</v>
      </c>
      <c r="M66" s="2" t="s">
        <v>733</v>
      </c>
      <c r="N66" s="2" t="s">
        <v>972</v>
      </c>
      <c r="O66" s="2" t="s">
        <v>977</v>
      </c>
      <c r="P66" s="2" t="s">
        <v>714</v>
      </c>
      <c r="Q66" s="2" t="s">
        <v>715</v>
      </c>
      <c r="R66" s="2" t="s">
        <v>727</v>
      </c>
      <c r="S66" s="2"/>
      <c r="T66" s="2" t="s">
        <v>819</v>
      </c>
      <c r="U66" s="2"/>
      <c r="V66" s="2"/>
      <c r="W66" s="2"/>
      <c r="X66" s="2"/>
      <c r="Y66" s="2" t="s">
        <v>719</v>
      </c>
      <c r="Z66" s="130">
        <v>44378.0</v>
      </c>
      <c r="AA66" s="2" t="s">
        <v>728</v>
      </c>
      <c r="AB66" s="2"/>
      <c r="AC66" s="2"/>
      <c r="AD66" s="2" t="s">
        <v>541</v>
      </c>
      <c r="AE66" s="2" t="s">
        <v>721</v>
      </c>
      <c r="AF66" s="2"/>
      <c r="AG66" s="2" t="s">
        <v>104</v>
      </c>
    </row>
    <row r="67" ht="15.0" customHeight="1">
      <c r="A67" s="2" t="s">
        <v>978</v>
      </c>
      <c r="B67" s="2" t="s">
        <v>703</v>
      </c>
      <c r="C67" s="2" t="s">
        <v>979</v>
      </c>
      <c r="D67" s="2" t="s">
        <v>980</v>
      </c>
      <c r="E67" s="2" t="s">
        <v>252</v>
      </c>
      <c r="F67" s="2" t="s">
        <v>760</v>
      </c>
      <c r="G67" s="2">
        <v>55.0</v>
      </c>
      <c r="H67" s="2" t="s">
        <v>883</v>
      </c>
      <c r="I67" s="2" t="s">
        <v>708</v>
      </c>
      <c r="J67" s="2">
        <v>32.0</v>
      </c>
      <c r="K67" s="2" t="s">
        <v>766</v>
      </c>
      <c r="L67" s="2" t="s">
        <v>741</v>
      </c>
      <c r="M67" s="2" t="s">
        <v>829</v>
      </c>
      <c r="N67" s="2" t="s">
        <v>972</v>
      </c>
      <c r="O67" s="2" t="s">
        <v>981</v>
      </c>
      <c r="P67" s="2" t="s">
        <v>714</v>
      </c>
      <c r="Q67" s="2" t="s">
        <v>715</v>
      </c>
      <c r="R67" s="2" t="s">
        <v>727</v>
      </c>
      <c r="S67" s="2" t="s">
        <v>982</v>
      </c>
      <c r="T67" s="2"/>
      <c r="U67" s="2"/>
      <c r="V67" s="2"/>
      <c r="W67" s="2"/>
      <c r="X67" s="2"/>
      <c r="Y67" s="2" t="s">
        <v>983</v>
      </c>
      <c r="Z67" s="130">
        <v>44378.0</v>
      </c>
      <c r="AA67" s="2" t="s">
        <v>728</v>
      </c>
      <c r="AB67" s="2"/>
      <c r="AC67" s="2"/>
      <c r="AD67" s="2" t="s">
        <v>541</v>
      </c>
      <c r="AE67" s="2" t="s">
        <v>721</v>
      </c>
      <c r="AF67" s="2"/>
      <c r="AG67" s="2" t="s">
        <v>264</v>
      </c>
    </row>
    <row r="68" ht="15.0" customHeight="1">
      <c r="A68" s="2" t="s">
        <v>984</v>
      </c>
      <c r="B68" s="2" t="s">
        <v>703</v>
      </c>
      <c r="C68" s="2" t="s">
        <v>434</v>
      </c>
      <c r="D68" s="2" t="s">
        <v>985</v>
      </c>
      <c r="E68" s="2" t="s">
        <v>395</v>
      </c>
      <c r="F68" s="2" t="s">
        <v>706</v>
      </c>
      <c r="G68" s="2">
        <v>63.0</v>
      </c>
      <c r="H68" s="2" t="s">
        <v>707</v>
      </c>
      <c r="I68" s="2" t="s">
        <v>708</v>
      </c>
      <c r="J68" s="2">
        <v>32.0</v>
      </c>
      <c r="K68" s="2" t="s">
        <v>766</v>
      </c>
      <c r="L68" s="2" t="s">
        <v>767</v>
      </c>
      <c r="M68" s="2" t="s">
        <v>986</v>
      </c>
      <c r="N68" s="2" t="s">
        <v>712</v>
      </c>
      <c r="O68" s="2" t="s">
        <v>768</v>
      </c>
      <c r="P68" s="2" t="s">
        <v>714</v>
      </c>
      <c r="Q68" s="2" t="s">
        <v>715</v>
      </c>
      <c r="R68" s="2" t="s">
        <v>734</v>
      </c>
      <c r="S68" s="2"/>
      <c r="T68" s="2" t="s">
        <v>751</v>
      </c>
      <c r="U68" s="2"/>
      <c r="V68" s="2"/>
      <c r="W68" s="2"/>
      <c r="X68" s="2"/>
      <c r="Y68" s="2" t="s">
        <v>719</v>
      </c>
      <c r="Z68" s="130">
        <v>44682.0</v>
      </c>
      <c r="AA68" s="2" t="s">
        <v>728</v>
      </c>
      <c r="AB68" s="2"/>
      <c r="AC68" s="2"/>
      <c r="AD68" s="2" t="s">
        <v>541</v>
      </c>
      <c r="AE68" s="2" t="s">
        <v>721</v>
      </c>
      <c r="AF68" s="2"/>
      <c r="AG68" s="2" t="s">
        <v>434</v>
      </c>
    </row>
    <row r="69" ht="15.0" customHeight="1">
      <c r="A69" s="2" t="s">
        <v>987</v>
      </c>
      <c r="B69" s="2" t="s">
        <v>703</v>
      </c>
      <c r="C69" s="2" t="s">
        <v>241</v>
      </c>
      <c r="D69" s="2" t="s">
        <v>988</v>
      </c>
      <c r="E69" s="2" t="s">
        <v>724</v>
      </c>
      <c r="F69" s="2" t="s">
        <v>706</v>
      </c>
      <c r="G69" s="2">
        <v>63.0</v>
      </c>
      <c r="H69" s="2" t="s">
        <v>707</v>
      </c>
      <c r="I69" s="2" t="s">
        <v>708</v>
      </c>
      <c r="J69" s="2">
        <v>32.0</v>
      </c>
      <c r="K69" s="2" t="s">
        <v>766</v>
      </c>
      <c r="L69" s="2" t="s">
        <v>767</v>
      </c>
      <c r="M69" s="2"/>
      <c r="N69" s="2" t="s">
        <v>712</v>
      </c>
      <c r="O69" s="2" t="s">
        <v>768</v>
      </c>
      <c r="P69" s="2" t="s">
        <v>714</v>
      </c>
      <c r="Q69" s="2" t="s">
        <v>715</v>
      </c>
      <c r="R69" s="2" t="s">
        <v>727</v>
      </c>
      <c r="S69" s="2"/>
      <c r="T69" s="2" t="s">
        <v>718</v>
      </c>
      <c r="U69" s="2"/>
      <c r="V69" s="2"/>
      <c r="W69" s="2"/>
      <c r="X69" s="2"/>
      <c r="Y69" s="2" t="s">
        <v>719</v>
      </c>
      <c r="Z69" s="130">
        <v>44682.0</v>
      </c>
      <c r="AA69" s="2" t="s">
        <v>728</v>
      </c>
      <c r="AB69" s="2"/>
      <c r="AC69" s="2"/>
      <c r="AD69" s="2" t="s">
        <v>541</v>
      </c>
      <c r="AE69" s="2" t="s">
        <v>721</v>
      </c>
      <c r="AF69" s="2"/>
      <c r="AG69" s="2" t="s">
        <v>241</v>
      </c>
    </row>
    <row r="70" ht="15.0" customHeight="1">
      <c r="A70" s="2" t="s">
        <v>989</v>
      </c>
      <c r="B70" s="2" t="s">
        <v>703</v>
      </c>
      <c r="C70" s="2" t="s">
        <v>462</v>
      </c>
      <c r="D70" s="2" t="s">
        <v>990</v>
      </c>
      <c r="E70" s="2" t="s">
        <v>724</v>
      </c>
      <c r="F70" s="2" t="s">
        <v>873</v>
      </c>
      <c r="G70" s="2">
        <v>89.0</v>
      </c>
      <c r="H70" s="2" t="s">
        <v>874</v>
      </c>
      <c r="I70" s="2" t="s">
        <v>875</v>
      </c>
      <c r="J70" s="2">
        <v>32.0</v>
      </c>
      <c r="K70" s="2"/>
      <c r="L70" s="2" t="s">
        <v>876</v>
      </c>
      <c r="M70" s="2"/>
      <c r="N70" s="2" t="s">
        <v>712</v>
      </c>
      <c r="O70" s="2" t="s">
        <v>877</v>
      </c>
      <c r="P70" s="2" t="s">
        <v>714</v>
      </c>
      <c r="Q70" s="2" t="s">
        <v>715</v>
      </c>
      <c r="R70" s="2" t="s">
        <v>727</v>
      </c>
      <c r="S70" s="2" t="s">
        <v>717</v>
      </c>
      <c r="T70" s="2"/>
      <c r="U70" s="2"/>
      <c r="V70" s="2"/>
      <c r="W70" s="2"/>
      <c r="X70" s="2"/>
      <c r="Y70" s="2" t="s">
        <v>719</v>
      </c>
      <c r="Z70" s="130"/>
      <c r="AA70" s="2" t="s">
        <v>720</v>
      </c>
      <c r="AB70" s="2"/>
      <c r="AC70" s="2"/>
      <c r="AD70" s="2" t="s">
        <v>541</v>
      </c>
      <c r="AE70" s="2" t="s">
        <v>721</v>
      </c>
      <c r="AF70" s="2"/>
      <c r="AG70" s="2"/>
    </row>
    <row r="71" ht="15.0" customHeight="1">
      <c r="A71" s="2" t="s">
        <v>991</v>
      </c>
      <c r="B71" s="2" t="s">
        <v>703</v>
      </c>
      <c r="C71" s="2"/>
      <c r="D71" s="2"/>
      <c r="E71" s="2" t="s">
        <v>705</v>
      </c>
      <c r="F71" s="2" t="s">
        <v>760</v>
      </c>
      <c r="G71" s="2">
        <v>56.0</v>
      </c>
      <c r="H71" s="2" t="s">
        <v>739</v>
      </c>
      <c r="I71" s="2" t="s">
        <v>740</v>
      </c>
      <c r="J71" s="2">
        <v>64.0</v>
      </c>
      <c r="K71" s="2" t="s">
        <v>766</v>
      </c>
      <c r="L71" s="2" t="s">
        <v>741</v>
      </c>
      <c r="M71" s="2" t="s">
        <v>711</v>
      </c>
      <c r="N71" s="2" t="s">
        <v>844</v>
      </c>
      <c r="O71" s="2" t="s">
        <v>799</v>
      </c>
      <c r="P71" s="2" t="s">
        <v>714</v>
      </c>
      <c r="Q71" s="2" t="s">
        <v>715</v>
      </c>
      <c r="R71" s="2" t="s">
        <v>734</v>
      </c>
      <c r="S71" s="2"/>
      <c r="T71" s="2"/>
      <c r="U71" s="2"/>
      <c r="V71" s="2"/>
      <c r="W71" s="2"/>
      <c r="X71" s="2"/>
      <c r="Y71" s="2" t="s">
        <v>719</v>
      </c>
      <c r="Z71" s="130"/>
      <c r="AA71" s="2"/>
      <c r="AB71" s="2"/>
      <c r="AC71" s="2"/>
      <c r="AD71" s="2" t="s">
        <v>541</v>
      </c>
      <c r="AE71" s="2"/>
      <c r="AF71" s="2"/>
      <c r="AG71" s="2"/>
    </row>
    <row r="72" ht="15.0" customHeight="1">
      <c r="A72" s="2" t="s">
        <v>992</v>
      </c>
      <c r="B72" s="2" t="s">
        <v>703</v>
      </c>
      <c r="C72" s="2"/>
      <c r="D72" s="2"/>
      <c r="E72" s="2" t="s">
        <v>731</v>
      </c>
      <c r="F72" s="2" t="s">
        <v>706</v>
      </c>
      <c r="G72" s="2">
        <v>63.0</v>
      </c>
      <c r="H72" s="2" t="s">
        <v>707</v>
      </c>
      <c r="I72" s="2" t="s">
        <v>708</v>
      </c>
      <c r="J72" s="2">
        <v>32.0</v>
      </c>
      <c r="K72" s="2" t="s">
        <v>725</v>
      </c>
      <c r="L72" s="2" t="s">
        <v>767</v>
      </c>
      <c r="M72" s="2"/>
      <c r="N72" s="2" t="s">
        <v>712</v>
      </c>
      <c r="O72" s="2" t="s">
        <v>768</v>
      </c>
      <c r="P72" s="2" t="s">
        <v>714</v>
      </c>
      <c r="Q72" s="2" t="s">
        <v>715</v>
      </c>
      <c r="R72" s="2" t="s">
        <v>734</v>
      </c>
      <c r="S72" s="2"/>
      <c r="T72" s="2"/>
      <c r="U72" s="2"/>
      <c r="V72" s="2"/>
      <c r="W72" s="2"/>
      <c r="X72" s="2"/>
      <c r="Y72" s="2" t="s">
        <v>719</v>
      </c>
      <c r="Z72" s="130">
        <v>44682.0</v>
      </c>
      <c r="AA72" s="2" t="s">
        <v>728</v>
      </c>
      <c r="AB72" s="2"/>
      <c r="AC72" s="2"/>
      <c r="AD72" s="2" t="s">
        <v>541</v>
      </c>
      <c r="AE72" s="2" t="s">
        <v>721</v>
      </c>
      <c r="AF72" s="2"/>
      <c r="AG72" s="2"/>
    </row>
    <row r="73" ht="15.0" customHeight="1">
      <c r="A73" s="2" t="s">
        <v>993</v>
      </c>
      <c r="B73" s="2" t="s">
        <v>703</v>
      </c>
      <c r="C73" s="2" t="s">
        <v>994</v>
      </c>
      <c r="D73" s="2" t="s">
        <v>995</v>
      </c>
      <c r="E73" s="2" t="s">
        <v>395</v>
      </c>
      <c r="F73" s="2" t="s">
        <v>738</v>
      </c>
      <c r="G73" s="2">
        <v>42.0</v>
      </c>
      <c r="H73" s="2" t="s">
        <v>739</v>
      </c>
      <c r="I73" s="2" t="s">
        <v>740</v>
      </c>
      <c r="J73" s="2">
        <v>16.0</v>
      </c>
      <c r="K73" s="2" t="s">
        <v>766</v>
      </c>
      <c r="L73" s="2" t="s">
        <v>741</v>
      </c>
      <c r="M73" s="2" t="s">
        <v>783</v>
      </c>
      <c r="N73" s="2" t="s">
        <v>712</v>
      </c>
      <c r="O73" s="2" t="s">
        <v>799</v>
      </c>
      <c r="P73" s="2" t="s">
        <v>714</v>
      </c>
      <c r="Q73" s="2" t="s">
        <v>715</v>
      </c>
      <c r="R73" s="2" t="s">
        <v>727</v>
      </c>
      <c r="S73" s="2" t="s">
        <v>717</v>
      </c>
      <c r="T73" s="2"/>
      <c r="U73" s="2"/>
      <c r="V73" s="2"/>
      <c r="W73" s="2"/>
      <c r="X73" s="2"/>
      <c r="Y73" s="2" t="s">
        <v>719</v>
      </c>
      <c r="Z73" s="130"/>
      <c r="AA73" s="2"/>
      <c r="AB73" s="2"/>
      <c r="AC73" s="2"/>
      <c r="AD73" s="2" t="s">
        <v>541</v>
      </c>
      <c r="AE73" s="2"/>
      <c r="AF73" s="2"/>
      <c r="AG73" s="2" t="s">
        <v>419</v>
      </c>
    </row>
    <row r="74" ht="15.0" customHeight="1">
      <c r="A74" s="2" t="s">
        <v>996</v>
      </c>
      <c r="B74" s="2" t="s">
        <v>703</v>
      </c>
      <c r="C74" s="2" t="s">
        <v>258</v>
      </c>
      <c r="D74" s="2" t="s">
        <v>997</v>
      </c>
      <c r="E74" s="2" t="s">
        <v>252</v>
      </c>
      <c r="F74" s="2" t="s">
        <v>760</v>
      </c>
      <c r="G74" s="2">
        <v>50.0</v>
      </c>
      <c r="H74" s="2" t="s">
        <v>739</v>
      </c>
      <c r="I74" s="2" t="s">
        <v>998</v>
      </c>
      <c r="J74" s="2">
        <v>16.0</v>
      </c>
      <c r="K74" s="2" t="s">
        <v>766</v>
      </c>
      <c r="L74" s="2" t="s">
        <v>767</v>
      </c>
      <c r="M74" s="2"/>
      <c r="N74" s="2" t="s">
        <v>844</v>
      </c>
      <c r="O74" s="2" t="s">
        <v>768</v>
      </c>
      <c r="P74" s="2" t="s">
        <v>714</v>
      </c>
      <c r="Q74" s="2" t="s">
        <v>715</v>
      </c>
      <c r="R74" s="2" t="s">
        <v>804</v>
      </c>
      <c r="S74" s="2"/>
      <c r="T74" s="2"/>
      <c r="U74" s="2"/>
      <c r="V74" s="2"/>
      <c r="W74" s="2"/>
      <c r="X74" s="2"/>
      <c r="Y74" s="2" t="s">
        <v>719</v>
      </c>
      <c r="Z74" s="130">
        <v>44743.0</v>
      </c>
      <c r="AA74" s="2" t="s">
        <v>720</v>
      </c>
      <c r="AB74" s="2"/>
      <c r="AC74" s="2"/>
      <c r="AD74" s="2" t="s">
        <v>541</v>
      </c>
      <c r="AE74" s="2"/>
      <c r="AF74" s="2"/>
      <c r="AG74" s="2" t="s">
        <v>258</v>
      </c>
    </row>
    <row r="75" ht="15.0" customHeight="1">
      <c r="A75" s="2" t="s">
        <v>999</v>
      </c>
      <c r="B75" s="2" t="s">
        <v>703</v>
      </c>
      <c r="C75" s="2" t="s">
        <v>1000</v>
      </c>
      <c r="D75" s="2" t="s">
        <v>198</v>
      </c>
      <c r="E75" s="2" t="s">
        <v>745</v>
      </c>
      <c r="F75" s="2" t="s">
        <v>706</v>
      </c>
      <c r="G75" s="2">
        <v>63.0</v>
      </c>
      <c r="H75" s="2" t="s">
        <v>707</v>
      </c>
      <c r="I75" s="2" t="s">
        <v>708</v>
      </c>
      <c r="J75" s="2">
        <v>32.0</v>
      </c>
      <c r="K75" s="2" t="s">
        <v>766</v>
      </c>
      <c r="L75" s="2" t="s">
        <v>767</v>
      </c>
      <c r="M75" s="2"/>
      <c r="N75" s="2" t="s">
        <v>712</v>
      </c>
      <c r="O75" s="2" t="s">
        <v>768</v>
      </c>
      <c r="P75" s="2" t="s">
        <v>714</v>
      </c>
      <c r="Q75" s="2" t="s">
        <v>715</v>
      </c>
      <c r="R75" s="2" t="s">
        <v>734</v>
      </c>
      <c r="S75" s="2"/>
      <c r="T75" s="2"/>
      <c r="U75" s="2"/>
      <c r="V75" s="2"/>
      <c r="W75" s="2"/>
      <c r="X75" s="2"/>
      <c r="Y75" s="2" t="s">
        <v>719</v>
      </c>
      <c r="Z75" s="130">
        <v>44743.0</v>
      </c>
      <c r="AA75" s="2" t="s">
        <v>720</v>
      </c>
      <c r="AB75" s="2"/>
      <c r="AC75" s="2"/>
      <c r="AD75" s="2" t="s">
        <v>541</v>
      </c>
      <c r="AE75" s="2" t="s">
        <v>721</v>
      </c>
      <c r="AF75" s="2"/>
      <c r="AG75" s="2" t="s">
        <v>199</v>
      </c>
    </row>
    <row r="76" ht="15.0" customHeight="1">
      <c r="A76" s="2" t="s">
        <v>1001</v>
      </c>
      <c r="B76" s="2" t="s">
        <v>703</v>
      </c>
      <c r="C76" s="2" t="s">
        <v>1002</v>
      </c>
      <c r="D76" s="2" t="s">
        <v>1003</v>
      </c>
      <c r="E76" s="2" t="s">
        <v>787</v>
      </c>
      <c r="F76" s="2" t="s">
        <v>706</v>
      </c>
      <c r="G76" s="2">
        <v>74.0</v>
      </c>
      <c r="H76" s="2" t="s">
        <v>833</v>
      </c>
      <c r="I76" s="2" t="s">
        <v>1004</v>
      </c>
      <c r="J76" s="2">
        <v>64.0</v>
      </c>
      <c r="K76" s="2" t="s">
        <v>766</v>
      </c>
      <c r="L76" s="2" t="s">
        <v>1005</v>
      </c>
      <c r="M76" s="2"/>
      <c r="N76" s="2" t="s">
        <v>1006</v>
      </c>
      <c r="O76" s="2" t="s">
        <v>749</v>
      </c>
      <c r="P76" s="2" t="s">
        <v>714</v>
      </c>
      <c r="Q76" s="2" t="s">
        <v>715</v>
      </c>
      <c r="R76" s="2" t="s">
        <v>734</v>
      </c>
      <c r="S76" s="2" t="s">
        <v>717</v>
      </c>
      <c r="T76" s="2" t="s">
        <v>751</v>
      </c>
      <c r="U76" s="2" t="s">
        <v>1007</v>
      </c>
      <c r="V76" s="2"/>
      <c r="W76" s="2"/>
      <c r="X76" s="2" t="s">
        <v>1008</v>
      </c>
      <c r="Y76" s="2" t="s">
        <v>719</v>
      </c>
      <c r="Z76" s="130">
        <v>45231.0</v>
      </c>
      <c r="AA76" s="2" t="s">
        <v>752</v>
      </c>
      <c r="AB76" s="2"/>
      <c r="AC76" s="2"/>
      <c r="AD76" s="2" t="s">
        <v>541</v>
      </c>
      <c r="AE76" s="2" t="s">
        <v>721</v>
      </c>
      <c r="AF76" s="2"/>
      <c r="AG76" s="2" t="s">
        <v>131</v>
      </c>
    </row>
    <row r="77" ht="15.0" customHeight="1">
      <c r="A77" s="2" t="s">
        <v>1009</v>
      </c>
      <c r="B77" s="2" t="s">
        <v>703</v>
      </c>
      <c r="C77" s="2" t="s">
        <v>202</v>
      </c>
      <c r="D77" s="2" t="s">
        <v>1010</v>
      </c>
      <c r="E77" s="2" t="s">
        <v>745</v>
      </c>
      <c r="F77" s="2" t="s">
        <v>706</v>
      </c>
      <c r="G77" s="2">
        <v>72.0</v>
      </c>
      <c r="H77" s="2" t="s">
        <v>746</v>
      </c>
      <c r="I77" s="2" t="s">
        <v>1011</v>
      </c>
      <c r="J77" s="2">
        <v>16.0</v>
      </c>
      <c r="K77" s="2" t="s">
        <v>725</v>
      </c>
      <c r="L77" s="2" t="s">
        <v>710</v>
      </c>
      <c r="M77" s="2"/>
      <c r="N77" s="2" t="s">
        <v>748</v>
      </c>
      <c r="O77" s="2" t="s">
        <v>749</v>
      </c>
      <c r="P77" s="2" t="s">
        <v>714</v>
      </c>
      <c r="Q77" s="2" t="s">
        <v>715</v>
      </c>
      <c r="R77" s="2" t="s">
        <v>734</v>
      </c>
      <c r="S77" s="2"/>
      <c r="T77" s="2" t="s">
        <v>751</v>
      </c>
      <c r="U77" s="2"/>
      <c r="V77" s="2"/>
      <c r="W77" s="2"/>
      <c r="X77" s="2"/>
      <c r="Y77" s="2" t="s">
        <v>719</v>
      </c>
      <c r="Z77" s="130">
        <v>45555.0</v>
      </c>
      <c r="AA77" s="2" t="s">
        <v>752</v>
      </c>
      <c r="AB77" s="2"/>
      <c r="AC77" s="2"/>
      <c r="AD77" s="2" t="s">
        <v>541</v>
      </c>
      <c r="AE77" s="2" t="s">
        <v>721</v>
      </c>
      <c r="AF77" s="2"/>
      <c r="AG77" s="2" t="s">
        <v>202</v>
      </c>
    </row>
    <row r="78" ht="15.0" customHeight="1">
      <c r="A78" s="2" t="s">
        <v>1012</v>
      </c>
      <c r="B78" s="2" t="s">
        <v>703</v>
      </c>
      <c r="C78" s="2" t="s">
        <v>342</v>
      </c>
      <c r="D78" s="2" t="s">
        <v>1013</v>
      </c>
      <c r="E78" s="2" t="s">
        <v>705</v>
      </c>
      <c r="F78" s="2" t="s">
        <v>738</v>
      </c>
      <c r="G78" s="2">
        <v>39.0</v>
      </c>
      <c r="H78" s="2" t="s">
        <v>739</v>
      </c>
      <c r="I78" s="2" t="s">
        <v>1014</v>
      </c>
      <c r="J78" s="2">
        <v>16.0</v>
      </c>
      <c r="K78" s="2" t="s">
        <v>756</v>
      </c>
      <c r="L78" s="2" t="s">
        <v>741</v>
      </c>
      <c r="M78" s="2" t="s">
        <v>711</v>
      </c>
      <c r="N78" s="2" t="s">
        <v>798</v>
      </c>
      <c r="O78" s="2" t="s">
        <v>799</v>
      </c>
      <c r="P78" s="2" t="s">
        <v>714</v>
      </c>
      <c r="Q78" s="2" t="s">
        <v>715</v>
      </c>
      <c r="R78" s="2" t="s">
        <v>734</v>
      </c>
      <c r="S78" s="2"/>
      <c r="T78" s="2"/>
      <c r="U78" s="2"/>
      <c r="V78" s="2"/>
      <c r="W78" s="2"/>
      <c r="X78" s="2"/>
      <c r="Y78" s="2"/>
      <c r="Z78" s="130">
        <v>2017.0</v>
      </c>
      <c r="AA78" s="2"/>
      <c r="AB78" s="2"/>
      <c r="AC78" s="2"/>
      <c r="AD78" s="2" t="s">
        <v>541</v>
      </c>
      <c r="AE78" s="2" t="s">
        <v>721</v>
      </c>
      <c r="AF78" s="2"/>
      <c r="AG78" s="2"/>
    </row>
    <row r="79" ht="15.0" customHeight="1">
      <c r="A79" s="2" t="s">
        <v>1015</v>
      </c>
      <c r="B79" s="2" t="s">
        <v>703</v>
      </c>
      <c r="C79" s="2" t="s">
        <v>283</v>
      </c>
      <c r="D79" s="2" t="s">
        <v>930</v>
      </c>
      <c r="E79" s="2" t="s">
        <v>252</v>
      </c>
      <c r="F79" s="2" t="s">
        <v>706</v>
      </c>
      <c r="G79" s="2">
        <v>69.0</v>
      </c>
      <c r="H79" s="2" t="s">
        <v>1016</v>
      </c>
      <c r="I79" s="2" t="s">
        <v>828</v>
      </c>
      <c r="J79" s="2">
        <v>24.0</v>
      </c>
      <c r="K79" s="2" t="s">
        <v>725</v>
      </c>
      <c r="L79" s="2" t="s">
        <v>710</v>
      </c>
      <c r="M79" s="2" t="s">
        <v>829</v>
      </c>
      <c r="N79" s="2" t="s">
        <v>748</v>
      </c>
      <c r="O79" s="2" t="s">
        <v>799</v>
      </c>
      <c r="P79" s="2" t="s">
        <v>714</v>
      </c>
      <c r="Q79" s="2" t="s">
        <v>715</v>
      </c>
      <c r="R79" s="2" t="s">
        <v>727</v>
      </c>
      <c r="S79" s="2"/>
      <c r="T79" s="2"/>
      <c r="U79" s="2"/>
      <c r="V79" s="2" t="s">
        <v>778</v>
      </c>
      <c r="W79" s="2"/>
      <c r="X79" s="2"/>
      <c r="Y79" s="2" t="s">
        <v>983</v>
      </c>
      <c r="Z79" s="130"/>
      <c r="AA79" s="2"/>
      <c r="AB79" s="2"/>
      <c r="AC79" s="2"/>
      <c r="AD79" s="2" t="s">
        <v>541</v>
      </c>
      <c r="AE79" s="2" t="s">
        <v>721</v>
      </c>
      <c r="AF79" s="2"/>
      <c r="AG79" s="2" t="s">
        <v>316</v>
      </c>
    </row>
    <row r="80" ht="15.0" customHeight="1">
      <c r="A80" s="2" t="s">
        <v>1017</v>
      </c>
      <c r="B80" s="2" t="s">
        <v>703</v>
      </c>
      <c r="C80" s="88" t="s">
        <v>375</v>
      </c>
      <c r="D80" s="2" t="s">
        <v>1018</v>
      </c>
      <c r="E80" s="2" t="s">
        <v>803</v>
      </c>
      <c r="F80" s="2" t="s">
        <v>760</v>
      </c>
      <c r="G80" s="2">
        <v>61.0</v>
      </c>
      <c r="H80" s="2" t="s">
        <v>746</v>
      </c>
      <c r="I80" s="2" t="s">
        <v>740</v>
      </c>
      <c r="J80" s="2">
        <v>16.0</v>
      </c>
      <c r="K80" s="2" t="s">
        <v>725</v>
      </c>
      <c r="L80" s="2" t="s">
        <v>710</v>
      </c>
      <c r="M80" s="2" t="s">
        <v>783</v>
      </c>
      <c r="N80" s="2" t="s">
        <v>1019</v>
      </c>
      <c r="O80" s="2" t="s">
        <v>799</v>
      </c>
      <c r="P80" s="2" t="s">
        <v>714</v>
      </c>
      <c r="Q80" s="2" t="s">
        <v>715</v>
      </c>
      <c r="R80" s="2" t="s">
        <v>804</v>
      </c>
      <c r="S80" s="2" t="s">
        <v>717</v>
      </c>
      <c r="T80" s="2" t="s">
        <v>751</v>
      </c>
      <c r="U80" s="2"/>
      <c r="V80" s="2"/>
      <c r="W80" s="2"/>
      <c r="X80" s="2"/>
      <c r="Y80" s="2" t="s">
        <v>719</v>
      </c>
      <c r="Z80" s="130"/>
      <c r="AA80" s="2"/>
      <c r="AB80" s="2"/>
      <c r="AC80" s="2"/>
      <c r="AD80" s="2" t="s">
        <v>541</v>
      </c>
      <c r="AE80" s="2" t="s">
        <v>721</v>
      </c>
      <c r="AF80" s="2"/>
      <c r="AG80" s="2" t="s">
        <v>375</v>
      </c>
    </row>
    <row r="81" ht="15.0" customHeight="1">
      <c r="A81" s="2" t="s">
        <v>1020</v>
      </c>
      <c r="B81" s="2" t="s">
        <v>703</v>
      </c>
      <c r="C81" s="2"/>
      <c r="D81" s="2" t="s">
        <v>1021</v>
      </c>
      <c r="E81" s="2" t="s">
        <v>252</v>
      </c>
      <c r="F81" s="2" t="s">
        <v>873</v>
      </c>
      <c r="G81" s="2">
        <v>84.0</v>
      </c>
      <c r="H81" s="2" t="s">
        <v>874</v>
      </c>
      <c r="I81" s="2" t="s">
        <v>1022</v>
      </c>
      <c r="J81" s="2">
        <v>32.0</v>
      </c>
      <c r="K81" s="2"/>
      <c r="L81" s="2" t="s">
        <v>1023</v>
      </c>
      <c r="M81" s="2" t="s">
        <v>829</v>
      </c>
      <c r="N81" s="2" t="s">
        <v>748</v>
      </c>
      <c r="O81" s="2" t="s">
        <v>1024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130">
        <v>46082.0</v>
      </c>
      <c r="AA81" s="2" t="s">
        <v>720</v>
      </c>
      <c r="AB81" s="2"/>
      <c r="AC81" s="2"/>
      <c r="AD81" s="2" t="s">
        <v>541</v>
      </c>
      <c r="AE81" s="2"/>
      <c r="AF81" s="2"/>
      <c r="AG81" s="2"/>
    </row>
    <row r="82" ht="15.0" customHeight="1">
      <c r="A82" s="2" t="s">
        <v>1025</v>
      </c>
      <c r="B82" s="2" t="s">
        <v>703</v>
      </c>
      <c r="C82" s="2" t="s">
        <v>384</v>
      </c>
      <c r="D82" s="2" t="s">
        <v>383</v>
      </c>
      <c r="E82" s="2" t="s">
        <v>803</v>
      </c>
      <c r="F82" s="2" t="s">
        <v>873</v>
      </c>
      <c r="G82" s="2">
        <v>84.0</v>
      </c>
      <c r="H82" s="2" t="s">
        <v>874</v>
      </c>
      <c r="I82" s="2" t="s">
        <v>1022</v>
      </c>
      <c r="J82" s="2">
        <v>32.0</v>
      </c>
      <c r="K82" s="2"/>
      <c r="L82" s="2" t="s">
        <v>1023</v>
      </c>
      <c r="M82" s="2" t="s">
        <v>829</v>
      </c>
      <c r="N82" s="2" t="s">
        <v>748</v>
      </c>
      <c r="O82" s="2" t="s">
        <v>1024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130">
        <v>46082.0</v>
      </c>
      <c r="AA82" s="2" t="s">
        <v>720</v>
      </c>
      <c r="AB82" s="2"/>
      <c r="AC82" s="2"/>
      <c r="AD82" s="2" t="s">
        <v>541</v>
      </c>
      <c r="AE82" s="2"/>
      <c r="AF82" s="2"/>
      <c r="AG82" s="2" t="s">
        <v>384</v>
      </c>
    </row>
    <row r="83" ht="15.0" customHeight="1">
      <c r="A83" s="2" t="s">
        <v>1026</v>
      </c>
      <c r="B83" s="2" t="s">
        <v>703</v>
      </c>
      <c r="C83" s="2" t="s">
        <v>404</v>
      </c>
      <c r="D83" s="2" t="s">
        <v>1027</v>
      </c>
      <c r="E83" s="2" t="s">
        <v>395</v>
      </c>
      <c r="F83" s="2" t="s">
        <v>873</v>
      </c>
      <c r="G83" s="2">
        <v>84.0</v>
      </c>
      <c r="H83" s="2" t="s">
        <v>874</v>
      </c>
      <c r="I83" s="2" t="s">
        <v>1022</v>
      </c>
      <c r="J83" s="2">
        <v>32.0</v>
      </c>
      <c r="K83" s="2"/>
      <c r="L83" s="2" t="s">
        <v>1023</v>
      </c>
      <c r="M83" s="2" t="s">
        <v>829</v>
      </c>
      <c r="N83" s="2" t="s">
        <v>748</v>
      </c>
      <c r="O83" s="2" t="s">
        <v>1024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130">
        <v>46082.0</v>
      </c>
      <c r="AA83" s="2" t="s">
        <v>720</v>
      </c>
      <c r="AB83" s="2"/>
      <c r="AC83" s="2"/>
      <c r="AD83" s="2" t="s">
        <v>541</v>
      </c>
      <c r="AE83" s="2"/>
      <c r="AF83" s="2"/>
      <c r="AG83" s="2" t="s">
        <v>404</v>
      </c>
    </row>
    <row r="84" ht="15.0" customHeight="1">
      <c r="A84" s="2" t="s">
        <v>1028</v>
      </c>
      <c r="B84" s="2" t="s">
        <v>703</v>
      </c>
      <c r="C84" s="2"/>
      <c r="D84" s="2" t="s">
        <v>1029</v>
      </c>
      <c r="E84" s="2" t="s">
        <v>1029</v>
      </c>
      <c r="F84" s="2" t="s">
        <v>873</v>
      </c>
      <c r="G84" s="2">
        <v>84.0</v>
      </c>
      <c r="H84" s="2" t="s">
        <v>874</v>
      </c>
      <c r="I84" s="2" t="s">
        <v>1022</v>
      </c>
      <c r="J84" s="2">
        <v>32.0</v>
      </c>
      <c r="K84" s="2"/>
      <c r="L84" s="2" t="s">
        <v>1023</v>
      </c>
      <c r="M84" s="2" t="s">
        <v>829</v>
      </c>
      <c r="N84" s="2" t="s">
        <v>748</v>
      </c>
      <c r="O84" s="2" t="s">
        <v>1024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130">
        <v>46082.0</v>
      </c>
      <c r="AA84" s="2" t="s">
        <v>720</v>
      </c>
      <c r="AB84" s="2"/>
      <c r="AC84" s="2"/>
      <c r="AD84" s="2" t="s">
        <v>541</v>
      </c>
      <c r="AE84" s="2"/>
      <c r="AF84" s="2"/>
      <c r="AG84" s="2"/>
    </row>
    <row r="85" ht="15.0" customHeight="1">
      <c r="A85" s="2" t="s">
        <v>1030</v>
      </c>
      <c r="B85" s="2" t="s">
        <v>703</v>
      </c>
      <c r="C85" s="2"/>
      <c r="D85" s="2" t="s">
        <v>1031</v>
      </c>
      <c r="E85" s="2" t="s">
        <v>1031</v>
      </c>
      <c r="F85" s="2" t="s">
        <v>873</v>
      </c>
      <c r="G85" s="2">
        <v>84.0</v>
      </c>
      <c r="H85" s="2" t="s">
        <v>874</v>
      </c>
      <c r="I85" s="2" t="s">
        <v>1022</v>
      </c>
      <c r="J85" s="2">
        <v>32.0</v>
      </c>
      <c r="K85" s="2"/>
      <c r="L85" s="2" t="s">
        <v>1023</v>
      </c>
      <c r="M85" s="2" t="s">
        <v>829</v>
      </c>
      <c r="N85" s="2" t="s">
        <v>748</v>
      </c>
      <c r="O85" s="2" t="s">
        <v>1024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130">
        <v>46082.0</v>
      </c>
      <c r="AA85" s="2" t="s">
        <v>720</v>
      </c>
      <c r="AB85" s="2"/>
      <c r="AC85" s="2"/>
      <c r="AD85" s="2" t="s">
        <v>541</v>
      </c>
      <c r="AE85" s="2"/>
      <c r="AF85" s="2"/>
      <c r="AG85" s="2"/>
    </row>
    <row r="86" ht="15.0" customHeight="1">
      <c r="A86" s="2" t="s">
        <v>1032</v>
      </c>
      <c r="B86" s="2" t="s">
        <v>703</v>
      </c>
      <c r="C86" s="2"/>
      <c r="D86" s="2" t="s">
        <v>1033</v>
      </c>
      <c r="E86" s="2" t="s">
        <v>1034</v>
      </c>
      <c r="F86" s="2" t="s">
        <v>738</v>
      </c>
      <c r="G86" s="2">
        <v>36.0</v>
      </c>
      <c r="H86" s="2" t="s">
        <v>807</v>
      </c>
      <c r="I86" s="2" t="s">
        <v>1035</v>
      </c>
      <c r="J86" s="2">
        <v>32.0</v>
      </c>
      <c r="K86" s="2"/>
      <c r="L86" s="2" t="s">
        <v>857</v>
      </c>
      <c r="M86" s="2"/>
      <c r="N86" s="2" t="s">
        <v>1036</v>
      </c>
      <c r="O86" s="2" t="s">
        <v>1037</v>
      </c>
      <c r="P86" s="2" t="s">
        <v>1038</v>
      </c>
      <c r="Q86" s="2"/>
      <c r="R86" s="2"/>
      <c r="S86" s="2"/>
      <c r="T86" s="2"/>
      <c r="U86" s="2"/>
      <c r="V86" s="2"/>
      <c r="W86" s="2"/>
      <c r="X86" s="2"/>
      <c r="Y86" s="2" t="s">
        <v>1039</v>
      </c>
      <c r="Z86" s="130"/>
      <c r="AA86" s="2"/>
      <c r="AB86" s="2"/>
      <c r="AC86" s="2"/>
      <c r="AD86" s="2" t="s">
        <v>541</v>
      </c>
      <c r="AE86" s="2"/>
      <c r="AF86" s="2"/>
      <c r="AG86" s="2"/>
    </row>
    <row r="87" ht="15.0" customHeight="1">
      <c r="A87" s="2" t="s">
        <v>1040</v>
      </c>
      <c r="B87" s="2" t="s">
        <v>703</v>
      </c>
      <c r="C87" s="2"/>
      <c r="D87" s="2" t="s">
        <v>1041</v>
      </c>
      <c r="E87" s="2" t="s">
        <v>1034</v>
      </c>
      <c r="F87" s="2" t="s">
        <v>738</v>
      </c>
      <c r="G87" s="2">
        <v>36.0</v>
      </c>
      <c r="H87" s="2" t="s">
        <v>807</v>
      </c>
      <c r="I87" s="2" t="s">
        <v>1042</v>
      </c>
      <c r="J87" s="2">
        <v>32.0</v>
      </c>
      <c r="K87" s="2"/>
      <c r="L87" s="2" t="s">
        <v>857</v>
      </c>
      <c r="M87" s="2"/>
      <c r="N87" s="2" t="s">
        <v>1043</v>
      </c>
      <c r="O87" s="2" t="s">
        <v>1044</v>
      </c>
      <c r="P87" s="2" t="s">
        <v>1045</v>
      </c>
      <c r="Q87" s="2"/>
      <c r="R87" s="2"/>
      <c r="S87" s="2"/>
      <c r="T87" s="2"/>
      <c r="U87" s="2"/>
      <c r="V87" s="2"/>
      <c r="W87" s="2"/>
      <c r="X87" s="2"/>
      <c r="Y87" s="2" t="s">
        <v>1039</v>
      </c>
      <c r="Z87" s="130"/>
      <c r="AA87" s="2"/>
      <c r="AB87" s="2"/>
      <c r="AC87" s="2"/>
      <c r="AD87" s="2" t="s">
        <v>541</v>
      </c>
      <c r="AE87" s="2"/>
      <c r="AF87" s="2"/>
      <c r="AG87" s="2"/>
    </row>
    <row r="88" ht="15.0" customHeight="1">
      <c r="A88" s="2" t="s">
        <v>1046</v>
      </c>
      <c r="B88" s="2" t="s">
        <v>703</v>
      </c>
      <c r="C88" s="2"/>
      <c r="D88" s="2" t="s">
        <v>1047</v>
      </c>
      <c r="E88" s="2" t="s">
        <v>1034</v>
      </c>
      <c r="F88" s="2" t="s">
        <v>855</v>
      </c>
      <c r="G88" s="2">
        <v>29.0</v>
      </c>
      <c r="H88" s="2" t="s">
        <v>739</v>
      </c>
      <c r="I88" s="2" t="s">
        <v>1048</v>
      </c>
      <c r="J88" s="2">
        <v>16.0</v>
      </c>
      <c r="K88" s="2" t="s">
        <v>756</v>
      </c>
      <c r="L88" s="2" t="s">
        <v>1049</v>
      </c>
      <c r="M88" s="2"/>
      <c r="N88" s="2" t="s">
        <v>1050</v>
      </c>
      <c r="O88" s="2" t="s">
        <v>1051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130"/>
      <c r="AA88" s="2"/>
      <c r="AB88" s="2"/>
      <c r="AC88" s="2"/>
      <c r="AD88" s="2" t="s">
        <v>541</v>
      </c>
      <c r="AE88" s="2"/>
      <c r="AF88" s="2"/>
      <c r="AG88" s="2"/>
    </row>
    <row r="89" ht="15.0" customHeight="1">
      <c r="A89" s="2" t="s">
        <v>1052</v>
      </c>
      <c r="B89" s="2" t="s">
        <v>703</v>
      </c>
      <c r="C89" s="2" t="s">
        <v>168</v>
      </c>
      <c r="D89" s="2" t="s">
        <v>167</v>
      </c>
      <c r="E89" s="2" t="s">
        <v>1034</v>
      </c>
      <c r="F89" s="2" t="s">
        <v>855</v>
      </c>
      <c r="G89" s="2">
        <v>23.0</v>
      </c>
      <c r="H89" s="2" t="s">
        <v>807</v>
      </c>
      <c r="I89" s="2" t="s">
        <v>1053</v>
      </c>
      <c r="J89" s="2">
        <v>16.0</v>
      </c>
      <c r="K89" s="2" t="s">
        <v>725</v>
      </c>
      <c r="L89" s="2" t="s">
        <v>857</v>
      </c>
      <c r="M89" s="2"/>
      <c r="N89" s="2" t="s">
        <v>1054</v>
      </c>
      <c r="O89" s="2" t="s">
        <v>1055</v>
      </c>
      <c r="P89" s="2" t="s">
        <v>714</v>
      </c>
      <c r="Q89" s="2" t="s">
        <v>715</v>
      </c>
      <c r="R89" s="2" t="s">
        <v>716</v>
      </c>
      <c r="S89" s="2"/>
      <c r="T89" s="2"/>
      <c r="U89" s="2"/>
      <c r="V89" s="2"/>
      <c r="W89" s="2"/>
      <c r="X89" s="2"/>
      <c r="Y89" s="2" t="s">
        <v>719</v>
      </c>
      <c r="Z89" s="130"/>
      <c r="AA89" s="2"/>
      <c r="AB89" s="2"/>
      <c r="AC89" s="2"/>
      <c r="AD89" s="2" t="s">
        <v>541</v>
      </c>
      <c r="AE89" s="2"/>
      <c r="AF89" s="2"/>
      <c r="AG89" s="2" t="s">
        <v>168</v>
      </c>
    </row>
    <row r="90" ht="15.0" customHeight="1">
      <c r="A90" s="2" t="s">
        <v>1056</v>
      </c>
      <c r="B90" s="2" t="s">
        <v>703</v>
      </c>
      <c r="C90" s="2"/>
      <c r="D90" s="2" t="s">
        <v>1057</v>
      </c>
      <c r="E90" s="2" t="s">
        <v>1034</v>
      </c>
      <c r="F90" s="2" t="s">
        <v>855</v>
      </c>
      <c r="G90" s="2">
        <v>17.0</v>
      </c>
      <c r="H90" s="2" t="s">
        <v>1058</v>
      </c>
      <c r="I90" s="2" t="s">
        <v>1059</v>
      </c>
      <c r="J90" s="2">
        <v>8.0</v>
      </c>
      <c r="K90" s="2" t="s">
        <v>725</v>
      </c>
      <c r="L90" s="2" t="s">
        <v>857</v>
      </c>
      <c r="M90" s="2"/>
      <c r="N90" s="2" t="s">
        <v>1019</v>
      </c>
      <c r="O90" s="2" t="s">
        <v>1060</v>
      </c>
      <c r="P90" s="2" t="s">
        <v>714</v>
      </c>
      <c r="Q90" s="2" t="s">
        <v>715</v>
      </c>
      <c r="R90" s="2" t="s">
        <v>716</v>
      </c>
      <c r="S90" s="2"/>
      <c r="T90" s="2"/>
      <c r="U90" s="2"/>
      <c r="V90" s="2"/>
      <c r="W90" s="2"/>
      <c r="X90" s="2"/>
      <c r="Y90" s="2" t="s">
        <v>719</v>
      </c>
      <c r="Z90" s="130"/>
      <c r="AA90" s="2"/>
      <c r="AB90" s="2"/>
      <c r="AC90" s="2"/>
      <c r="AD90" s="2" t="s">
        <v>541</v>
      </c>
      <c r="AE90" s="2"/>
      <c r="AF90" s="2"/>
      <c r="AG90" s="2"/>
    </row>
    <row r="91" ht="15.0" customHeight="1">
      <c r="A91" s="2" t="s">
        <v>1061</v>
      </c>
      <c r="B91" s="2" t="s">
        <v>703</v>
      </c>
      <c r="C91" s="2" t="s">
        <v>97</v>
      </c>
      <c r="D91" s="2" t="s">
        <v>1062</v>
      </c>
      <c r="E91" s="2" t="s">
        <v>1034</v>
      </c>
      <c r="F91" s="2" t="s">
        <v>738</v>
      </c>
      <c r="G91" s="2">
        <v>40.0</v>
      </c>
      <c r="H91" s="2" t="s">
        <v>1063</v>
      </c>
      <c r="I91" s="2" t="s">
        <v>732</v>
      </c>
      <c r="J91" s="2">
        <v>16.0</v>
      </c>
      <c r="K91" s="2" t="s">
        <v>766</v>
      </c>
      <c r="L91" s="2" t="s">
        <v>857</v>
      </c>
      <c r="M91" s="2"/>
      <c r="N91" s="2" t="s">
        <v>1064</v>
      </c>
      <c r="O91" s="2" t="s">
        <v>1065</v>
      </c>
      <c r="P91" s="2" t="s">
        <v>714</v>
      </c>
      <c r="Q91" s="2"/>
      <c r="R91" s="2"/>
      <c r="S91" s="2"/>
      <c r="T91" s="2"/>
      <c r="U91" s="2"/>
      <c r="V91" s="2"/>
      <c r="W91" s="2"/>
      <c r="X91" s="2"/>
      <c r="Y91" s="2"/>
      <c r="Z91" s="130">
        <v>44835.0</v>
      </c>
      <c r="AA91" s="2" t="s">
        <v>1066</v>
      </c>
      <c r="AB91" s="2"/>
      <c r="AC91" s="2"/>
      <c r="AD91" s="2" t="s">
        <v>541</v>
      </c>
      <c r="AE91" s="2"/>
      <c r="AF91" s="2"/>
      <c r="AG91" s="2" t="s">
        <v>97</v>
      </c>
    </row>
    <row r="92" ht="15.0" customHeight="1">
      <c r="A92" s="2" t="s">
        <v>1067</v>
      </c>
      <c r="B92" s="2" t="s">
        <v>703</v>
      </c>
      <c r="C92" s="2"/>
      <c r="D92" s="2" t="s">
        <v>1068</v>
      </c>
      <c r="E92" s="2" t="s">
        <v>1034</v>
      </c>
      <c r="F92" s="2" t="s">
        <v>855</v>
      </c>
      <c r="G92" s="2">
        <v>17.0</v>
      </c>
      <c r="H92" s="2" t="s">
        <v>1058</v>
      </c>
      <c r="I92" s="2" t="s">
        <v>1069</v>
      </c>
      <c r="J92" s="2">
        <v>8.0</v>
      </c>
      <c r="K92" s="2" t="s">
        <v>766</v>
      </c>
      <c r="L92" s="2" t="s">
        <v>857</v>
      </c>
      <c r="M92" s="2"/>
      <c r="N92" s="2" t="s">
        <v>1070</v>
      </c>
      <c r="O92" s="2" t="s">
        <v>1071</v>
      </c>
      <c r="P92" s="2" t="s">
        <v>714</v>
      </c>
      <c r="Q92" s="2" t="s">
        <v>715</v>
      </c>
      <c r="R92" s="2"/>
      <c r="S92" s="2"/>
      <c r="T92" s="2"/>
      <c r="U92" s="2"/>
      <c r="V92" s="2"/>
      <c r="W92" s="2"/>
      <c r="X92" s="2"/>
      <c r="Y92" s="2" t="s">
        <v>719</v>
      </c>
      <c r="Z92" s="130"/>
      <c r="AA92" s="2"/>
      <c r="AB92" s="2"/>
      <c r="AC92" s="2"/>
      <c r="AD92" s="2" t="s">
        <v>541</v>
      </c>
      <c r="AE92" s="2"/>
      <c r="AF92" s="2"/>
      <c r="AG92" s="2"/>
    </row>
    <row r="93" ht="15.0" customHeight="1">
      <c r="A93" s="2" t="s">
        <v>1072</v>
      </c>
      <c r="B93" s="2" t="s">
        <v>703</v>
      </c>
      <c r="C93" s="2" t="s">
        <v>205</v>
      </c>
      <c r="D93" s="2" t="s">
        <v>1073</v>
      </c>
      <c r="E93" s="2" t="s">
        <v>1034</v>
      </c>
      <c r="F93" s="2" t="s">
        <v>738</v>
      </c>
      <c r="G93" s="2">
        <v>38.0</v>
      </c>
      <c r="H93" s="2" t="s">
        <v>1074</v>
      </c>
      <c r="I93" s="2" t="s">
        <v>1011</v>
      </c>
      <c r="J93" s="2">
        <v>12.0</v>
      </c>
      <c r="K93" s="2" t="s">
        <v>756</v>
      </c>
      <c r="L93" s="2" t="s">
        <v>857</v>
      </c>
      <c r="M93" s="2"/>
      <c r="N93" s="2" t="s">
        <v>748</v>
      </c>
      <c r="O93" s="2" t="s">
        <v>817</v>
      </c>
      <c r="P93" s="2" t="s">
        <v>714</v>
      </c>
      <c r="Q93" s="2" t="s">
        <v>715</v>
      </c>
      <c r="R93" s="2"/>
      <c r="S93" s="2"/>
      <c r="T93" s="2"/>
      <c r="U93" s="2"/>
      <c r="V93" s="2"/>
      <c r="W93" s="2"/>
      <c r="X93" s="2"/>
      <c r="Y93" s="2" t="s">
        <v>983</v>
      </c>
      <c r="Z93" s="130">
        <v>45375.0</v>
      </c>
      <c r="AA93" s="2" t="s">
        <v>752</v>
      </c>
      <c r="AB93" s="2"/>
      <c r="AC93" s="2"/>
      <c r="AD93" s="2" t="s">
        <v>541</v>
      </c>
      <c r="AE93" s="2"/>
      <c r="AF93" s="2"/>
      <c r="AG93" s="2" t="s">
        <v>205</v>
      </c>
    </row>
    <row r="94" ht="15.0" customHeight="1">
      <c r="A94" s="2" t="s">
        <v>1075</v>
      </c>
      <c r="B94" s="2" t="s">
        <v>703</v>
      </c>
      <c r="C94" s="2"/>
      <c r="D94" s="2" t="s">
        <v>1076</v>
      </c>
      <c r="E94" s="2" t="s">
        <v>1034</v>
      </c>
      <c r="F94" s="2" t="s">
        <v>738</v>
      </c>
      <c r="G94" s="2">
        <v>42.0</v>
      </c>
      <c r="H94" s="2" t="s">
        <v>739</v>
      </c>
      <c r="I94" s="2" t="s">
        <v>1077</v>
      </c>
      <c r="J94" s="2">
        <v>16.0</v>
      </c>
      <c r="K94" s="2" t="s">
        <v>725</v>
      </c>
      <c r="L94" s="2" t="s">
        <v>1078</v>
      </c>
      <c r="M94" s="2"/>
      <c r="N94" s="2" t="s">
        <v>864</v>
      </c>
      <c r="O94" s="2" t="s">
        <v>1079</v>
      </c>
      <c r="P94" s="2" t="s">
        <v>714</v>
      </c>
      <c r="Q94" s="2" t="s">
        <v>715</v>
      </c>
      <c r="R94" s="2" t="s">
        <v>716</v>
      </c>
      <c r="S94" s="2"/>
      <c r="T94" s="2" t="s">
        <v>751</v>
      </c>
      <c r="U94" s="2"/>
      <c r="V94" s="2"/>
      <c r="W94" s="2"/>
      <c r="X94" s="2"/>
      <c r="Y94" s="2" t="s">
        <v>719</v>
      </c>
      <c r="Z94" s="130"/>
      <c r="AA94" s="2"/>
      <c r="AB94" s="2"/>
      <c r="AC94" s="2"/>
      <c r="AD94" s="2" t="s">
        <v>541</v>
      </c>
      <c r="AE94" s="2"/>
      <c r="AF94" s="2"/>
      <c r="AG94" s="2"/>
    </row>
    <row r="95" ht="15.0" customHeight="1">
      <c r="A95" s="2" t="s">
        <v>1080</v>
      </c>
      <c r="B95" s="2" t="s">
        <v>703</v>
      </c>
      <c r="C95" s="2"/>
      <c r="D95" s="2" t="s">
        <v>1081</v>
      </c>
      <c r="E95" s="2" t="s">
        <v>1034</v>
      </c>
      <c r="F95" s="2" t="s">
        <v>738</v>
      </c>
      <c r="G95" s="2">
        <v>33.0</v>
      </c>
      <c r="H95" s="2" t="s">
        <v>969</v>
      </c>
      <c r="I95" s="2" t="s">
        <v>1014</v>
      </c>
      <c r="J95" s="2">
        <v>8.0</v>
      </c>
      <c r="K95" s="2" t="s">
        <v>756</v>
      </c>
      <c r="L95" s="2" t="s">
        <v>741</v>
      </c>
      <c r="M95" s="2"/>
      <c r="N95" s="2" t="s">
        <v>798</v>
      </c>
      <c r="O95" s="2" t="s">
        <v>799</v>
      </c>
      <c r="P95" s="2" t="s">
        <v>714</v>
      </c>
      <c r="Q95" s="2" t="s">
        <v>715</v>
      </c>
      <c r="R95" s="2" t="s">
        <v>716</v>
      </c>
      <c r="S95" s="2"/>
      <c r="T95" s="2" t="s">
        <v>751</v>
      </c>
      <c r="U95" s="2"/>
      <c r="V95" s="2"/>
      <c r="W95" s="2"/>
      <c r="X95" s="2"/>
      <c r="Y95" s="2" t="s">
        <v>719</v>
      </c>
      <c r="Z95" s="130"/>
      <c r="AA95" s="2"/>
      <c r="AB95" s="2"/>
      <c r="AC95" s="2"/>
      <c r="AD95" s="2" t="s">
        <v>541</v>
      </c>
      <c r="AE95" s="2"/>
      <c r="AF95" s="2"/>
      <c r="AG95" s="2"/>
    </row>
    <row r="96" ht="15.0" customHeight="1">
      <c r="A96" s="2" t="s">
        <v>1082</v>
      </c>
      <c r="B96" s="2" t="s">
        <v>703</v>
      </c>
      <c r="C96" s="2"/>
      <c r="D96" s="2" t="s">
        <v>1083</v>
      </c>
      <c r="E96" s="2" t="s">
        <v>1034</v>
      </c>
      <c r="F96" s="2" t="s">
        <v>760</v>
      </c>
      <c r="G96" s="2">
        <v>55.0</v>
      </c>
      <c r="H96" s="2" t="s">
        <v>739</v>
      </c>
      <c r="I96" s="2" t="s">
        <v>708</v>
      </c>
      <c r="J96" s="2">
        <v>16.0</v>
      </c>
      <c r="K96" s="2" t="s">
        <v>725</v>
      </c>
      <c r="L96" s="2" t="s">
        <v>788</v>
      </c>
      <c r="M96" s="2"/>
      <c r="N96" s="2" t="s">
        <v>748</v>
      </c>
      <c r="O96" s="2" t="s">
        <v>799</v>
      </c>
      <c r="P96" s="2" t="s">
        <v>714</v>
      </c>
      <c r="Q96" s="2" t="s">
        <v>715</v>
      </c>
      <c r="R96" s="2" t="s">
        <v>716</v>
      </c>
      <c r="S96" s="2"/>
      <c r="T96" s="2" t="s">
        <v>751</v>
      </c>
      <c r="U96" s="2"/>
      <c r="V96" s="2"/>
      <c r="W96" s="2"/>
      <c r="X96" s="2"/>
      <c r="Y96" s="2" t="s">
        <v>719</v>
      </c>
      <c r="Z96" s="130"/>
      <c r="AA96" s="2"/>
      <c r="AB96" s="2"/>
      <c r="AC96" s="2"/>
      <c r="AD96" s="2" t="s">
        <v>541</v>
      </c>
      <c r="AE96" s="2"/>
      <c r="AF96" s="2"/>
      <c r="AG96" s="2"/>
    </row>
    <row r="97" ht="15.0" customHeight="1">
      <c r="A97" s="2" t="s">
        <v>1084</v>
      </c>
      <c r="B97" s="2" t="s">
        <v>703</v>
      </c>
      <c r="C97" s="2"/>
      <c r="D97" s="2" t="s">
        <v>1085</v>
      </c>
      <c r="E97" s="2" t="s">
        <v>1034</v>
      </c>
      <c r="F97" s="2" t="s">
        <v>760</v>
      </c>
      <c r="G97" s="2">
        <v>47.0</v>
      </c>
      <c r="H97" s="2" t="s">
        <v>883</v>
      </c>
      <c r="I97" s="2" t="s">
        <v>708</v>
      </c>
      <c r="J97" s="2">
        <v>16.0</v>
      </c>
      <c r="K97" s="2" t="s">
        <v>725</v>
      </c>
      <c r="L97" s="2" t="s">
        <v>843</v>
      </c>
      <c r="M97" s="2"/>
      <c r="N97" s="2" t="s">
        <v>748</v>
      </c>
      <c r="O97" s="2" t="s">
        <v>1086</v>
      </c>
      <c r="P97" s="2" t="s">
        <v>714</v>
      </c>
      <c r="Q97" s="2" t="s">
        <v>715</v>
      </c>
      <c r="R97" s="2" t="s">
        <v>716</v>
      </c>
      <c r="S97" s="2"/>
      <c r="T97" s="2" t="s">
        <v>751</v>
      </c>
      <c r="U97" s="2"/>
      <c r="V97" s="2"/>
      <c r="W97" s="2"/>
      <c r="X97" s="2"/>
      <c r="Y97" s="2" t="s">
        <v>719</v>
      </c>
      <c r="Z97" s="130"/>
      <c r="AA97" s="2"/>
      <c r="AB97" s="2"/>
      <c r="AC97" s="2"/>
      <c r="AD97" s="2" t="s">
        <v>541</v>
      </c>
      <c r="AE97" s="2"/>
      <c r="AF97" s="2"/>
      <c r="AG97" s="2"/>
    </row>
    <row r="98" ht="15.0" customHeight="1">
      <c r="A98" s="2" t="s">
        <v>1087</v>
      </c>
      <c r="B98" s="2" t="s">
        <v>703</v>
      </c>
      <c r="C98" s="2"/>
      <c r="D98" s="2" t="s">
        <v>1088</v>
      </c>
      <c r="E98" s="2" t="s">
        <v>1034</v>
      </c>
      <c r="F98" s="2" t="s">
        <v>738</v>
      </c>
      <c r="G98" s="2">
        <v>42.0</v>
      </c>
      <c r="H98" s="2" t="s">
        <v>739</v>
      </c>
      <c r="I98" s="2" t="s">
        <v>740</v>
      </c>
      <c r="J98" s="2">
        <v>16.0</v>
      </c>
      <c r="K98" s="2" t="s">
        <v>766</v>
      </c>
      <c r="L98" s="2" t="s">
        <v>741</v>
      </c>
      <c r="M98" s="2"/>
      <c r="N98" s="2" t="s">
        <v>953</v>
      </c>
      <c r="O98" s="2" t="s">
        <v>799</v>
      </c>
      <c r="P98" s="2" t="s">
        <v>714</v>
      </c>
      <c r="Q98" s="2" t="s">
        <v>715</v>
      </c>
      <c r="R98" s="2" t="s">
        <v>716</v>
      </c>
      <c r="S98" s="2"/>
      <c r="T98" s="2" t="s">
        <v>751</v>
      </c>
      <c r="U98" s="2"/>
      <c r="V98" s="2"/>
      <c r="W98" s="2"/>
      <c r="X98" s="2"/>
      <c r="Y98" s="2"/>
      <c r="Z98" s="130"/>
      <c r="AA98" s="2"/>
      <c r="AB98" s="2"/>
      <c r="AC98" s="2"/>
      <c r="AD98" s="2" t="s">
        <v>541</v>
      </c>
      <c r="AE98" s="2"/>
      <c r="AF98" s="2"/>
      <c r="AG98" s="2"/>
    </row>
    <row r="99" ht="15.0" customHeight="1">
      <c r="A99" s="2" t="s">
        <v>1089</v>
      </c>
      <c r="B99" s="2" t="s">
        <v>703</v>
      </c>
      <c r="C99" s="2"/>
      <c r="D99" s="2" t="s">
        <v>1090</v>
      </c>
      <c r="E99" s="2" t="s">
        <v>1034</v>
      </c>
      <c r="F99" s="2" t="s">
        <v>760</v>
      </c>
      <c r="G99" s="2">
        <v>50.0</v>
      </c>
      <c r="H99" s="2" t="s">
        <v>739</v>
      </c>
      <c r="I99" s="2" t="s">
        <v>740</v>
      </c>
      <c r="J99" s="2">
        <v>32.0</v>
      </c>
      <c r="K99" s="2" t="s">
        <v>725</v>
      </c>
      <c r="L99" s="2" t="s">
        <v>741</v>
      </c>
      <c r="M99" s="2"/>
      <c r="N99" s="2" t="s">
        <v>972</v>
      </c>
      <c r="O99" s="2" t="s">
        <v>799</v>
      </c>
      <c r="P99" s="2" t="s">
        <v>714</v>
      </c>
      <c r="Q99" s="2" t="s">
        <v>715</v>
      </c>
      <c r="R99" s="2" t="s">
        <v>716</v>
      </c>
      <c r="S99" s="2"/>
      <c r="T99" s="2" t="s">
        <v>751</v>
      </c>
      <c r="U99" s="2"/>
      <c r="V99" s="2"/>
      <c r="W99" s="2"/>
      <c r="X99" s="2"/>
      <c r="Y99" s="2" t="s">
        <v>719</v>
      </c>
      <c r="Z99" s="130">
        <v>44409.0</v>
      </c>
      <c r="AA99" s="2"/>
      <c r="AB99" s="2"/>
      <c r="AC99" s="2"/>
      <c r="AD99" s="2" t="s">
        <v>541</v>
      </c>
      <c r="AE99" s="2"/>
      <c r="AF99" s="2"/>
      <c r="AG99" s="2"/>
    </row>
    <row r="100" ht="15.0" customHeight="1">
      <c r="A100" s="2" t="s">
        <v>1091</v>
      </c>
      <c r="B100" s="2" t="s">
        <v>703</v>
      </c>
      <c r="C100" s="2"/>
      <c r="D100" s="2" t="s">
        <v>1092</v>
      </c>
      <c r="E100" s="2" t="s">
        <v>1034</v>
      </c>
      <c r="F100" s="2" t="s">
        <v>760</v>
      </c>
      <c r="G100" s="2">
        <v>46.0</v>
      </c>
      <c r="H100" s="2" t="s">
        <v>739</v>
      </c>
      <c r="I100" s="2" t="s">
        <v>838</v>
      </c>
      <c r="J100" s="2">
        <v>32.0</v>
      </c>
      <c r="K100" s="2" t="s">
        <v>766</v>
      </c>
      <c r="L100" s="2" t="s">
        <v>741</v>
      </c>
      <c r="M100" s="2"/>
      <c r="N100" s="2" t="s">
        <v>712</v>
      </c>
      <c r="O100" s="2" t="s">
        <v>1093</v>
      </c>
      <c r="P100" s="2" t="s">
        <v>714</v>
      </c>
      <c r="Q100" s="2" t="s">
        <v>715</v>
      </c>
      <c r="R100" s="2" t="s">
        <v>734</v>
      </c>
      <c r="S100" s="2" t="s">
        <v>1094</v>
      </c>
      <c r="T100" s="2" t="s">
        <v>751</v>
      </c>
      <c r="U100" s="2"/>
      <c r="V100" s="2"/>
      <c r="W100" s="2"/>
      <c r="X100" s="2"/>
      <c r="Y100" s="2" t="s">
        <v>719</v>
      </c>
      <c r="Z100" s="130"/>
      <c r="AA100" s="2"/>
      <c r="AB100" s="2"/>
      <c r="AC100" s="2"/>
      <c r="AD100" s="2" t="s">
        <v>541</v>
      </c>
      <c r="AE100" s="2"/>
      <c r="AF100" s="2"/>
      <c r="AG100" s="2"/>
    </row>
    <row r="101" ht="15.0" customHeight="1">
      <c r="A101" s="2" t="s">
        <v>1095</v>
      </c>
      <c r="B101" s="2" t="s">
        <v>703</v>
      </c>
      <c r="C101" s="2"/>
      <c r="D101" s="2" t="s">
        <v>1096</v>
      </c>
      <c r="E101" s="2" t="s">
        <v>1034</v>
      </c>
      <c r="F101" s="2" t="s">
        <v>760</v>
      </c>
      <c r="G101" s="2">
        <v>50.0</v>
      </c>
      <c r="H101" s="2" t="s">
        <v>739</v>
      </c>
      <c r="I101" s="2" t="s">
        <v>740</v>
      </c>
      <c r="J101" s="2">
        <v>32.0</v>
      </c>
      <c r="K101" s="2" t="s">
        <v>766</v>
      </c>
      <c r="L101" s="2" t="s">
        <v>741</v>
      </c>
      <c r="M101" s="2"/>
      <c r="N101" s="2" t="s">
        <v>712</v>
      </c>
      <c r="O101" s="2" t="s">
        <v>768</v>
      </c>
      <c r="P101" s="2" t="s">
        <v>714</v>
      </c>
      <c r="Q101" s="2" t="s">
        <v>715</v>
      </c>
      <c r="R101" s="2" t="s">
        <v>716</v>
      </c>
      <c r="S101" s="2"/>
      <c r="T101" s="2" t="s">
        <v>751</v>
      </c>
      <c r="U101" s="2"/>
      <c r="V101" s="2"/>
      <c r="W101" s="2"/>
      <c r="X101" s="2"/>
      <c r="Y101" s="2" t="s">
        <v>719</v>
      </c>
      <c r="Z101" s="130"/>
      <c r="AA101" s="2"/>
      <c r="AB101" s="2"/>
      <c r="AC101" s="2"/>
      <c r="AD101" s="2" t="s">
        <v>541</v>
      </c>
      <c r="AE101" s="2"/>
      <c r="AF101" s="2"/>
      <c r="AG101" s="2"/>
    </row>
    <row r="102" ht="15.0" customHeight="1">
      <c r="A102" s="2" t="s">
        <v>1097</v>
      </c>
      <c r="B102" s="2" t="s">
        <v>703</v>
      </c>
      <c r="C102" s="2" t="s">
        <v>210</v>
      </c>
      <c r="D102" s="2" t="s">
        <v>1098</v>
      </c>
      <c r="E102" s="2" t="s">
        <v>1034</v>
      </c>
      <c r="F102" s="2" t="s">
        <v>738</v>
      </c>
      <c r="G102" s="2">
        <v>42.0</v>
      </c>
      <c r="H102" s="2" t="s">
        <v>739</v>
      </c>
      <c r="I102" s="2" t="s">
        <v>740</v>
      </c>
      <c r="J102" s="2">
        <v>16.0</v>
      </c>
      <c r="K102" s="2" t="s">
        <v>766</v>
      </c>
      <c r="L102" s="2" t="s">
        <v>741</v>
      </c>
      <c r="M102" s="2"/>
      <c r="N102" s="2" t="s">
        <v>953</v>
      </c>
      <c r="O102" s="2" t="s">
        <v>799</v>
      </c>
      <c r="P102" s="2" t="s">
        <v>714</v>
      </c>
      <c r="Q102" s="2" t="s">
        <v>715</v>
      </c>
      <c r="R102" s="2" t="s">
        <v>734</v>
      </c>
      <c r="S102" s="2"/>
      <c r="T102" s="2"/>
      <c r="U102" s="2"/>
      <c r="V102" s="2"/>
      <c r="W102" s="2"/>
      <c r="X102" s="2"/>
      <c r="Y102" s="2" t="s">
        <v>719</v>
      </c>
      <c r="Z102" s="130"/>
      <c r="AA102" s="2"/>
      <c r="AB102" s="2"/>
      <c r="AC102" s="2"/>
      <c r="AD102" s="2" t="s">
        <v>541</v>
      </c>
      <c r="AE102" s="2"/>
      <c r="AF102" s="2"/>
      <c r="AG102" s="2" t="s">
        <v>210</v>
      </c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dataValidations>
    <dataValidation type="list" allowBlank="1" sqref="B2:B151">
      <formula1>"Desktop,Laptop"</formula1>
    </dataValidation>
    <dataValidation type="list" allowBlank="1" sqref="AD2:AD151">
      <formula1>"Active,Faulty,Retired,Spare"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0.0"/>
    <col customWidth="1" min="2" max="7" width="16.0"/>
    <col customWidth="1" min="8" max="19" width="11.0"/>
  </cols>
  <sheetData>
    <row r="1" ht="17.25" customHeight="1">
      <c r="A1" s="5" t="s">
        <v>1099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6.25" customHeight="1">
      <c r="A4" s="131" t="s">
        <v>578</v>
      </c>
      <c r="B4" s="131" t="s">
        <v>16</v>
      </c>
      <c r="C4" s="131" t="s">
        <v>1101</v>
      </c>
      <c r="D4" s="131" t="s">
        <v>18</v>
      </c>
      <c r="E4" s="131" t="s">
        <v>591</v>
      </c>
      <c r="F4" s="131" t="s">
        <v>1102</v>
      </c>
      <c r="G4" s="131" t="s">
        <v>1103</v>
      </c>
      <c r="H4" s="131" t="s">
        <v>1104</v>
      </c>
      <c r="I4" s="131" t="s">
        <v>1105</v>
      </c>
      <c r="J4" s="131" t="s">
        <v>1106</v>
      </c>
      <c r="K4" s="131" t="s">
        <v>1107</v>
      </c>
      <c r="L4" s="131" t="s">
        <v>1108</v>
      </c>
      <c r="M4" s="131" t="s">
        <v>1109</v>
      </c>
      <c r="N4" s="131" t="s">
        <v>1110</v>
      </c>
      <c r="O4" s="131" t="s">
        <v>1111</v>
      </c>
      <c r="P4" s="131" t="s">
        <v>1112</v>
      </c>
      <c r="Q4" s="131" t="s">
        <v>1113</v>
      </c>
      <c r="R4" s="131" t="s">
        <v>1114</v>
      </c>
      <c r="S4" s="131" t="s">
        <v>1115</v>
      </c>
      <c r="T4" s="2"/>
      <c r="U4" s="2"/>
      <c r="V4" s="2"/>
      <c r="W4" s="2"/>
      <c r="X4" s="2"/>
      <c r="Y4" s="2"/>
      <c r="Z4" s="2"/>
    </row>
    <row r="5" ht="15.0" customHeight="1">
      <c r="A5" s="132" t="s">
        <v>612</v>
      </c>
      <c r="B5" s="2">
        <v>1.0</v>
      </c>
      <c r="C5" s="2">
        <v>1.0</v>
      </c>
      <c r="D5" s="2">
        <f t="shared" ref="D5:D17" si="1">B5-C5</f>
        <v>0</v>
      </c>
      <c r="E5" s="133">
        <f t="shared" ref="E5:E17" si="2">IF(B5=0,0,C5/B5)</f>
        <v>1</v>
      </c>
      <c r="F5" s="134"/>
      <c r="G5" s="135">
        <f t="shared" ref="G5:G17" si="3">IF(B5=0,0,F5*D5/B5)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>
        <v>1.0</v>
      </c>
      <c r="T5" s="2"/>
      <c r="U5" s="2"/>
      <c r="V5" s="2"/>
      <c r="W5" s="2"/>
      <c r="X5" s="2"/>
      <c r="Y5" s="2"/>
      <c r="Z5" s="2"/>
    </row>
    <row r="6" ht="15.0" customHeight="1">
      <c r="A6" s="132" t="s">
        <v>631</v>
      </c>
      <c r="B6" s="2">
        <v>3.0</v>
      </c>
      <c r="C6" s="2">
        <v>0.0</v>
      </c>
      <c r="D6" s="2">
        <f t="shared" si="1"/>
        <v>3</v>
      </c>
      <c r="E6" s="133">
        <f t="shared" si="2"/>
        <v>0</v>
      </c>
      <c r="F6" s="134"/>
      <c r="G6" s="135">
        <f t="shared" si="3"/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>
        <v>0.0</v>
      </c>
      <c r="T6" s="2"/>
      <c r="U6" s="2"/>
      <c r="V6" s="2"/>
      <c r="W6" s="2"/>
      <c r="X6" s="2"/>
      <c r="Y6" s="2"/>
      <c r="Z6" s="2"/>
    </row>
    <row r="7" ht="15.0" customHeight="1">
      <c r="A7" s="132" t="s">
        <v>629</v>
      </c>
      <c r="B7" s="2">
        <v>4.0</v>
      </c>
      <c r="C7" s="2">
        <v>0.0</v>
      </c>
      <c r="D7" s="2">
        <f t="shared" si="1"/>
        <v>4</v>
      </c>
      <c r="E7" s="133">
        <f t="shared" si="2"/>
        <v>0</v>
      </c>
      <c r="F7" s="134"/>
      <c r="G7" s="135">
        <f t="shared" si="3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>
        <v>0.0</v>
      </c>
      <c r="T7" s="2"/>
      <c r="U7" s="2"/>
      <c r="V7" s="2"/>
      <c r="W7" s="2"/>
      <c r="X7" s="2"/>
      <c r="Y7" s="2"/>
      <c r="Z7" s="2"/>
    </row>
    <row r="8" ht="15.0" customHeight="1">
      <c r="A8" s="132" t="s">
        <v>627</v>
      </c>
      <c r="B8" s="2">
        <v>2.0</v>
      </c>
      <c r="C8" s="2">
        <v>0.0</v>
      </c>
      <c r="D8" s="2">
        <f t="shared" si="1"/>
        <v>2</v>
      </c>
      <c r="E8" s="133">
        <f t="shared" si="2"/>
        <v>0</v>
      </c>
      <c r="F8" s="134"/>
      <c r="G8" s="135">
        <f t="shared" si="3"/>
        <v>0</v>
      </c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>
        <v>0.0</v>
      </c>
      <c r="T8" s="2"/>
      <c r="U8" s="2"/>
      <c r="V8" s="2"/>
      <c r="W8" s="2"/>
      <c r="X8" s="2"/>
      <c r="Y8" s="2"/>
      <c r="Z8" s="2"/>
    </row>
    <row r="9" ht="15.0" customHeight="1">
      <c r="A9" s="132" t="s">
        <v>622</v>
      </c>
      <c r="B9" s="2">
        <v>20.0</v>
      </c>
      <c r="C9" s="2">
        <v>0.0</v>
      </c>
      <c r="D9" s="2">
        <f t="shared" si="1"/>
        <v>20</v>
      </c>
      <c r="E9" s="133">
        <f t="shared" si="2"/>
        <v>0</v>
      </c>
      <c r="F9" s="134"/>
      <c r="G9" s="135">
        <f t="shared" si="3"/>
        <v>0</v>
      </c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>
        <v>0.0</v>
      </c>
      <c r="T9" s="2"/>
      <c r="U9" s="2"/>
      <c r="V9" s="2"/>
      <c r="W9" s="2"/>
      <c r="X9" s="2"/>
      <c r="Y9" s="2"/>
      <c r="Z9" s="2"/>
    </row>
    <row r="10" ht="15.0" customHeight="1">
      <c r="A10" s="132" t="s">
        <v>482</v>
      </c>
      <c r="B10" s="2">
        <v>105.0</v>
      </c>
      <c r="C10" s="2">
        <v>83.0</v>
      </c>
      <c r="D10" s="2">
        <f t="shared" si="1"/>
        <v>22</v>
      </c>
      <c r="E10" s="133">
        <f t="shared" si="2"/>
        <v>0.7904761905</v>
      </c>
      <c r="F10" s="134"/>
      <c r="G10" s="135">
        <f t="shared" si="3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>
        <v>83.0</v>
      </c>
      <c r="T10" s="2"/>
      <c r="U10" s="2"/>
      <c r="V10" s="2"/>
      <c r="W10" s="2"/>
      <c r="X10" s="2"/>
      <c r="Y10" s="2"/>
      <c r="Z10" s="2"/>
    </row>
    <row r="11" ht="15.0" customHeight="1">
      <c r="A11" s="132" t="s">
        <v>652</v>
      </c>
      <c r="B11" s="2">
        <v>1.0</v>
      </c>
      <c r="C11" s="2">
        <v>0.0</v>
      </c>
      <c r="D11" s="2">
        <f t="shared" si="1"/>
        <v>1</v>
      </c>
      <c r="E11" s="133">
        <f t="shared" si="2"/>
        <v>0</v>
      </c>
      <c r="F11" s="134"/>
      <c r="G11" s="135">
        <f t="shared" si="3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>
        <v>0.0</v>
      </c>
      <c r="T11" s="2"/>
      <c r="U11" s="2"/>
      <c r="V11" s="2"/>
      <c r="W11" s="2"/>
      <c r="X11" s="2"/>
      <c r="Y11" s="2"/>
      <c r="Z11" s="2"/>
    </row>
    <row r="12" ht="15.0" customHeight="1">
      <c r="A12" s="132" t="s">
        <v>647</v>
      </c>
      <c r="B12" s="2">
        <v>6.0</v>
      </c>
      <c r="C12" s="2">
        <v>0.0</v>
      </c>
      <c r="D12" s="2">
        <f t="shared" si="1"/>
        <v>6</v>
      </c>
      <c r="E12" s="133">
        <f t="shared" si="2"/>
        <v>0</v>
      </c>
      <c r="F12" s="134"/>
      <c r="G12" s="135">
        <f t="shared" si="3"/>
        <v>0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>
        <v>0.0</v>
      </c>
      <c r="T12" s="2"/>
      <c r="U12" s="2"/>
      <c r="V12" s="2"/>
      <c r="W12" s="2"/>
      <c r="X12" s="2"/>
      <c r="Y12" s="2"/>
      <c r="Z12" s="2"/>
    </row>
    <row r="13" ht="15.0" customHeight="1">
      <c r="A13" s="132" t="s">
        <v>1116</v>
      </c>
      <c r="B13" s="2">
        <v>2.0</v>
      </c>
      <c r="C13" s="2">
        <v>0.0</v>
      </c>
      <c r="D13" s="2">
        <f t="shared" si="1"/>
        <v>2</v>
      </c>
      <c r="E13" s="133">
        <f t="shared" si="2"/>
        <v>0</v>
      </c>
      <c r="F13" s="134"/>
      <c r="G13" s="135">
        <f t="shared" si="3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>
        <v>0.0</v>
      </c>
      <c r="T13" s="2"/>
      <c r="U13" s="2"/>
      <c r="V13" s="2"/>
      <c r="W13" s="2"/>
      <c r="X13" s="2"/>
      <c r="Y13" s="2"/>
      <c r="Z13" s="2"/>
    </row>
    <row r="14" ht="15.0" customHeight="1">
      <c r="A14" s="132" t="s">
        <v>1117</v>
      </c>
      <c r="B14" s="2">
        <v>87.0</v>
      </c>
      <c r="C14" s="2">
        <v>0.0</v>
      </c>
      <c r="D14" s="2">
        <f t="shared" si="1"/>
        <v>87</v>
      </c>
      <c r="E14" s="133">
        <f t="shared" si="2"/>
        <v>0</v>
      </c>
      <c r="F14" s="134"/>
      <c r="G14" s="135">
        <f t="shared" si="3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>
        <v>0.0</v>
      </c>
      <c r="T14" s="2"/>
      <c r="U14" s="2"/>
      <c r="V14" s="2"/>
      <c r="W14" s="2"/>
      <c r="X14" s="2"/>
      <c r="Y14" s="2"/>
      <c r="Z14" s="2"/>
    </row>
    <row r="15" ht="15.0" customHeight="1">
      <c r="A15" s="132" t="s">
        <v>1118</v>
      </c>
      <c r="B15" s="2">
        <v>31.0</v>
      </c>
      <c r="C15" s="2">
        <v>0.0</v>
      </c>
      <c r="D15" s="2">
        <f t="shared" si="1"/>
        <v>31</v>
      </c>
      <c r="E15" s="133">
        <f t="shared" si="2"/>
        <v>0</v>
      </c>
      <c r="F15" s="134"/>
      <c r="G15" s="135">
        <f t="shared" si="3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>
        <v>0.0</v>
      </c>
      <c r="T15" s="2"/>
      <c r="U15" s="2"/>
      <c r="V15" s="2"/>
      <c r="W15" s="2"/>
      <c r="X15" s="2"/>
      <c r="Y15" s="2"/>
      <c r="Z15" s="2"/>
    </row>
    <row r="16" ht="15.0" customHeight="1">
      <c r="A16" s="132" t="s">
        <v>1119</v>
      </c>
      <c r="B16" s="2">
        <v>54.0</v>
      </c>
      <c r="C16" s="2">
        <v>53.0</v>
      </c>
      <c r="D16" s="2">
        <f t="shared" si="1"/>
        <v>1</v>
      </c>
      <c r="E16" s="133">
        <f t="shared" si="2"/>
        <v>0.9814814815</v>
      </c>
      <c r="F16" s="134"/>
      <c r="G16" s="135">
        <f t="shared" si="3"/>
        <v>0</v>
      </c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>
        <v>53.0</v>
      </c>
      <c r="T16" s="2"/>
      <c r="U16" s="2"/>
      <c r="V16" s="2"/>
      <c r="W16" s="2"/>
      <c r="X16" s="2"/>
      <c r="Y16" s="2"/>
      <c r="Z16" s="2"/>
    </row>
    <row r="17" ht="15.0" customHeight="1">
      <c r="A17" s="132" t="s">
        <v>482</v>
      </c>
      <c r="B17" s="2">
        <v>25.0</v>
      </c>
      <c r="C17" s="2">
        <v>0.0</v>
      </c>
      <c r="D17" s="2">
        <f t="shared" si="1"/>
        <v>25</v>
      </c>
      <c r="E17" s="133">
        <f t="shared" si="2"/>
        <v>0</v>
      </c>
      <c r="F17" s="134"/>
      <c r="G17" s="135">
        <f t="shared" si="3"/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>
        <v>0.0</v>
      </c>
      <c r="T17" s="2"/>
      <c r="U17" s="2"/>
      <c r="V17" s="2"/>
      <c r="W17" s="2"/>
      <c r="X17" s="2"/>
      <c r="Y17" s="2"/>
      <c r="Z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37" t="s">
        <v>1120</v>
      </c>
      <c r="B19" s="137">
        <f t="shared" ref="B19:D19" si="4">SUM(B5:B17)</f>
        <v>341</v>
      </c>
      <c r="C19" s="137">
        <f t="shared" si="4"/>
        <v>137</v>
      </c>
      <c r="D19" s="137">
        <f t="shared" si="4"/>
        <v>204</v>
      </c>
      <c r="E19" s="138">
        <f>IF(B19=0,0,C19/B19)</f>
        <v>0.4017595308</v>
      </c>
      <c r="F19" s="139">
        <f t="shared" ref="F19:G19" si="5">SUM(F5:F17)</f>
        <v>0</v>
      </c>
      <c r="G19" s="139">
        <f t="shared" si="5"/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40" t="s">
        <v>1121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156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9" width="13.0"/>
    <col customWidth="1" min="10" max="10" width="9.0"/>
  </cols>
  <sheetData>
    <row r="1" ht="31.5" customHeight="1">
      <c r="A1" s="120" t="s">
        <v>1122</v>
      </c>
      <c r="B1" s="121"/>
      <c r="C1" s="121"/>
      <c r="D1" s="121"/>
      <c r="E1" s="121"/>
      <c r="F1" s="121"/>
      <c r="G1" s="121"/>
      <c r="H1" s="121"/>
      <c r="I1" s="121"/>
      <c r="J1" s="121"/>
    </row>
    <row r="2" ht="15.0" customHeight="1">
      <c r="A2" s="122" t="s">
        <v>1123</v>
      </c>
      <c r="B2" s="121"/>
      <c r="C2" s="121"/>
      <c r="D2" s="121"/>
      <c r="E2" s="121"/>
      <c r="F2" s="121"/>
      <c r="G2" s="121"/>
      <c r="H2" s="121"/>
      <c r="I2" s="121"/>
      <c r="J2" s="121"/>
    </row>
    <row r="3" ht="15.0" customHeight="1">
      <c r="A3" s="121"/>
      <c r="B3" s="121"/>
      <c r="C3" s="121"/>
      <c r="D3" s="121"/>
      <c r="E3" s="121"/>
      <c r="F3" s="121"/>
      <c r="G3" s="121"/>
      <c r="H3" s="121"/>
      <c r="I3" s="121"/>
      <c r="J3" s="121"/>
    </row>
    <row r="4" ht="27.75" customHeight="1">
      <c r="A4" s="141" t="s">
        <v>28</v>
      </c>
      <c r="B4" s="141" t="s">
        <v>56</v>
      </c>
      <c r="C4" s="141" t="s">
        <v>482</v>
      </c>
      <c r="D4" s="141" t="s">
        <v>537</v>
      </c>
      <c r="E4" s="141" t="s">
        <v>504</v>
      </c>
      <c r="F4" s="141" t="s">
        <v>481</v>
      </c>
      <c r="G4" s="141" t="s">
        <v>493</v>
      </c>
      <c r="H4" s="141" t="s">
        <v>492</v>
      </c>
      <c r="I4" s="141" t="s">
        <v>479</v>
      </c>
      <c r="J4" s="141" t="s">
        <v>477</v>
      </c>
      <c r="K4" s="141" t="s">
        <v>473</v>
      </c>
      <c r="L4" s="141" t="s">
        <v>480</v>
      </c>
      <c r="M4" s="141" t="s">
        <v>491</v>
      </c>
      <c r="N4" s="141" t="s">
        <v>659</v>
      </c>
    </row>
    <row r="5" ht="15.0" customHeight="1">
      <c r="A5" s="125" t="s">
        <v>31</v>
      </c>
      <c r="B5" s="125" t="s">
        <v>556</v>
      </c>
      <c r="C5" s="142">
        <v>5.0</v>
      </c>
      <c r="D5" s="142">
        <v>5.0</v>
      </c>
      <c r="E5" s="142">
        <v>4.0</v>
      </c>
      <c r="F5" s="142">
        <v>1.0</v>
      </c>
      <c r="G5" s="121"/>
      <c r="H5" s="121"/>
      <c r="I5" s="121"/>
      <c r="J5" s="121"/>
      <c r="L5" s="121"/>
      <c r="N5" s="126">
        <v>15.0</v>
      </c>
    </row>
    <row r="6" ht="15.0" customHeight="1">
      <c r="A6" s="125" t="s">
        <v>31</v>
      </c>
      <c r="B6" s="125" t="s">
        <v>558</v>
      </c>
      <c r="C6" s="142">
        <v>9.0</v>
      </c>
      <c r="D6" s="142">
        <v>6.0</v>
      </c>
      <c r="E6" s="142">
        <v>3.0</v>
      </c>
      <c r="F6" s="142">
        <v>1.0</v>
      </c>
      <c r="G6" s="142">
        <v>1.0</v>
      </c>
      <c r="H6" s="142">
        <v>1.0</v>
      </c>
      <c r="I6" s="121"/>
      <c r="J6" s="121"/>
      <c r="L6" s="121"/>
      <c r="N6" s="126">
        <v>21.0</v>
      </c>
    </row>
    <row r="7" ht="15.0" customHeight="1">
      <c r="A7" s="125" t="s">
        <v>31</v>
      </c>
      <c r="B7" s="125" t="s">
        <v>560</v>
      </c>
      <c r="C7" s="142">
        <v>9.0</v>
      </c>
      <c r="D7" s="142">
        <v>5.0</v>
      </c>
      <c r="E7" s="142">
        <v>3.0</v>
      </c>
      <c r="F7" s="121"/>
      <c r="G7" s="121"/>
      <c r="H7" s="121"/>
      <c r="I7" s="121"/>
      <c r="J7" s="121"/>
      <c r="L7" s="121"/>
      <c r="N7" s="126">
        <v>17.0</v>
      </c>
    </row>
    <row r="8" ht="15.0" customHeight="1">
      <c r="A8" s="125" t="s">
        <v>32</v>
      </c>
      <c r="B8" s="125" t="s">
        <v>564</v>
      </c>
      <c r="C8" s="142">
        <v>8.0</v>
      </c>
      <c r="D8" s="142">
        <v>4.0</v>
      </c>
      <c r="E8" s="142">
        <v>4.0</v>
      </c>
      <c r="F8" s="142">
        <v>1.0</v>
      </c>
      <c r="G8" s="142">
        <v>1.0</v>
      </c>
      <c r="H8" s="121"/>
      <c r="I8" s="121"/>
      <c r="J8" s="121"/>
      <c r="L8" s="121"/>
      <c r="N8" s="126">
        <v>18.0</v>
      </c>
    </row>
    <row r="9" ht="15.0" customHeight="1">
      <c r="A9" s="125" t="s">
        <v>32</v>
      </c>
      <c r="B9" s="125" t="s">
        <v>566</v>
      </c>
      <c r="C9" s="142">
        <v>10.0</v>
      </c>
      <c r="D9" s="142">
        <v>5.0</v>
      </c>
      <c r="E9" s="142">
        <v>4.0</v>
      </c>
      <c r="F9" s="142">
        <v>2.0</v>
      </c>
      <c r="G9" s="121"/>
      <c r="H9" s="121"/>
      <c r="I9" s="121"/>
      <c r="J9" s="121"/>
      <c r="L9" s="121"/>
      <c r="N9" s="126">
        <v>21.0</v>
      </c>
    </row>
    <row r="10" ht="15.0" customHeight="1">
      <c r="A10" s="125" t="s">
        <v>33</v>
      </c>
      <c r="B10" s="125" t="s">
        <v>554</v>
      </c>
      <c r="C10" s="121"/>
      <c r="D10" s="121"/>
      <c r="E10" s="121"/>
      <c r="F10" s="121"/>
      <c r="G10" s="142">
        <v>1.0</v>
      </c>
      <c r="H10" s="121"/>
      <c r="I10" s="121"/>
      <c r="J10" s="121"/>
      <c r="L10" s="121"/>
      <c r="N10" s="126">
        <v>1.0</v>
      </c>
    </row>
    <row r="11" ht="15.0" customHeight="1">
      <c r="A11" s="125" t="s">
        <v>33</v>
      </c>
      <c r="B11" s="125" t="s">
        <v>569</v>
      </c>
      <c r="C11" s="142">
        <v>8.0</v>
      </c>
      <c r="D11" s="142">
        <v>6.0</v>
      </c>
      <c r="E11" s="142">
        <v>4.0</v>
      </c>
      <c r="F11" s="142">
        <v>4.0</v>
      </c>
      <c r="G11" s="121"/>
      <c r="H11" s="142">
        <v>2.0</v>
      </c>
      <c r="I11" s="121"/>
      <c r="J11" s="121"/>
      <c r="L11" s="121"/>
      <c r="N11" s="126">
        <v>24.0</v>
      </c>
    </row>
    <row r="12" ht="15.0" customHeight="1">
      <c r="A12" s="125" t="s">
        <v>33</v>
      </c>
      <c r="B12" s="125" t="s">
        <v>571</v>
      </c>
      <c r="C12" s="142">
        <v>14.0</v>
      </c>
      <c r="D12" s="142">
        <v>8.0</v>
      </c>
      <c r="E12" s="142">
        <v>1.0</v>
      </c>
      <c r="F12" s="142">
        <v>5.0</v>
      </c>
      <c r="G12" s="142">
        <v>1.0</v>
      </c>
      <c r="H12" s="142">
        <v>2.0</v>
      </c>
      <c r="I12" s="142">
        <v>2.0</v>
      </c>
      <c r="J12" s="142">
        <v>1.0</v>
      </c>
      <c r="L12" s="121"/>
      <c r="N12" s="126">
        <v>34.0</v>
      </c>
    </row>
    <row r="13" ht="15.0" customHeight="1">
      <c r="A13" s="125" t="s">
        <v>33</v>
      </c>
      <c r="B13" s="125" t="s">
        <v>574</v>
      </c>
      <c r="C13" s="142">
        <v>2.0</v>
      </c>
      <c r="D13" s="142">
        <v>1.0</v>
      </c>
      <c r="E13" s="121"/>
      <c r="F13" s="121"/>
      <c r="G13" s="121"/>
      <c r="H13" s="121"/>
      <c r="I13" s="121"/>
      <c r="J13" s="121"/>
      <c r="L13" s="121"/>
      <c r="N13" s="126">
        <v>3.0</v>
      </c>
    </row>
    <row r="14" ht="15.0" customHeight="1">
      <c r="A14" s="125" t="s">
        <v>30</v>
      </c>
      <c r="B14" s="125" t="s">
        <v>550</v>
      </c>
      <c r="C14" s="142">
        <v>2.0</v>
      </c>
      <c r="D14" s="142">
        <v>2.0</v>
      </c>
      <c r="E14" s="121"/>
      <c r="F14" s="121"/>
      <c r="G14" s="121"/>
      <c r="H14" s="121"/>
      <c r="I14" s="121"/>
      <c r="J14" s="121"/>
      <c r="L14" s="121"/>
      <c r="N14" s="126">
        <v>4.0</v>
      </c>
    </row>
    <row r="15" ht="15.0" customHeight="1">
      <c r="A15" s="125" t="s">
        <v>30</v>
      </c>
      <c r="B15" s="125" t="s">
        <v>546</v>
      </c>
      <c r="C15" s="142">
        <v>5.0</v>
      </c>
      <c r="D15" s="142">
        <v>1.0</v>
      </c>
      <c r="E15" s="142">
        <v>2.0</v>
      </c>
      <c r="F15" s="142">
        <v>2.0</v>
      </c>
      <c r="G15" s="142">
        <v>3.0</v>
      </c>
      <c r="H15" s="121"/>
      <c r="I15" s="142">
        <v>1.0</v>
      </c>
      <c r="J15" s="121"/>
      <c r="K15" s="142">
        <v>1.0</v>
      </c>
      <c r="L15" s="142">
        <v>1.0</v>
      </c>
      <c r="M15" s="126">
        <v>1.0</v>
      </c>
      <c r="N15" s="126">
        <v>17.0</v>
      </c>
    </row>
    <row r="16" ht="15.0" customHeight="1">
      <c r="A16" s="125" t="s">
        <v>30</v>
      </c>
      <c r="B16" s="125" t="s">
        <v>211</v>
      </c>
      <c r="C16" s="142">
        <v>3.0</v>
      </c>
      <c r="D16" s="142">
        <v>1.0</v>
      </c>
      <c r="E16" s="142">
        <v>1.0</v>
      </c>
      <c r="F16" s="121"/>
      <c r="G16" s="142">
        <v>1.0</v>
      </c>
      <c r="H16" s="121"/>
      <c r="I16" s="121"/>
      <c r="J16" s="142">
        <v>2.0</v>
      </c>
      <c r="L16" s="121"/>
      <c r="N16" s="126">
        <v>8.0</v>
      </c>
    </row>
    <row r="17" ht="15.0" customHeight="1">
      <c r="A17" s="125" t="s">
        <v>30</v>
      </c>
      <c r="B17" s="125" t="s">
        <v>552</v>
      </c>
      <c r="C17" s="142">
        <v>6.0</v>
      </c>
      <c r="D17" s="142">
        <v>3.0</v>
      </c>
      <c r="E17" s="142">
        <v>1.0</v>
      </c>
      <c r="F17" s="142">
        <v>2.0</v>
      </c>
      <c r="G17" s="121"/>
      <c r="H17" s="142">
        <v>1.0</v>
      </c>
      <c r="I17" s="121"/>
      <c r="J17" s="121"/>
      <c r="L17" s="121"/>
      <c r="N17" s="126">
        <v>13.0</v>
      </c>
    </row>
    <row r="18" ht="15.0" customHeight="1">
      <c r="A18" s="125" t="s">
        <v>30</v>
      </c>
      <c r="B18" s="125" t="s">
        <v>548</v>
      </c>
      <c r="C18" s="142">
        <v>3.0</v>
      </c>
      <c r="D18" s="142">
        <v>2.0</v>
      </c>
      <c r="E18" s="142">
        <v>2.0</v>
      </c>
      <c r="F18" s="121"/>
      <c r="G18" s="142">
        <v>1.0</v>
      </c>
      <c r="H18" s="121"/>
      <c r="I18" s="121"/>
      <c r="J18" s="121"/>
      <c r="L18" s="121"/>
      <c r="N18" s="126">
        <v>8.0</v>
      </c>
    </row>
    <row r="19" ht="15.0" customHeight="1">
      <c r="A19" s="125" t="s">
        <v>30</v>
      </c>
      <c r="B19" s="125" t="s">
        <v>544</v>
      </c>
      <c r="C19" s="142">
        <v>1.0</v>
      </c>
      <c r="D19" s="121"/>
      <c r="E19" s="142">
        <v>2.0</v>
      </c>
      <c r="F19" s="121"/>
      <c r="G19" s="121"/>
      <c r="H19" s="121"/>
      <c r="I19" s="121"/>
      <c r="J19" s="121"/>
      <c r="L19" s="121"/>
      <c r="N19" s="126">
        <v>3.0</v>
      </c>
    </row>
    <row r="20" ht="15.0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121"/>
    </row>
    <row r="21" ht="15.75" customHeight="1">
      <c r="A21" s="121"/>
      <c r="B21" s="121"/>
      <c r="C21" s="121"/>
      <c r="D21" s="121"/>
      <c r="E21" s="121"/>
      <c r="F21" s="121"/>
      <c r="G21" s="121"/>
      <c r="H21" s="121"/>
      <c r="I21" s="121"/>
      <c r="J21" s="121"/>
    </row>
    <row r="22" ht="15.75" customHeight="1">
      <c r="A22" s="121"/>
      <c r="B22" s="121"/>
      <c r="C22" s="121"/>
      <c r="D22" s="121"/>
      <c r="E22" s="121"/>
      <c r="F22" s="121"/>
      <c r="G22" s="121"/>
      <c r="H22" s="121"/>
      <c r="I22" s="121"/>
      <c r="J22" s="121"/>
    </row>
    <row r="23" ht="15.75" customHeight="1">
      <c r="A23" s="121"/>
      <c r="B23" s="121"/>
      <c r="C23" s="121"/>
      <c r="D23" s="121"/>
      <c r="E23" s="121"/>
      <c r="F23" s="121"/>
      <c r="G23" s="121"/>
      <c r="H23" s="121"/>
      <c r="I23" s="121"/>
      <c r="J23" s="121"/>
    </row>
    <row r="24" ht="15.75" customHeigh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</row>
    <row r="25" ht="15.75" customHeigh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</row>
    <row r="26" ht="15.75" customHeight="1">
      <c r="A26" s="121"/>
      <c r="B26" s="121"/>
      <c r="C26" s="121"/>
      <c r="D26" s="121"/>
      <c r="E26" s="121"/>
      <c r="F26" s="121"/>
      <c r="G26" s="121"/>
      <c r="H26" s="121"/>
      <c r="I26" s="121"/>
      <c r="J26" s="121"/>
    </row>
    <row r="27" ht="15.75" customHeigh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</row>
    <row r="28" ht="15.75" customHeight="1">
      <c r="A28" s="121"/>
      <c r="B28" s="121"/>
      <c r="C28" s="121"/>
      <c r="D28" s="121"/>
      <c r="E28" s="121"/>
      <c r="F28" s="121"/>
      <c r="G28" s="121"/>
      <c r="H28" s="121"/>
      <c r="I28" s="121"/>
      <c r="J28" s="121"/>
    </row>
    <row r="29" ht="15.75" customHeight="1">
      <c r="A29" s="121"/>
      <c r="B29" s="121"/>
      <c r="C29" s="121"/>
      <c r="D29" s="121"/>
      <c r="E29" s="121"/>
      <c r="F29" s="121"/>
      <c r="G29" s="121"/>
      <c r="H29" s="121"/>
      <c r="I29" s="121"/>
      <c r="J29" s="121"/>
    </row>
    <row r="30" ht="15.75" customHeight="1">
      <c r="A30" s="121"/>
      <c r="B30" s="121"/>
      <c r="C30" s="121"/>
      <c r="D30" s="121"/>
      <c r="E30" s="121"/>
      <c r="F30" s="121"/>
      <c r="G30" s="121"/>
      <c r="H30" s="121"/>
      <c r="I30" s="121"/>
      <c r="J30" s="121"/>
    </row>
    <row r="31" ht="15.75" customHeight="1">
      <c r="A31" s="121"/>
      <c r="B31" s="121"/>
      <c r="C31" s="121"/>
      <c r="D31" s="121"/>
      <c r="E31" s="121"/>
      <c r="F31" s="121"/>
      <c r="G31" s="121"/>
      <c r="H31" s="121"/>
      <c r="I31" s="121"/>
      <c r="J31" s="121"/>
    </row>
    <row r="32" ht="15.75" customHeight="1">
      <c r="A32" s="121"/>
      <c r="B32" s="121"/>
      <c r="C32" s="121"/>
      <c r="D32" s="121"/>
      <c r="E32" s="121"/>
      <c r="F32" s="121"/>
      <c r="G32" s="121"/>
      <c r="H32" s="121"/>
      <c r="I32" s="121"/>
      <c r="J32" s="121"/>
    </row>
    <row r="33" ht="15.75" customHeigh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</row>
    <row r="34" ht="15.75" customHeight="1">
      <c r="A34" s="121"/>
      <c r="B34" s="121"/>
      <c r="C34" s="121"/>
      <c r="D34" s="121"/>
      <c r="E34" s="121"/>
      <c r="F34" s="121"/>
      <c r="G34" s="121"/>
      <c r="H34" s="121"/>
      <c r="I34" s="121"/>
      <c r="J34" s="121"/>
    </row>
    <row r="35" ht="15.75" customHeigh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</row>
    <row r="36" ht="15.75" customHeigh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</row>
    <row r="37" ht="15.7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</row>
    <row r="38" ht="15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</row>
    <row r="39" ht="15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</row>
    <row r="40" ht="15.7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</row>
    <row r="41" ht="15.7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</row>
    <row r="42" ht="15.7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</row>
    <row r="43" ht="15.7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</row>
    <row r="44" ht="15.7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</row>
    <row r="45" ht="15.7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</row>
    <row r="46" ht="15.7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</row>
    <row r="47" ht="15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</row>
    <row r="48" ht="15.7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</row>
    <row r="49" ht="15.7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</row>
    <row r="50" ht="15.7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</row>
    <row r="51" ht="15.7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</row>
    <row r="52" ht="15.7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</row>
    <row r="53" ht="15.7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</row>
    <row r="54" ht="15.7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</row>
    <row r="55" ht="15.7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</row>
    <row r="56" ht="15.7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</row>
    <row r="57" ht="15.7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</row>
    <row r="58" ht="15.7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</row>
    <row r="59" ht="15.7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</row>
    <row r="60" ht="15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</row>
    <row r="61" ht="15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</row>
    <row r="62" ht="15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</row>
    <row r="63" ht="15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</row>
    <row r="64" ht="15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</row>
    <row r="65" ht="15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</row>
    <row r="66" ht="15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</row>
    <row r="67" ht="15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</row>
    <row r="68" ht="15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</row>
    <row r="69" ht="15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</row>
    <row r="70" ht="15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</row>
    <row r="71" ht="15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</row>
    <row r="72" ht="15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</row>
    <row r="73" ht="15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</row>
    <row r="74" ht="15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</row>
    <row r="75" ht="15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</row>
    <row r="76" ht="15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</row>
    <row r="77" ht="15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</row>
    <row r="78" ht="15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</row>
    <row r="79" ht="15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</row>
    <row r="80" ht="15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</row>
    <row r="81" ht="15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</row>
    <row r="82" ht="15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</row>
    <row r="83" ht="15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</row>
    <row r="84" ht="15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</row>
    <row r="85" ht="15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</row>
    <row r="86" ht="15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</row>
    <row r="87" ht="15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</row>
    <row r="88" ht="15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</row>
    <row r="89" ht="15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</row>
    <row r="90" ht="15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</row>
    <row r="91" ht="15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</row>
    <row r="92" ht="15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</row>
    <row r="93" ht="15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</row>
    <row r="94" ht="15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</row>
    <row r="95" ht="15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</row>
    <row r="96" ht="15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</row>
    <row r="97" ht="15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</row>
    <row r="98" ht="15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</row>
    <row r="99" ht="15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</row>
    <row r="100" ht="15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</row>
    <row r="101" ht="15.7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</row>
    <row r="102" ht="15.7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</row>
    <row r="103" ht="15.7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</row>
    <row r="104" ht="15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</row>
    <row r="105" ht="15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</row>
    <row r="106" ht="15.7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</row>
    <row r="107" ht="15.7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</row>
    <row r="108" ht="15.7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</row>
    <row r="109" ht="15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</row>
    <row r="110" ht="15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</row>
    <row r="111" ht="15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</row>
    <row r="112" ht="15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</row>
    <row r="113" ht="15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</row>
    <row r="114" ht="15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</row>
    <row r="115" ht="15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</row>
    <row r="116" ht="15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</row>
    <row r="117" ht="15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</row>
    <row r="118" ht="15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</row>
    <row r="119" ht="15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</row>
    <row r="120" ht="15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</row>
    <row r="121" ht="15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</row>
    <row r="122" ht="15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</row>
    <row r="123" ht="15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</row>
    <row r="124" ht="15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</row>
    <row r="125" ht="15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</row>
    <row r="126" ht="15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</row>
    <row r="127" ht="15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</row>
    <row r="128" ht="15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</row>
    <row r="129" ht="15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</row>
    <row r="130" ht="15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</row>
    <row r="131" ht="15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</row>
    <row r="132" ht="15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</row>
    <row r="133" ht="15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</row>
    <row r="134" ht="15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</row>
    <row r="135" ht="15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</row>
    <row r="136" ht="15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</row>
    <row r="137" ht="15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</row>
    <row r="138" ht="15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</row>
    <row r="139" ht="15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</row>
    <row r="140" ht="15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</row>
    <row r="141" ht="15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</row>
    <row r="142" ht="15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</row>
    <row r="143" ht="15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</row>
    <row r="144" ht="15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</row>
    <row r="145" ht="15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</row>
    <row r="146" ht="15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</row>
    <row r="147" ht="15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</row>
    <row r="148" ht="15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</row>
    <row r="149" ht="15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</row>
    <row r="150" ht="15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</row>
    <row r="151" ht="15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</row>
    <row r="152" ht="15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</row>
    <row r="153" ht="15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</row>
    <row r="154" ht="15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</row>
    <row r="155" ht="15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</row>
    <row r="156" ht="15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</row>
    <row r="157" ht="15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</row>
    <row r="158" ht="15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</row>
    <row r="159" ht="15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</row>
    <row r="160" ht="15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</row>
    <row r="161" ht="15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</row>
    <row r="162" ht="15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</row>
    <row r="163" ht="15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</row>
    <row r="164" ht="15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</row>
    <row r="165" ht="15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</row>
    <row r="166" ht="15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</row>
    <row r="167" ht="15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</row>
    <row r="168" ht="15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</row>
    <row r="169" ht="15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</row>
    <row r="170" ht="15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</row>
    <row r="171" ht="15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</row>
    <row r="172" ht="15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</row>
    <row r="173" ht="15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</row>
    <row r="174" ht="15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</row>
    <row r="175" ht="15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</row>
    <row r="176" ht="15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</row>
    <row r="177" ht="15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</row>
    <row r="178" ht="15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</row>
    <row r="179" ht="15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</row>
    <row r="180" ht="15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</row>
    <row r="181" ht="15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</row>
    <row r="182" ht="15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</row>
    <row r="183" ht="15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</row>
    <row r="184" ht="15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</row>
    <row r="185" ht="15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</row>
    <row r="186" ht="15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</row>
    <row r="187" ht="15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</row>
    <row r="188" ht="15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</row>
    <row r="189" ht="15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</row>
    <row r="190" ht="15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</row>
    <row r="191" ht="15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</row>
    <row r="192" ht="15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</row>
    <row r="193" ht="15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</row>
    <row r="194" ht="15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</row>
    <row r="195" ht="15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</row>
    <row r="196" ht="15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</row>
    <row r="197" ht="15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</row>
    <row r="198" ht="15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</row>
    <row r="199" ht="15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</row>
    <row r="200" ht="15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</row>
    <row r="201" ht="15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</row>
    <row r="202" ht="15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</row>
    <row r="203" ht="15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</row>
    <row r="204" ht="15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</row>
    <row r="205" ht="15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</row>
    <row r="206" ht="15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</row>
    <row r="207" ht="15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</row>
    <row r="208" ht="15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</row>
    <row r="209" ht="15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</row>
    <row r="210" ht="15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</row>
    <row r="211" ht="15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</row>
    <row r="212" ht="15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</row>
    <row r="213" ht="15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</row>
    <row r="214" ht="15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</row>
    <row r="215" ht="15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</row>
    <row r="216" ht="15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</row>
    <row r="217" ht="15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</row>
    <row r="218" ht="15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</row>
    <row r="219" ht="15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</row>
    <row r="220" ht="15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</row>
    <row r="221" ht="15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</row>
    <row r="222" ht="15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</row>
    <row r="223" ht="15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</row>
    <row r="224" ht="15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</row>
    <row r="225" ht="15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</row>
    <row r="226" ht="15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</row>
    <row r="227" ht="15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</row>
    <row r="228" ht="15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</row>
    <row r="229" ht="15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</row>
    <row r="230" ht="15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</row>
    <row r="231" ht="15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</row>
    <row r="232" ht="15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</row>
    <row r="233" ht="15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</row>
    <row r="234" ht="15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</row>
    <row r="235" ht="15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</row>
    <row r="236" ht="15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</row>
    <row r="237" ht="15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</row>
    <row r="238" ht="15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</row>
    <row r="239" ht="15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</row>
    <row r="240" ht="15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</row>
    <row r="241" ht="15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</row>
    <row r="242" ht="15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</row>
    <row r="243" ht="15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</row>
    <row r="244" ht="15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</row>
    <row r="245" ht="15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</row>
    <row r="246" ht="15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</row>
    <row r="247" ht="15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</row>
    <row r="248" ht="15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</row>
    <row r="249" ht="15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</row>
    <row r="250" ht="15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</row>
    <row r="251" ht="15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</row>
    <row r="252" ht="15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</row>
    <row r="253" ht="15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</row>
    <row r="254" ht="15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</row>
    <row r="255" ht="15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</row>
    <row r="256" ht="15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</row>
    <row r="257" ht="15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</row>
    <row r="258" ht="15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</row>
    <row r="259" ht="15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</row>
    <row r="260" ht="15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</row>
    <row r="261" ht="15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</row>
    <row r="262" ht="15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</row>
    <row r="263" ht="15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</row>
    <row r="264" ht="15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</row>
    <row r="265" ht="15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</row>
    <row r="266" ht="15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</row>
    <row r="267" ht="15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</row>
    <row r="268" ht="15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</row>
    <row r="269" ht="15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</row>
    <row r="270" ht="15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</row>
    <row r="271" ht="15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</row>
    <row r="272" ht="15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</row>
    <row r="273" ht="15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</row>
    <row r="274" ht="15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</row>
    <row r="275" ht="15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</row>
    <row r="276" ht="15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</row>
    <row r="277" ht="15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</row>
    <row r="278" ht="15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</row>
    <row r="279" ht="15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</row>
    <row r="280" ht="15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</row>
    <row r="281" ht="15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</row>
    <row r="282" ht="15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</row>
    <row r="283" ht="15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</row>
    <row r="284" ht="15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</row>
    <row r="285" ht="15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</row>
    <row r="286" ht="15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</row>
    <row r="287" ht="15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</row>
    <row r="288" ht="15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</row>
    <row r="289" ht="15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</row>
    <row r="290" ht="15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</row>
    <row r="291" ht="15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</row>
    <row r="292" ht="15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</row>
    <row r="293" ht="15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</row>
    <row r="294" ht="15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</row>
    <row r="295" ht="15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</row>
    <row r="296" ht="15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</row>
    <row r="297" ht="15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</row>
    <row r="298" ht="15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</row>
    <row r="299" ht="15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</row>
    <row r="300" ht="15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</row>
    <row r="301" ht="15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</row>
    <row r="302" ht="15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</row>
    <row r="303" ht="15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</row>
    <row r="304" ht="15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</row>
    <row r="305" ht="15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</row>
    <row r="306" ht="15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</row>
    <row r="307" ht="15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</row>
    <row r="308" ht="15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</row>
    <row r="309" ht="15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</row>
    <row r="310" ht="15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</row>
    <row r="311" ht="15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</row>
    <row r="312" ht="15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</row>
    <row r="313" ht="15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</row>
    <row r="314" ht="15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</row>
    <row r="315" ht="15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</row>
    <row r="316" ht="15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</row>
    <row r="317" ht="15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</row>
    <row r="318" ht="15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</row>
    <row r="319" ht="15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</row>
    <row r="320" ht="15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</row>
    <row r="321" ht="15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</row>
    <row r="322" ht="15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</row>
    <row r="323" ht="15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</row>
    <row r="324" ht="15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</row>
    <row r="325" ht="15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</row>
    <row r="326" ht="15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</row>
    <row r="327" ht="15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</row>
    <row r="328" ht="15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</row>
    <row r="329" ht="15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</row>
    <row r="330" ht="15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</row>
    <row r="331" ht="15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</row>
    <row r="332" ht="15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</row>
    <row r="333" ht="15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</row>
    <row r="334" ht="15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</row>
    <row r="335" ht="15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</row>
    <row r="336" ht="15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</row>
    <row r="337" ht="15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</row>
    <row r="338" ht="15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</row>
    <row r="339" ht="15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</row>
    <row r="340" ht="15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</row>
    <row r="341" ht="15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</row>
    <row r="342" ht="15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</row>
    <row r="343" ht="15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</row>
    <row r="344" ht="15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</row>
    <row r="345" ht="15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</row>
    <row r="346" ht="15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</row>
    <row r="347" ht="15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</row>
    <row r="348" ht="15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</row>
    <row r="349" ht="15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</row>
    <row r="350" ht="15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</row>
    <row r="351" ht="15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</row>
    <row r="352" ht="15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</row>
    <row r="353" ht="15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</row>
    <row r="354" ht="15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</row>
    <row r="355" ht="15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</row>
    <row r="356" ht="15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</row>
    <row r="357" ht="15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</row>
    <row r="358" ht="15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</row>
    <row r="359" ht="15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</row>
    <row r="360" ht="15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</row>
    <row r="361" ht="15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</row>
    <row r="362" ht="15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</row>
    <row r="363" ht="15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</row>
    <row r="364" ht="15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</row>
    <row r="365" ht="15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</row>
    <row r="366" ht="15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</row>
    <row r="367" ht="15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</row>
    <row r="368" ht="15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</row>
    <row r="369" ht="15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</row>
    <row r="370" ht="15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</row>
    <row r="371" ht="15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</row>
    <row r="372" ht="15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</row>
    <row r="373" ht="15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</row>
    <row r="374" ht="15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</row>
    <row r="375" ht="15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</row>
    <row r="376" ht="15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</row>
    <row r="377" ht="15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</row>
    <row r="378" ht="15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</row>
    <row r="379" ht="15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</row>
    <row r="380" ht="15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</row>
    <row r="381" ht="15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</row>
    <row r="382" ht="15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</row>
    <row r="383" ht="15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</row>
    <row r="384" ht="15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</row>
    <row r="385" ht="15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</row>
    <row r="386" ht="15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</row>
    <row r="387" ht="15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</row>
    <row r="388" ht="15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</row>
    <row r="389" ht="15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</row>
    <row r="390" ht="15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</row>
    <row r="391" ht="15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</row>
    <row r="392" ht="15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</row>
    <row r="393" ht="15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</row>
    <row r="394" ht="15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</row>
    <row r="395" ht="15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</row>
    <row r="396" ht="15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</row>
    <row r="397" ht="15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</row>
    <row r="398" ht="15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</row>
    <row r="399" ht="15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</row>
    <row r="400" ht="15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</row>
    <row r="401" ht="15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</row>
    <row r="402" ht="15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</row>
    <row r="403" ht="15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</row>
    <row r="404" ht="15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</row>
    <row r="405" ht="15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</row>
    <row r="406" ht="15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</row>
    <row r="407" ht="15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</row>
    <row r="408" ht="15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</row>
    <row r="409" ht="15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</row>
    <row r="410" ht="15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</row>
    <row r="411" ht="15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</row>
    <row r="412" ht="15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</row>
    <row r="413" ht="15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</row>
    <row r="414" ht="15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</row>
    <row r="415" ht="15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</row>
    <row r="416" ht="15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</row>
    <row r="417" ht="15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</row>
    <row r="418" ht="15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</row>
    <row r="419" ht="15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</row>
    <row r="420" ht="15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</row>
    <row r="421" ht="15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</row>
    <row r="422" ht="15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</row>
    <row r="423" ht="15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</row>
    <row r="424" ht="15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</row>
    <row r="425" ht="15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</row>
    <row r="426" ht="15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</row>
    <row r="427" ht="15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</row>
    <row r="428" ht="15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</row>
    <row r="429" ht="15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</row>
    <row r="430" ht="15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</row>
    <row r="431" ht="15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</row>
    <row r="432" ht="15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</row>
    <row r="433" ht="15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</row>
    <row r="434" ht="15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</row>
    <row r="435" ht="15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</row>
    <row r="436" ht="15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</row>
    <row r="437" ht="15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</row>
    <row r="438" ht="15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</row>
    <row r="439" ht="15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</row>
    <row r="440" ht="15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</row>
    <row r="441" ht="15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</row>
    <row r="442" ht="15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</row>
    <row r="443" ht="15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</row>
    <row r="444" ht="15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</row>
    <row r="445" ht="15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</row>
    <row r="446" ht="15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</row>
    <row r="447" ht="15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</row>
    <row r="448" ht="15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</row>
    <row r="449" ht="15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</row>
    <row r="450" ht="15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</row>
    <row r="451" ht="15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</row>
    <row r="452" ht="15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</row>
    <row r="453" ht="15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</row>
    <row r="454" ht="15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</row>
    <row r="455" ht="15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</row>
    <row r="456" ht="15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</row>
    <row r="457" ht="15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</row>
    <row r="458" ht="15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</row>
    <row r="459" ht="15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</row>
    <row r="460" ht="15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</row>
    <row r="461" ht="15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</row>
    <row r="462" ht="15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</row>
    <row r="463" ht="15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</row>
    <row r="464" ht="15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</row>
    <row r="465" ht="15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</row>
    <row r="466" ht="15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</row>
    <row r="467" ht="15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</row>
    <row r="468" ht="15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</row>
    <row r="469" ht="15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</row>
    <row r="470" ht="15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</row>
    <row r="471" ht="15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</row>
    <row r="472" ht="15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</row>
    <row r="473" ht="15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</row>
    <row r="474" ht="15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</row>
    <row r="475" ht="15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</row>
    <row r="476" ht="15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</row>
    <row r="477" ht="15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</row>
    <row r="478" ht="15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</row>
    <row r="479" ht="15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</row>
    <row r="480" ht="15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</row>
    <row r="481" ht="15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</row>
    <row r="482" ht="15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</row>
    <row r="483" ht="15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</row>
    <row r="484" ht="15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</row>
    <row r="485" ht="15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</row>
    <row r="486" ht="15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</row>
    <row r="487" ht="15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</row>
    <row r="488" ht="15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</row>
    <row r="489" ht="15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</row>
    <row r="490" ht="15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</row>
    <row r="491" ht="15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</row>
    <row r="492" ht="15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</row>
    <row r="493" ht="15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</row>
    <row r="494" ht="15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</row>
    <row r="495" ht="15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</row>
    <row r="496" ht="15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</row>
    <row r="497" ht="15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</row>
    <row r="498" ht="15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</row>
    <row r="499" ht="15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</row>
    <row r="500" ht="15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</row>
    <row r="501" ht="15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</row>
    <row r="502" ht="15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</row>
    <row r="503" ht="15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</row>
    <row r="504" ht="15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</row>
    <row r="505" ht="15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</row>
    <row r="506" ht="15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</row>
    <row r="507" ht="15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</row>
    <row r="508" ht="15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</row>
    <row r="509" ht="15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</row>
    <row r="510" ht="15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</row>
    <row r="511" ht="15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</row>
    <row r="512" ht="15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</row>
    <row r="513" ht="15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</row>
    <row r="514" ht="15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</row>
    <row r="515" ht="15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</row>
    <row r="516" ht="15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</row>
    <row r="517" ht="15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</row>
    <row r="518" ht="15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</row>
    <row r="519" ht="15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</row>
    <row r="520" ht="15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</row>
    <row r="521" ht="15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</row>
    <row r="522" ht="15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</row>
    <row r="523" ht="15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</row>
    <row r="524" ht="15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</row>
    <row r="525" ht="15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</row>
    <row r="526" ht="15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</row>
    <row r="527" ht="15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</row>
    <row r="528" ht="15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</row>
    <row r="529" ht="15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</row>
    <row r="530" ht="15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</row>
    <row r="531" ht="15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</row>
    <row r="532" ht="15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</row>
    <row r="533" ht="15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</row>
    <row r="534" ht="15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</row>
    <row r="535" ht="15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</row>
    <row r="536" ht="15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</row>
    <row r="537" ht="15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</row>
    <row r="538" ht="15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</row>
    <row r="539" ht="15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</row>
    <row r="540" ht="15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</row>
    <row r="541" ht="15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</row>
    <row r="542" ht="15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</row>
    <row r="543" ht="15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</row>
    <row r="544" ht="15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</row>
    <row r="545" ht="15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</row>
    <row r="546" ht="15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</row>
    <row r="547" ht="15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</row>
    <row r="548" ht="15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</row>
    <row r="549" ht="15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</row>
    <row r="550" ht="15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</row>
    <row r="551" ht="15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</row>
    <row r="552" ht="15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</row>
    <row r="553" ht="15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</row>
    <row r="554" ht="15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</row>
    <row r="555" ht="15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</row>
    <row r="556" ht="15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</row>
    <row r="557" ht="15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</row>
    <row r="558" ht="15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</row>
    <row r="559" ht="15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</row>
    <row r="560" ht="15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</row>
    <row r="561" ht="15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</row>
    <row r="562" ht="15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</row>
    <row r="563" ht="15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</row>
    <row r="564" ht="15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</row>
    <row r="565" ht="15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</row>
    <row r="566" ht="15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</row>
    <row r="567" ht="15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</row>
    <row r="568" ht="15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</row>
    <row r="569" ht="15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</row>
    <row r="570" ht="15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</row>
    <row r="571" ht="15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</row>
    <row r="572" ht="15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</row>
    <row r="573" ht="15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</row>
    <row r="574" ht="15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</row>
    <row r="575" ht="15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</row>
    <row r="576" ht="15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</row>
    <row r="577" ht="15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</row>
    <row r="578" ht="15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</row>
    <row r="579" ht="15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</row>
    <row r="580" ht="15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</row>
    <row r="581" ht="15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</row>
    <row r="582" ht="15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</row>
    <row r="583" ht="15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</row>
    <row r="584" ht="15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</row>
    <row r="585" ht="15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</row>
    <row r="586" ht="15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</row>
    <row r="587" ht="15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</row>
    <row r="588" ht="15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</row>
    <row r="589" ht="15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</row>
    <row r="590" ht="15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</row>
    <row r="591" ht="15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</row>
    <row r="592" ht="15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</row>
    <row r="593" ht="15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</row>
    <row r="594" ht="15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</row>
    <row r="595" ht="15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</row>
    <row r="596" ht="15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</row>
    <row r="597" ht="15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</row>
    <row r="598" ht="15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</row>
    <row r="599" ht="15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</row>
    <row r="600" ht="15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</row>
    <row r="601" ht="15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</row>
    <row r="602" ht="15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</row>
    <row r="603" ht="15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</row>
    <row r="604" ht="15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</row>
    <row r="605" ht="15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</row>
    <row r="606" ht="15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</row>
    <row r="607" ht="15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</row>
    <row r="608" ht="15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</row>
    <row r="609" ht="15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</row>
    <row r="610" ht="15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</row>
    <row r="611" ht="15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</row>
    <row r="612" ht="15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</row>
    <row r="613" ht="15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</row>
    <row r="614" ht="15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</row>
    <row r="615" ht="15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</row>
    <row r="616" ht="15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</row>
    <row r="617" ht="15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</row>
    <row r="618" ht="15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</row>
    <row r="619" ht="15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</row>
    <row r="620" ht="15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</row>
    <row r="621" ht="15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</row>
    <row r="622" ht="15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</row>
    <row r="623" ht="15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</row>
    <row r="624" ht="15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</row>
    <row r="625" ht="15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</row>
    <row r="626" ht="15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</row>
    <row r="627" ht="15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</row>
    <row r="628" ht="15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</row>
    <row r="629" ht="15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</row>
    <row r="630" ht="15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</row>
    <row r="631" ht="15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</row>
    <row r="632" ht="15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</row>
    <row r="633" ht="15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</row>
    <row r="634" ht="15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</row>
    <row r="635" ht="15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</row>
    <row r="636" ht="15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</row>
    <row r="637" ht="15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</row>
    <row r="638" ht="15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</row>
    <row r="639" ht="15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</row>
    <row r="640" ht="15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</row>
    <row r="641" ht="15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</row>
    <row r="642" ht="15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</row>
    <row r="643" ht="15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</row>
    <row r="644" ht="15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</row>
    <row r="645" ht="15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</row>
    <row r="646" ht="15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</row>
    <row r="647" ht="15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</row>
    <row r="648" ht="15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</row>
    <row r="649" ht="15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</row>
    <row r="650" ht="15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</row>
    <row r="651" ht="15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</row>
    <row r="652" ht="15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</row>
    <row r="653" ht="15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</row>
    <row r="654" ht="15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</row>
    <row r="655" ht="15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</row>
    <row r="656" ht="15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</row>
    <row r="657" ht="15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</row>
    <row r="658" ht="15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</row>
    <row r="659" ht="15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</row>
    <row r="660" ht="15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</row>
    <row r="661" ht="15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</row>
    <row r="662" ht="15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</row>
    <row r="663" ht="15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</row>
    <row r="664" ht="15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</row>
    <row r="665" ht="15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</row>
    <row r="666" ht="15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</row>
    <row r="667" ht="15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</row>
    <row r="668" ht="15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</row>
    <row r="669" ht="15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</row>
    <row r="670" ht="15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</row>
    <row r="671" ht="15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</row>
    <row r="672" ht="15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</row>
    <row r="673" ht="15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</row>
    <row r="674" ht="15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</row>
    <row r="675" ht="15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</row>
    <row r="676" ht="15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</row>
    <row r="677" ht="15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</row>
    <row r="678" ht="15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</row>
    <row r="679" ht="15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</row>
    <row r="680" ht="15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</row>
    <row r="681" ht="15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</row>
    <row r="682" ht="15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</row>
    <row r="683" ht="15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</row>
    <row r="684" ht="15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</row>
    <row r="685" ht="15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</row>
    <row r="686" ht="15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</row>
    <row r="687" ht="15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</row>
    <row r="688" ht="15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</row>
    <row r="689" ht="15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</row>
    <row r="690" ht="15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</row>
    <row r="691" ht="15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</row>
    <row r="692" ht="15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</row>
    <row r="693" ht="15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</row>
    <row r="694" ht="15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</row>
    <row r="695" ht="15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</row>
    <row r="696" ht="15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</row>
    <row r="697" ht="15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</row>
    <row r="698" ht="15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</row>
    <row r="699" ht="15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</row>
    <row r="700" ht="15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</row>
    <row r="701" ht="15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</row>
    <row r="702" ht="15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</row>
    <row r="703" ht="15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</row>
    <row r="704" ht="15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</row>
    <row r="705" ht="15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</row>
    <row r="706" ht="15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</row>
    <row r="707" ht="15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</row>
    <row r="708" ht="15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</row>
    <row r="709" ht="15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</row>
    <row r="710" ht="15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</row>
    <row r="711" ht="15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</row>
    <row r="712" ht="15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</row>
    <row r="713" ht="15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</row>
    <row r="714" ht="15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</row>
    <row r="715" ht="15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</row>
    <row r="716" ht="15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</row>
    <row r="717" ht="15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</row>
    <row r="718" ht="15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</row>
    <row r="719" ht="15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</row>
    <row r="720" ht="15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</row>
    <row r="721" ht="15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</row>
    <row r="722" ht="15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</row>
    <row r="723" ht="15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</row>
    <row r="724" ht="15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</row>
    <row r="725" ht="15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</row>
    <row r="726" ht="15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</row>
    <row r="727" ht="15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</row>
    <row r="728" ht="15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</row>
    <row r="729" ht="15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</row>
    <row r="730" ht="15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</row>
    <row r="731" ht="15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</row>
    <row r="732" ht="15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</row>
    <row r="733" ht="15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</row>
    <row r="734" ht="15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</row>
    <row r="735" ht="15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</row>
    <row r="736" ht="15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</row>
    <row r="737" ht="15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</row>
    <row r="738" ht="15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</row>
    <row r="739" ht="15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</row>
    <row r="740" ht="15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</row>
    <row r="741" ht="15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</row>
    <row r="742" ht="15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</row>
    <row r="743" ht="15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</row>
    <row r="744" ht="15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</row>
    <row r="745" ht="15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</row>
    <row r="746" ht="15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</row>
    <row r="747" ht="15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</row>
    <row r="748" ht="15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</row>
    <row r="749" ht="15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</row>
    <row r="750" ht="15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</row>
    <row r="751" ht="15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</row>
    <row r="752" ht="15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</row>
    <row r="753" ht="15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</row>
    <row r="754" ht="15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</row>
    <row r="755" ht="15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</row>
    <row r="756" ht="15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</row>
    <row r="757" ht="15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</row>
    <row r="758" ht="15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</row>
    <row r="759" ht="15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</row>
    <row r="760" ht="15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</row>
    <row r="761" ht="15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</row>
    <row r="762" ht="15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</row>
    <row r="763" ht="15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</row>
    <row r="764" ht="15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</row>
    <row r="765" ht="15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</row>
    <row r="766" ht="15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</row>
    <row r="767" ht="15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</row>
    <row r="768" ht="15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</row>
    <row r="769" ht="15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</row>
    <row r="770" ht="15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</row>
    <row r="771" ht="15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</row>
    <row r="772" ht="15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</row>
    <row r="773" ht="15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</row>
    <row r="774" ht="15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</row>
    <row r="775" ht="15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</row>
    <row r="776" ht="15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</row>
    <row r="777" ht="15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</row>
    <row r="778" ht="15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</row>
    <row r="779" ht="15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</row>
    <row r="780" ht="15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</row>
    <row r="781" ht="15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</row>
    <row r="782" ht="15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</row>
    <row r="783" ht="15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</row>
    <row r="784" ht="15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</row>
    <row r="785" ht="15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</row>
    <row r="786" ht="15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</row>
    <row r="787" ht="15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</row>
    <row r="788" ht="15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</row>
    <row r="789" ht="15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</row>
    <row r="790" ht="15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</row>
    <row r="791" ht="15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</row>
    <row r="792" ht="15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</row>
    <row r="793" ht="15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</row>
    <row r="794" ht="15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</row>
    <row r="795" ht="15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</row>
    <row r="796" ht="15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</row>
    <row r="797" ht="15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</row>
    <row r="798" ht="15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</row>
    <row r="799" ht="15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</row>
    <row r="800" ht="15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</row>
    <row r="801" ht="15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</row>
    <row r="802" ht="15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</row>
    <row r="803" ht="15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</row>
    <row r="804" ht="15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</row>
    <row r="805" ht="15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</row>
    <row r="806" ht="15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</row>
    <row r="807" ht="15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</row>
    <row r="808" ht="15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</row>
    <row r="809" ht="15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</row>
    <row r="810" ht="15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</row>
    <row r="811" ht="15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</row>
    <row r="812" ht="15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</row>
    <row r="813" ht="15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</row>
    <row r="814" ht="15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</row>
    <row r="815" ht="15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</row>
    <row r="816" ht="15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</row>
    <row r="817" ht="15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</row>
    <row r="818" ht="15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</row>
    <row r="819" ht="15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</row>
    <row r="820" ht="15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</row>
    <row r="821" ht="15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</row>
    <row r="822" ht="15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</row>
    <row r="823" ht="15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</row>
    <row r="824" ht="15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</row>
    <row r="825" ht="15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</row>
    <row r="826" ht="15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</row>
    <row r="827" ht="15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</row>
    <row r="828" ht="15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</row>
    <row r="829" ht="15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</row>
    <row r="830" ht="15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</row>
    <row r="831" ht="15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</row>
    <row r="832" ht="15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</row>
    <row r="833" ht="15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</row>
    <row r="834" ht="15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</row>
    <row r="835" ht="15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</row>
    <row r="836" ht="15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</row>
    <row r="837" ht="15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</row>
    <row r="838" ht="15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</row>
    <row r="839" ht="15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</row>
    <row r="840" ht="15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</row>
    <row r="841" ht="15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</row>
    <row r="842" ht="15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</row>
    <row r="843" ht="15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</row>
    <row r="844" ht="15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</row>
    <row r="845" ht="15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</row>
    <row r="846" ht="15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</row>
    <row r="847" ht="15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</row>
    <row r="848" ht="15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</row>
    <row r="849" ht="15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</row>
    <row r="850" ht="15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</row>
    <row r="851" ht="15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</row>
    <row r="852" ht="15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</row>
    <row r="853" ht="15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</row>
    <row r="854" ht="15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</row>
    <row r="855" ht="15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</row>
    <row r="856" ht="15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</row>
    <row r="857" ht="15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</row>
    <row r="858" ht="15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</row>
    <row r="859" ht="15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</row>
    <row r="860" ht="15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</row>
    <row r="861" ht="15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</row>
    <row r="862" ht="15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</row>
    <row r="863" ht="15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</row>
    <row r="864" ht="15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</row>
    <row r="865" ht="15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</row>
    <row r="866" ht="15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</row>
    <row r="867" ht="15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</row>
    <row r="868" ht="15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</row>
    <row r="869" ht="15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</row>
    <row r="870" ht="15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</row>
    <row r="871" ht="15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</row>
    <row r="872" ht="15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</row>
    <row r="873" ht="15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</row>
    <row r="874" ht="15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</row>
    <row r="875" ht="15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</row>
    <row r="876" ht="15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</row>
    <row r="877" ht="15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</row>
    <row r="878" ht="15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</row>
    <row r="879" ht="15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</row>
    <row r="880" ht="15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</row>
    <row r="881" ht="15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</row>
    <row r="882" ht="15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</row>
    <row r="883" ht="15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</row>
    <row r="884" ht="15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</row>
    <row r="885" ht="15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</row>
    <row r="886" ht="15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</row>
    <row r="887" ht="15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</row>
    <row r="888" ht="15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</row>
    <row r="889" ht="15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</row>
    <row r="890" ht="15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</row>
    <row r="891" ht="15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</row>
    <row r="892" ht="15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</row>
    <row r="893" ht="15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</row>
    <row r="894" ht="15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</row>
    <row r="895" ht="15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</row>
    <row r="896" ht="15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</row>
    <row r="897" ht="15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</row>
    <row r="898" ht="15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</row>
    <row r="899" ht="15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</row>
    <row r="900" ht="15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</row>
    <row r="901" ht="15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</row>
    <row r="902" ht="15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</row>
    <row r="903" ht="15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</row>
    <row r="904" ht="15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</row>
    <row r="905" ht="15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</row>
    <row r="906" ht="15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</row>
    <row r="907" ht="15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</row>
    <row r="908" ht="15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</row>
    <row r="909" ht="15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</row>
    <row r="910" ht="15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</row>
    <row r="911" ht="15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</row>
    <row r="912" ht="15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</row>
    <row r="913" ht="15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</row>
    <row r="914" ht="15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</row>
    <row r="915" ht="15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</row>
    <row r="916" ht="15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</row>
    <row r="917" ht="15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</row>
    <row r="918" ht="15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</row>
    <row r="919" ht="15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</row>
    <row r="920" ht="15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</row>
    <row r="921" ht="15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</row>
    <row r="922" ht="15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</row>
    <row r="923" ht="15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</row>
    <row r="924" ht="15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</row>
    <row r="925" ht="15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</row>
    <row r="926" ht="15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</row>
    <row r="927" ht="15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</row>
    <row r="928" ht="15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</row>
    <row r="929" ht="15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</row>
    <row r="930" ht="15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</row>
    <row r="931" ht="15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</row>
    <row r="932" ht="15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</row>
    <row r="933" ht="15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</row>
    <row r="934" ht="15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</row>
    <row r="935" ht="15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</row>
    <row r="936" ht="15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</row>
    <row r="937" ht="15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</row>
    <row r="938" ht="15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</row>
    <row r="939" ht="15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</row>
    <row r="940" ht="15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</row>
    <row r="941" ht="15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</row>
    <row r="942" ht="15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</row>
    <row r="943" ht="15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</row>
    <row r="944" ht="15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</row>
    <row r="945" ht="15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</row>
    <row r="946" ht="15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</row>
    <row r="947" ht="15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</row>
    <row r="948" ht="15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</row>
    <row r="949" ht="15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</row>
    <row r="950" ht="15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</row>
    <row r="951" ht="15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</row>
    <row r="952" ht="15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</row>
    <row r="953" ht="15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</row>
    <row r="954" ht="15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</row>
    <row r="955" ht="15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</row>
    <row r="956" ht="15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</row>
    <row r="957" ht="15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</row>
    <row r="958" ht="15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</row>
    <row r="959" ht="15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</row>
    <row r="960" ht="15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</row>
    <row r="961" ht="15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</row>
    <row r="962" ht="15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</row>
    <row r="963" ht="15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</row>
    <row r="964" ht="15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</row>
    <row r="965" ht="15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</row>
    <row r="966" ht="15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</row>
    <row r="967" ht="15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</row>
    <row r="968" ht="15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</row>
    <row r="969" ht="15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</row>
    <row r="970" ht="15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</row>
    <row r="971" ht="15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</row>
    <row r="972" ht="15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</row>
    <row r="973" ht="15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</row>
    <row r="974" ht="15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</row>
    <row r="975" ht="15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</row>
    <row r="976" ht="15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</row>
    <row r="977" ht="15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</row>
    <row r="978" ht="15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</row>
    <row r="979" ht="15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</row>
    <row r="980" ht="15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</row>
    <row r="981" ht="15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</row>
    <row r="982" ht="15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</row>
    <row r="983" ht="15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</row>
    <row r="984" ht="15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</row>
    <row r="985" ht="15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</row>
    <row r="986" ht="15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</row>
    <row r="987" ht="15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</row>
    <row r="988" ht="15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</row>
    <row r="989" ht="15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</row>
    <row r="990" ht="15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</row>
    <row r="991" ht="15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</row>
    <row r="992" ht="15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</row>
    <row r="993" ht="15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</row>
    <row r="994" ht="15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</row>
    <row r="995" ht="15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</row>
    <row r="996" ht="15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</row>
    <row r="997" ht="15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</row>
    <row r="998" ht="15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</row>
    <row r="999" ht="15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</row>
    <row r="1000" ht="15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4.0"/>
    <col customWidth="1" min="9" max="9" width="15.0"/>
    <col customWidth="1" min="10" max="11" width="14.0"/>
  </cols>
  <sheetData>
    <row r="1" ht="36.0" customHeight="1">
      <c r="A1" s="20" t="s">
        <v>1124</v>
      </c>
      <c r="B1" s="20" t="s">
        <v>579</v>
      </c>
      <c r="C1" s="20" t="s">
        <v>1125</v>
      </c>
      <c r="D1" s="20" t="s">
        <v>1126</v>
      </c>
      <c r="E1" s="20" t="s">
        <v>1127</v>
      </c>
      <c r="F1" s="20" t="s">
        <v>1128</v>
      </c>
      <c r="G1" s="20" t="s">
        <v>1129</v>
      </c>
      <c r="H1" s="20" t="s">
        <v>1130</v>
      </c>
      <c r="I1" s="20" t="s">
        <v>1131</v>
      </c>
      <c r="J1" s="20" t="s">
        <v>468</v>
      </c>
      <c r="K1" s="20" t="s">
        <v>68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143" t="s">
        <v>1132</v>
      </c>
      <c r="B2" s="143" t="s">
        <v>1133</v>
      </c>
      <c r="C2" s="143" t="s">
        <v>1134</v>
      </c>
      <c r="D2" s="143" t="s">
        <v>1135</v>
      </c>
      <c r="E2" s="143" t="s">
        <v>1136</v>
      </c>
      <c r="F2" s="143">
        <v>1.0</v>
      </c>
      <c r="G2" s="143" t="s">
        <v>1137</v>
      </c>
      <c r="H2" s="143"/>
      <c r="I2" s="143"/>
      <c r="J2" s="143" t="s">
        <v>1137</v>
      </c>
      <c r="K2" s="14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75" customHeight="1">
      <c r="A3" s="143" t="s">
        <v>1138</v>
      </c>
      <c r="B3" s="143" t="s">
        <v>1133</v>
      </c>
      <c r="C3" s="143" t="s">
        <v>1134</v>
      </c>
      <c r="D3" s="143" t="s">
        <v>1135</v>
      </c>
      <c r="E3" s="143" t="s">
        <v>1139</v>
      </c>
      <c r="F3" s="143">
        <v>1.0</v>
      </c>
      <c r="G3" s="143" t="s">
        <v>1140</v>
      </c>
      <c r="H3" s="143"/>
      <c r="I3" s="143"/>
      <c r="J3" s="143" t="s">
        <v>541</v>
      </c>
      <c r="K3" s="14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75" customHeight="1">
      <c r="A4" s="143" t="s">
        <v>1141</v>
      </c>
      <c r="B4" s="143" t="s">
        <v>1133</v>
      </c>
      <c r="C4" s="143" t="s">
        <v>1134</v>
      </c>
      <c r="D4" s="143" t="s">
        <v>1135</v>
      </c>
      <c r="E4" s="143" t="s">
        <v>1142</v>
      </c>
      <c r="F4" s="143">
        <v>1.0</v>
      </c>
      <c r="G4" s="143" t="s">
        <v>1140</v>
      </c>
      <c r="H4" s="143"/>
      <c r="I4" s="143"/>
      <c r="J4" s="143" t="s">
        <v>541</v>
      </c>
      <c r="K4" s="14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75" customHeight="1">
      <c r="A5" s="143" t="s">
        <v>1143</v>
      </c>
      <c r="B5" s="143" t="s">
        <v>1133</v>
      </c>
      <c r="C5" s="143" t="s">
        <v>1144</v>
      </c>
      <c r="D5" s="143" t="s">
        <v>1135</v>
      </c>
      <c r="E5" s="143" t="s">
        <v>1145</v>
      </c>
      <c r="F5" s="143">
        <v>1.0</v>
      </c>
      <c r="G5" s="143" t="s">
        <v>1140</v>
      </c>
      <c r="H5" s="143"/>
      <c r="I5" s="143"/>
      <c r="J5" s="143" t="s">
        <v>541</v>
      </c>
      <c r="K5" s="14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75" customHeight="1">
      <c r="A6" s="143" t="s">
        <v>1146</v>
      </c>
      <c r="B6" s="143" t="s">
        <v>1133</v>
      </c>
      <c r="C6" s="143" t="s">
        <v>1147</v>
      </c>
      <c r="D6" s="143" t="s">
        <v>1135</v>
      </c>
      <c r="E6" s="143" t="s">
        <v>1148</v>
      </c>
      <c r="F6" s="143">
        <v>1.0</v>
      </c>
      <c r="G6" s="143" t="s">
        <v>1140</v>
      </c>
      <c r="H6" s="143"/>
      <c r="I6" s="143"/>
      <c r="J6" s="143" t="s">
        <v>541</v>
      </c>
      <c r="K6" s="14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75" customHeight="1">
      <c r="A7" s="143" t="s">
        <v>1132</v>
      </c>
      <c r="B7" s="143" t="s">
        <v>1133</v>
      </c>
      <c r="C7" s="143" t="s">
        <v>1149</v>
      </c>
      <c r="D7" s="143" t="s">
        <v>1150</v>
      </c>
      <c r="E7" s="143" t="s">
        <v>1151</v>
      </c>
      <c r="F7" s="143">
        <v>1.0</v>
      </c>
      <c r="G7" s="143" t="s">
        <v>1140</v>
      </c>
      <c r="H7" s="143"/>
      <c r="I7" s="143"/>
      <c r="J7" s="143" t="s">
        <v>541</v>
      </c>
      <c r="K7" s="14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0" customHeight="1">
      <c r="A8" s="143" t="s">
        <v>1138</v>
      </c>
      <c r="B8" s="143" t="s">
        <v>1133</v>
      </c>
      <c r="C8" s="143" t="s">
        <v>1152</v>
      </c>
      <c r="D8" s="143" t="s">
        <v>1150</v>
      </c>
      <c r="E8" s="143" t="s">
        <v>1151</v>
      </c>
      <c r="F8" s="143">
        <v>1.0</v>
      </c>
      <c r="G8" s="143" t="s">
        <v>1140</v>
      </c>
      <c r="H8" s="143"/>
      <c r="I8" s="143"/>
      <c r="J8" s="143" t="s">
        <v>541</v>
      </c>
      <c r="K8" s="14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75" customHeight="1">
      <c r="A9" s="143" t="s">
        <v>1141</v>
      </c>
      <c r="B9" s="143" t="s">
        <v>1133</v>
      </c>
      <c r="C9" s="143" t="s">
        <v>1153</v>
      </c>
      <c r="D9" s="143" t="s">
        <v>1154</v>
      </c>
      <c r="E9" s="143" t="s">
        <v>1151</v>
      </c>
      <c r="F9" s="143">
        <v>1.0</v>
      </c>
      <c r="G9" s="143" t="s">
        <v>1140</v>
      </c>
      <c r="H9" s="143"/>
      <c r="I9" s="143"/>
      <c r="J9" s="143" t="s">
        <v>541</v>
      </c>
      <c r="K9" s="14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7.0" customHeight="1">
      <c r="A10" s="143" t="s">
        <v>1143</v>
      </c>
      <c r="B10" s="143" t="s">
        <v>1133</v>
      </c>
      <c r="C10" s="143" t="s">
        <v>1155</v>
      </c>
      <c r="D10" s="143" t="s">
        <v>1150</v>
      </c>
      <c r="E10" s="143" t="s">
        <v>1151</v>
      </c>
      <c r="F10" s="143">
        <v>1.0</v>
      </c>
      <c r="G10" s="143" t="s">
        <v>1140</v>
      </c>
      <c r="H10" s="143"/>
      <c r="I10" s="143"/>
      <c r="J10" s="143" t="s">
        <v>541</v>
      </c>
      <c r="K10" s="14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7.0" customHeight="1">
      <c r="A11" s="143" t="s">
        <v>1146</v>
      </c>
      <c r="B11" s="143" t="s">
        <v>1133</v>
      </c>
      <c r="C11" s="143" t="s">
        <v>1156</v>
      </c>
      <c r="D11" s="143" t="s">
        <v>1150</v>
      </c>
      <c r="E11" s="143" t="s">
        <v>1151</v>
      </c>
      <c r="F11" s="143">
        <v>1.0</v>
      </c>
      <c r="G11" s="143" t="s">
        <v>1140</v>
      </c>
      <c r="H11" s="143"/>
      <c r="I11" s="143"/>
      <c r="J11" s="143" t="s">
        <v>541</v>
      </c>
      <c r="K11" s="14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7.0" customHeight="1">
      <c r="A12" s="143" t="s">
        <v>1157</v>
      </c>
      <c r="B12" s="143" t="s">
        <v>1133</v>
      </c>
      <c r="C12" s="143" t="s">
        <v>1158</v>
      </c>
      <c r="D12" s="143" t="s">
        <v>1150</v>
      </c>
      <c r="E12" s="143" t="s">
        <v>1151</v>
      </c>
      <c r="F12" s="143">
        <v>1.0</v>
      </c>
      <c r="G12" s="143" t="s">
        <v>1140</v>
      </c>
      <c r="H12" s="143"/>
      <c r="I12" s="143"/>
      <c r="J12" s="143" t="s">
        <v>541</v>
      </c>
      <c r="K12" s="14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5.75" customHeight="1">
      <c r="A13" s="143" t="s">
        <v>1159</v>
      </c>
      <c r="B13" s="143" t="s">
        <v>1133</v>
      </c>
      <c r="C13" s="143" t="s">
        <v>1160</v>
      </c>
      <c r="D13" s="143" t="s">
        <v>1150</v>
      </c>
      <c r="E13" s="143" t="s">
        <v>1151</v>
      </c>
      <c r="F13" s="143">
        <v>1.0</v>
      </c>
      <c r="G13" s="143" t="s">
        <v>1140</v>
      </c>
      <c r="H13" s="143"/>
      <c r="I13" s="143"/>
      <c r="J13" s="143" t="s">
        <v>541</v>
      </c>
      <c r="K13" s="14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7.0" customHeight="1">
      <c r="A14" s="143" t="s">
        <v>1161</v>
      </c>
      <c r="B14" s="143" t="s">
        <v>1133</v>
      </c>
      <c r="C14" s="143" t="s">
        <v>1162</v>
      </c>
      <c r="D14" s="143" t="s">
        <v>1150</v>
      </c>
      <c r="E14" s="143" t="s">
        <v>1151</v>
      </c>
      <c r="F14" s="143">
        <v>1.0</v>
      </c>
      <c r="G14" s="143" t="s">
        <v>1140</v>
      </c>
      <c r="H14" s="143"/>
      <c r="I14" s="143"/>
      <c r="J14" s="143" t="s">
        <v>541</v>
      </c>
      <c r="K14" s="14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7.0" customHeight="1">
      <c r="A15" s="143" t="s">
        <v>1163</v>
      </c>
      <c r="B15" s="143" t="s">
        <v>1133</v>
      </c>
      <c r="C15" s="143" t="s">
        <v>1164</v>
      </c>
      <c r="D15" s="143" t="s">
        <v>1150</v>
      </c>
      <c r="E15" s="143" t="s">
        <v>1165</v>
      </c>
      <c r="F15" s="143">
        <v>1.0</v>
      </c>
      <c r="G15" s="143" t="s">
        <v>1140</v>
      </c>
      <c r="H15" s="143"/>
      <c r="I15" s="143"/>
      <c r="J15" s="143" t="s">
        <v>541</v>
      </c>
      <c r="K15" s="14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3.25" customHeight="1">
      <c r="A16" s="143" t="s">
        <v>1132</v>
      </c>
      <c r="B16" s="143" t="s">
        <v>1133</v>
      </c>
      <c r="C16" s="143" t="s">
        <v>1166</v>
      </c>
      <c r="D16" s="143" t="s">
        <v>1167</v>
      </c>
      <c r="E16" s="143" t="s">
        <v>1168</v>
      </c>
      <c r="F16" s="143">
        <v>1.0</v>
      </c>
      <c r="G16" s="143" t="s">
        <v>1140</v>
      </c>
      <c r="H16" s="143"/>
      <c r="I16" s="143"/>
      <c r="J16" s="143" t="s">
        <v>541</v>
      </c>
      <c r="K16" s="14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3.25" customHeight="1">
      <c r="A17" s="143" t="s">
        <v>1138</v>
      </c>
      <c r="B17" s="143" t="s">
        <v>1133</v>
      </c>
      <c r="C17" s="143" t="s">
        <v>1169</v>
      </c>
      <c r="D17" s="143" t="s">
        <v>1170</v>
      </c>
      <c r="E17" s="143" t="s">
        <v>1168</v>
      </c>
      <c r="F17" s="143">
        <v>1.0</v>
      </c>
      <c r="G17" s="143" t="s">
        <v>1140</v>
      </c>
      <c r="H17" s="143"/>
      <c r="I17" s="143"/>
      <c r="J17" s="143" t="s">
        <v>541</v>
      </c>
      <c r="K17" s="14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3.25" customHeight="1">
      <c r="A18" s="143" t="s">
        <v>1141</v>
      </c>
      <c r="B18" s="143" t="s">
        <v>1133</v>
      </c>
      <c r="C18" s="143" t="s">
        <v>1171</v>
      </c>
      <c r="D18" s="143" t="s">
        <v>1167</v>
      </c>
      <c r="E18" s="143" t="s">
        <v>1168</v>
      </c>
      <c r="F18" s="143">
        <v>1.0</v>
      </c>
      <c r="G18" s="143" t="s">
        <v>1140</v>
      </c>
      <c r="H18" s="143"/>
      <c r="I18" s="143"/>
      <c r="J18" s="143" t="s">
        <v>541</v>
      </c>
      <c r="K18" s="14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3.25" customHeight="1">
      <c r="A19" s="143" t="s">
        <v>1143</v>
      </c>
      <c r="B19" s="143" t="s">
        <v>1133</v>
      </c>
      <c r="C19" s="143" t="s">
        <v>1172</v>
      </c>
      <c r="D19" s="143" t="s">
        <v>1167</v>
      </c>
      <c r="E19" s="143" t="s">
        <v>1168</v>
      </c>
      <c r="F19" s="143">
        <v>1.0</v>
      </c>
      <c r="G19" s="143" t="s">
        <v>1140</v>
      </c>
      <c r="H19" s="143"/>
      <c r="I19" s="143"/>
      <c r="J19" s="143" t="s">
        <v>541</v>
      </c>
      <c r="K19" s="14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143" t="s">
        <v>1146</v>
      </c>
      <c r="B20" s="143" t="s">
        <v>1133</v>
      </c>
      <c r="C20" s="143" t="s">
        <v>1173</v>
      </c>
      <c r="D20" s="143" t="s">
        <v>1167</v>
      </c>
      <c r="E20" s="143" t="s">
        <v>1168</v>
      </c>
      <c r="F20" s="143">
        <v>1.0</v>
      </c>
      <c r="G20" s="143" t="s">
        <v>1140</v>
      </c>
      <c r="H20" s="143"/>
      <c r="I20" s="143"/>
      <c r="J20" s="143" t="s">
        <v>541</v>
      </c>
      <c r="K20" s="14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43" t="s">
        <v>1174</v>
      </c>
      <c r="B21" s="143" t="s">
        <v>1175</v>
      </c>
      <c r="C21" s="143" t="s">
        <v>1175</v>
      </c>
      <c r="D21" s="143"/>
      <c r="E21" s="143"/>
      <c r="F21" s="143">
        <v>16.0</v>
      </c>
      <c r="G21" s="143" t="s">
        <v>1176</v>
      </c>
      <c r="H21" s="143"/>
      <c r="I21" s="143"/>
      <c r="J21" s="143" t="s">
        <v>1177</v>
      </c>
      <c r="K21" s="143" t="s">
        <v>1178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3" t="s">
        <v>1179</v>
      </c>
      <c r="B22" s="143" t="s">
        <v>1180</v>
      </c>
      <c r="C22" s="143" t="s">
        <v>1180</v>
      </c>
      <c r="D22" s="143"/>
      <c r="E22" s="143"/>
      <c r="F22" s="143">
        <v>24.0</v>
      </c>
      <c r="G22" s="143" t="s">
        <v>1176</v>
      </c>
      <c r="H22" s="143"/>
      <c r="I22" s="143"/>
      <c r="J22" s="143" t="s">
        <v>1177</v>
      </c>
      <c r="K22" s="143" t="s">
        <v>1181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3" t="s">
        <v>1182</v>
      </c>
      <c r="B23" s="143" t="s">
        <v>1183</v>
      </c>
      <c r="C23" s="143" t="s">
        <v>1184</v>
      </c>
      <c r="D23" s="143"/>
      <c r="E23" s="143"/>
      <c r="F23" s="143">
        <v>11.0</v>
      </c>
      <c r="G23" s="143" t="s">
        <v>1176</v>
      </c>
      <c r="H23" s="143"/>
      <c r="I23" s="143"/>
      <c r="J23" s="143" t="s">
        <v>1177</v>
      </c>
      <c r="K23" s="143" t="s">
        <v>1185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43" t="s">
        <v>1186</v>
      </c>
      <c r="B24" s="143" t="s">
        <v>1183</v>
      </c>
      <c r="C24" s="143" t="s">
        <v>1187</v>
      </c>
      <c r="D24" s="143"/>
      <c r="E24" s="143"/>
      <c r="F24" s="143">
        <v>7.0</v>
      </c>
      <c r="G24" s="143" t="s">
        <v>1176</v>
      </c>
      <c r="H24" s="143"/>
      <c r="I24" s="143"/>
      <c r="J24" s="143" t="s">
        <v>1177</v>
      </c>
      <c r="K24" s="143" t="s">
        <v>1188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43" t="s">
        <v>1189</v>
      </c>
      <c r="B25" s="143" t="s">
        <v>1183</v>
      </c>
      <c r="C25" s="143" t="s">
        <v>1190</v>
      </c>
      <c r="D25" s="143"/>
      <c r="E25" s="143"/>
      <c r="F25" s="143">
        <v>6.0</v>
      </c>
      <c r="G25" s="143" t="s">
        <v>1176</v>
      </c>
      <c r="H25" s="143"/>
      <c r="I25" s="143"/>
      <c r="J25" s="143" t="s">
        <v>1177</v>
      </c>
      <c r="K25" s="143" t="s">
        <v>1191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43" t="s">
        <v>1192</v>
      </c>
      <c r="B26" s="143" t="s">
        <v>1193</v>
      </c>
      <c r="C26" s="143" t="s">
        <v>1193</v>
      </c>
      <c r="D26" s="143"/>
      <c r="E26" s="143"/>
      <c r="F26" s="143">
        <v>10.0</v>
      </c>
      <c r="G26" s="143" t="s">
        <v>1176</v>
      </c>
      <c r="H26" s="143"/>
      <c r="I26" s="143"/>
      <c r="J26" s="143" t="s">
        <v>1177</v>
      </c>
      <c r="K26" s="143" t="s">
        <v>1194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43" t="s">
        <v>1195</v>
      </c>
      <c r="B27" s="143" t="s">
        <v>675</v>
      </c>
      <c r="C27" s="143" t="s">
        <v>1196</v>
      </c>
      <c r="D27" s="143"/>
      <c r="E27" s="143"/>
      <c r="F27" s="143">
        <v>6.0</v>
      </c>
      <c r="G27" s="143" t="s">
        <v>1176</v>
      </c>
      <c r="H27" s="143"/>
      <c r="I27" s="143"/>
      <c r="J27" s="143" t="s">
        <v>1177</v>
      </c>
      <c r="K27" s="143" t="s">
        <v>1191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3" t="s">
        <v>1197</v>
      </c>
      <c r="B28" s="143" t="s">
        <v>1183</v>
      </c>
      <c r="C28" s="143" t="s">
        <v>1184</v>
      </c>
      <c r="D28" s="143"/>
      <c r="E28" s="143"/>
      <c r="F28" s="143">
        <v>4.0</v>
      </c>
      <c r="G28" s="143" t="s">
        <v>1140</v>
      </c>
      <c r="H28" s="143"/>
      <c r="I28" s="143"/>
      <c r="J28" s="143" t="s">
        <v>1177</v>
      </c>
      <c r="K28" s="143" t="s">
        <v>1198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43" t="s">
        <v>1199</v>
      </c>
      <c r="B29" s="143" t="s">
        <v>1183</v>
      </c>
      <c r="C29" s="143" t="s">
        <v>1187</v>
      </c>
      <c r="D29" s="143"/>
      <c r="E29" s="143"/>
      <c r="F29" s="143">
        <v>3.0</v>
      </c>
      <c r="G29" s="143" t="s">
        <v>1140</v>
      </c>
      <c r="H29" s="143"/>
      <c r="I29" s="143"/>
      <c r="J29" s="143" t="s">
        <v>1177</v>
      </c>
      <c r="K29" s="143" t="s">
        <v>1200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dataValidations>
    <dataValidation type="list" allowBlank="1" sqref="B2:B130">
      <formula1>"Projector,Keyboard,Mouse,Monitor,Cable,Other"</formula1>
    </dataValidation>
    <dataValidation type="list" allowBlank="1" sqref="J2:J130">
      <formula1>"Active,Spare,Faulty,Retired"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86"/>
    <col customWidth="1" min="2" max="2" width="21.57"/>
    <col customWidth="1" min="3" max="3" width="34.43"/>
    <col customWidth="1" min="4" max="4" width="51.57"/>
    <col customWidth="1" min="5" max="5" width="45.86"/>
    <col customWidth="1" min="6" max="6" width="8.71"/>
  </cols>
  <sheetData>
    <row r="1" ht="17.25" customHeight="1">
      <c r="A1" s="120" t="s">
        <v>1201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ht="15.0" customHeight="1">
      <c r="A2" s="144" t="s">
        <v>1202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ht="15.0" customHeight="1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ht="15.0" customHeight="1">
      <c r="A4" s="141" t="s">
        <v>1203</v>
      </c>
      <c r="B4" s="141" t="s">
        <v>579</v>
      </c>
      <c r="C4" s="141" t="s">
        <v>1204</v>
      </c>
      <c r="D4" s="141" t="s">
        <v>1205</v>
      </c>
      <c r="E4" s="141" t="s">
        <v>1206</v>
      </c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ht="15.0" customHeight="1">
      <c r="A5" s="145" t="s">
        <v>1207</v>
      </c>
      <c r="B5" s="145" t="s">
        <v>1208</v>
      </c>
      <c r="C5" s="145" t="s">
        <v>763</v>
      </c>
      <c r="D5" s="145" t="s">
        <v>1209</v>
      </c>
      <c r="E5" s="145" t="s">
        <v>1210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ht="15.0" customHeight="1">
      <c r="A6" s="145" t="s">
        <v>1207</v>
      </c>
      <c r="B6" s="145" t="s">
        <v>1208</v>
      </c>
      <c r="C6" s="145" t="s">
        <v>769</v>
      </c>
      <c r="D6" s="145" t="s">
        <v>1211</v>
      </c>
      <c r="E6" s="145" t="s">
        <v>1210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ht="15.0" customHeight="1">
      <c r="A7" s="145" t="s">
        <v>1207</v>
      </c>
      <c r="B7" s="145" t="s">
        <v>1208</v>
      </c>
      <c r="C7" s="145" t="s">
        <v>800</v>
      </c>
      <c r="D7" s="145" t="s">
        <v>1212</v>
      </c>
      <c r="E7" s="145" t="s">
        <v>1210</v>
      </c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ht="15.0" customHeight="1">
      <c r="A8" s="145" t="s">
        <v>1207</v>
      </c>
      <c r="B8" s="145" t="s">
        <v>1208</v>
      </c>
      <c r="C8" s="145" t="s">
        <v>835</v>
      </c>
      <c r="D8" s="145" t="s">
        <v>1213</v>
      </c>
      <c r="E8" s="145" t="s">
        <v>1210</v>
      </c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ht="15.0" customHeight="1">
      <c r="A9" s="145" t="s">
        <v>1207</v>
      </c>
      <c r="B9" s="145" t="s">
        <v>1208</v>
      </c>
      <c r="C9" s="145" t="s">
        <v>914</v>
      </c>
      <c r="D9" s="145" t="s">
        <v>1214</v>
      </c>
      <c r="E9" s="145" t="s">
        <v>1210</v>
      </c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ht="15.0" customHeight="1">
      <c r="A10" s="145" t="s">
        <v>1207</v>
      </c>
      <c r="B10" s="145" t="s">
        <v>1208</v>
      </c>
      <c r="C10" s="145" t="s">
        <v>943</v>
      </c>
      <c r="D10" s="145" t="s">
        <v>1215</v>
      </c>
      <c r="E10" s="145" t="s">
        <v>1210</v>
      </c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ht="15.0" customHeight="1">
      <c r="A11" s="145" t="s">
        <v>1207</v>
      </c>
      <c r="B11" s="145" t="s">
        <v>1208</v>
      </c>
      <c r="C11" s="145" t="s">
        <v>978</v>
      </c>
      <c r="D11" s="145" t="s">
        <v>1216</v>
      </c>
      <c r="E11" s="145" t="s">
        <v>1210</v>
      </c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ht="15.0" customHeight="1">
      <c r="A12" s="145" t="s">
        <v>1207</v>
      </c>
      <c r="B12" s="145" t="s">
        <v>1208</v>
      </c>
      <c r="C12" s="145" t="s">
        <v>989</v>
      </c>
      <c r="D12" s="145" t="s">
        <v>1217</v>
      </c>
      <c r="E12" s="145" t="s">
        <v>1210</v>
      </c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ht="15.0" customHeight="1">
      <c r="A13" s="145" t="s">
        <v>1207</v>
      </c>
      <c r="B13" s="145" t="s">
        <v>1208</v>
      </c>
      <c r="C13" s="145" t="s">
        <v>993</v>
      </c>
      <c r="D13" s="145" t="s">
        <v>1218</v>
      </c>
      <c r="E13" s="145" t="s">
        <v>1210</v>
      </c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ht="15.0" customHeight="1">
      <c r="A14" s="145" t="s">
        <v>1207</v>
      </c>
      <c r="B14" s="145" t="s">
        <v>1208</v>
      </c>
      <c r="C14" s="145" t="s">
        <v>999</v>
      </c>
      <c r="D14" s="145" t="s">
        <v>1219</v>
      </c>
      <c r="E14" s="145" t="s">
        <v>1210</v>
      </c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ht="15.0" customHeight="1">
      <c r="A15" s="145" t="s">
        <v>1207</v>
      </c>
      <c r="B15" s="145" t="s">
        <v>1208</v>
      </c>
      <c r="C15" s="145" t="s">
        <v>1001</v>
      </c>
      <c r="D15" s="145" t="s">
        <v>1220</v>
      </c>
      <c r="E15" s="145" t="s">
        <v>1210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ht="15.0" customHeight="1">
      <c r="A16" s="146" t="s">
        <v>1221</v>
      </c>
      <c r="B16" s="146" t="s">
        <v>1222</v>
      </c>
      <c r="C16" s="146" t="s">
        <v>1223</v>
      </c>
      <c r="D16" s="146" t="s">
        <v>1224</v>
      </c>
      <c r="E16" s="146" t="s">
        <v>1225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ht="15.0" customHeight="1">
      <c r="A17" s="146" t="s">
        <v>1221</v>
      </c>
      <c r="B17" s="146" t="s">
        <v>1222</v>
      </c>
      <c r="C17" s="146" t="s">
        <v>1223</v>
      </c>
      <c r="D17" s="146" t="s">
        <v>1226</v>
      </c>
      <c r="E17" s="146" t="s">
        <v>1227</v>
      </c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ht="15.0" customHeight="1">
      <c r="A18" s="146" t="s">
        <v>1221</v>
      </c>
      <c r="B18" s="146" t="s">
        <v>1228</v>
      </c>
      <c r="C18" s="146" t="s">
        <v>785</v>
      </c>
      <c r="D18" s="146" t="s">
        <v>1229</v>
      </c>
      <c r="E18" s="146" t="s">
        <v>1230</v>
      </c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ht="15.0" customHeight="1">
      <c r="A19" s="146" t="s">
        <v>1221</v>
      </c>
      <c r="B19" s="146" t="s">
        <v>1222</v>
      </c>
      <c r="C19" s="146" t="s">
        <v>1231</v>
      </c>
      <c r="D19" s="146" t="s">
        <v>1226</v>
      </c>
      <c r="E19" s="146" t="s">
        <v>1227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ht="15.0" customHeight="1">
      <c r="A20" s="146" t="s">
        <v>1221</v>
      </c>
      <c r="B20" s="146" t="s">
        <v>1222</v>
      </c>
      <c r="C20" s="146" t="s">
        <v>1232</v>
      </c>
      <c r="D20" s="146" t="s">
        <v>1226</v>
      </c>
      <c r="E20" s="146" t="s">
        <v>1227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ht="15.75" customHeight="1">
      <c r="A21" s="146" t="s">
        <v>1221</v>
      </c>
      <c r="B21" s="146" t="s">
        <v>1228</v>
      </c>
      <c r="C21" s="146" t="s">
        <v>860</v>
      </c>
      <c r="D21" s="146" t="s">
        <v>1229</v>
      </c>
      <c r="E21" s="146" t="s">
        <v>1230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ht="15.75" customHeight="1">
      <c r="A22" s="146" t="s">
        <v>1221</v>
      </c>
      <c r="B22" s="146" t="s">
        <v>1228</v>
      </c>
      <c r="C22" s="146" t="s">
        <v>866</v>
      </c>
      <c r="D22" s="146" t="s">
        <v>1229</v>
      </c>
      <c r="E22" s="146" t="s">
        <v>1230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ht="15.75" customHeight="1">
      <c r="A23" s="146" t="s">
        <v>1221</v>
      </c>
      <c r="B23" s="146" t="s">
        <v>1228</v>
      </c>
      <c r="C23" s="146" t="s">
        <v>870</v>
      </c>
      <c r="D23" s="146" t="s">
        <v>1229</v>
      </c>
      <c r="E23" s="146" t="s">
        <v>1230</v>
      </c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ht="15.75" customHeight="1">
      <c r="A24" s="146" t="s">
        <v>1221</v>
      </c>
      <c r="B24" s="146" t="s">
        <v>1228</v>
      </c>
      <c r="C24" s="146" t="s">
        <v>878</v>
      </c>
      <c r="D24" s="146" t="s">
        <v>1229</v>
      </c>
      <c r="E24" s="146" t="s">
        <v>1230</v>
      </c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ht="15.75" customHeight="1">
      <c r="A25" s="146" t="s">
        <v>1221</v>
      </c>
      <c r="B25" s="146" t="s">
        <v>1228</v>
      </c>
      <c r="C25" s="146" t="s">
        <v>885</v>
      </c>
      <c r="D25" s="146" t="s">
        <v>1229</v>
      </c>
      <c r="E25" s="146" t="s">
        <v>1230</v>
      </c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ht="15.75" customHeight="1">
      <c r="A26" s="146" t="s">
        <v>1221</v>
      </c>
      <c r="B26" s="146" t="s">
        <v>1222</v>
      </c>
      <c r="C26" s="146" t="s">
        <v>1233</v>
      </c>
      <c r="D26" s="146" t="s">
        <v>1226</v>
      </c>
      <c r="E26" s="146" t="s">
        <v>1227</v>
      </c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ht="15.75" customHeight="1">
      <c r="A27" s="146" t="s">
        <v>1221</v>
      </c>
      <c r="B27" s="146" t="s">
        <v>1222</v>
      </c>
      <c r="C27" s="146" t="s">
        <v>1234</v>
      </c>
      <c r="D27" s="146" t="s">
        <v>1226</v>
      </c>
      <c r="E27" s="146" t="s">
        <v>1227</v>
      </c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ht="15.75" customHeight="1">
      <c r="A28" s="146" t="s">
        <v>1221</v>
      </c>
      <c r="B28" s="146" t="s">
        <v>1228</v>
      </c>
      <c r="C28" s="146" t="s">
        <v>927</v>
      </c>
      <c r="D28" s="146" t="s">
        <v>1229</v>
      </c>
      <c r="E28" s="146" t="s">
        <v>1230</v>
      </c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ht="15.75" customHeight="1">
      <c r="A29" s="146" t="s">
        <v>1221</v>
      </c>
      <c r="B29" s="146" t="s">
        <v>1228</v>
      </c>
      <c r="C29" s="146" t="s">
        <v>934</v>
      </c>
      <c r="D29" s="146" t="s">
        <v>1229</v>
      </c>
      <c r="E29" s="146" t="s">
        <v>1230</v>
      </c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ht="15.75" customHeight="1">
      <c r="A30" s="146" t="s">
        <v>1221</v>
      </c>
      <c r="B30" s="146" t="s">
        <v>1222</v>
      </c>
      <c r="C30" s="146" t="s">
        <v>1235</v>
      </c>
      <c r="D30" s="146" t="s">
        <v>1226</v>
      </c>
      <c r="E30" s="146" t="s">
        <v>1227</v>
      </c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ht="15.75" customHeight="1">
      <c r="A31" s="146" t="s">
        <v>1221</v>
      </c>
      <c r="B31" s="146" t="s">
        <v>1228</v>
      </c>
      <c r="C31" s="146" t="s">
        <v>946</v>
      </c>
      <c r="D31" s="146" t="s">
        <v>1229</v>
      </c>
      <c r="E31" s="146" t="s">
        <v>1230</v>
      </c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ht="15.75" customHeight="1">
      <c r="A32" s="146" t="s">
        <v>1221</v>
      </c>
      <c r="B32" s="146" t="s">
        <v>1228</v>
      </c>
      <c r="C32" s="146" t="s">
        <v>960</v>
      </c>
      <c r="D32" s="146" t="s">
        <v>1229</v>
      </c>
      <c r="E32" s="146" t="s">
        <v>1230</v>
      </c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ht="15.75" customHeight="1">
      <c r="A33" s="146" t="s">
        <v>1221</v>
      </c>
      <c r="B33" s="146" t="s">
        <v>1222</v>
      </c>
      <c r="C33" s="146" t="s">
        <v>1236</v>
      </c>
      <c r="D33" s="146" t="s">
        <v>1226</v>
      </c>
      <c r="E33" s="146" t="s">
        <v>1227</v>
      </c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ht="15.75" customHeight="1">
      <c r="A34" s="146" t="s">
        <v>1221</v>
      </c>
      <c r="B34" s="146" t="s">
        <v>1222</v>
      </c>
      <c r="C34" s="146" t="s">
        <v>1237</v>
      </c>
      <c r="D34" s="146" t="s">
        <v>1226</v>
      </c>
      <c r="E34" s="146" t="s">
        <v>1227</v>
      </c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ht="15.75" customHeight="1">
      <c r="A35" s="146" t="s">
        <v>1221</v>
      </c>
      <c r="B35" s="146" t="s">
        <v>1228</v>
      </c>
      <c r="C35" s="146" t="s">
        <v>991</v>
      </c>
      <c r="D35" s="146" t="s">
        <v>1229</v>
      </c>
      <c r="E35" s="146" t="s">
        <v>1230</v>
      </c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ht="15.75" customHeight="1">
      <c r="A36" s="146" t="s">
        <v>1221</v>
      </c>
      <c r="B36" s="146" t="s">
        <v>1228</v>
      </c>
      <c r="C36" s="146" t="s">
        <v>992</v>
      </c>
      <c r="D36" s="146" t="s">
        <v>1229</v>
      </c>
      <c r="E36" s="146" t="s">
        <v>1230</v>
      </c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ht="15.75" customHeight="1">
      <c r="A37" s="146" t="s">
        <v>1221</v>
      </c>
      <c r="B37" s="146" t="s">
        <v>1228</v>
      </c>
      <c r="C37" s="146" t="s">
        <v>1020</v>
      </c>
      <c r="D37" s="146" t="s">
        <v>1229</v>
      </c>
      <c r="E37" s="146" t="s">
        <v>1230</v>
      </c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ht="15.75" customHeight="1">
      <c r="A38" s="146" t="s">
        <v>1221</v>
      </c>
      <c r="B38" s="146" t="s">
        <v>1222</v>
      </c>
      <c r="C38" s="146" t="s">
        <v>1238</v>
      </c>
      <c r="D38" s="146" t="s">
        <v>1224</v>
      </c>
      <c r="E38" s="146" t="s">
        <v>1225</v>
      </c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ht="15.75" customHeight="1">
      <c r="A39" s="146" t="s">
        <v>1221</v>
      </c>
      <c r="B39" s="146" t="s">
        <v>1222</v>
      </c>
      <c r="C39" s="146" t="s">
        <v>1239</v>
      </c>
      <c r="D39" s="146" t="s">
        <v>1224</v>
      </c>
      <c r="E39" s="146" t="s">
        <v>1225</v>
      </c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ht="15.75" customHeight="1">
      <c r="A40" s="146" t="s">
        <v>1221</v>
      </c>
      <c r="B40" s="146" t="s">
        <v>1222</v>
      </c>
      <c r="C40" s="146" t="s">
        <v>1239</v>
      </c>
      <c r="D40" s="146" t="s">
        <v>1226</v>
      </c>
      <c r="E40" s="146" t="s">
        <v>1227</v>
      </c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ht="15.75" customHeight="1">
      <c r="A41" s="146" t="s">
        <v>1221</v>
      </c>
      <c r="B41" s="146" t="s">
        <v>1228</v>
      </c>
      <c r="C41" s="146" t="s">
        <v>1028</v>
      </c>
      <c r="D41" s="146" t="s">
        <v>1229</v>
      </c>
      <c r="E41" s="146" t="s">
        <v>1230</v>
      </c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ht="15.75" customHeight="1">
      <c r="A42" s="146" t="s">
        <v>1221</v>
      </c>
      <c r="B42" s="146" t="s">
        <v>1228</v>
      </c>
      <c r="C42" s="146" t="s">
        <v>1030</v>
      </c>
      <c r="D42" s="146" t="s">
        <v>1229</v>
      </c>
      <c r="E42" s="146" t="s">
        <v>1230</v>
      </c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ht="15.75" customHeight="1">
      <c r="A43" s="146" t="s">
        <v>1221</v>
      </c>
      <c r="B43" s="146" t="s">
        <v>1228</v>
      </c>
      <c r="C43" s="146" t="s">
        <v>1032</v>
      </c>
      <c r="D43" s="146" t="s">
        <v>1229</v>
      </c>
      <c r="E43" s="146" t="s">
        <v>1230</v>
      </c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ht="15.75" customHeight="1">
      <c r="A44" s="146" t="s">
        <v>1221</v>
      </c>
      <c r="B44" s="146" t="s">
        <v>1228</v>
      </c>
      <c r="C44" s="146" t="s">
        <v>1040</v>
      </c>
      <c r="D44" s="146" t="s">
        <v>1229</v>
      </c>
      <c r="E44" s="146" t="s">
        <v>1230</v>
      </c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ht="15.75" customHeight="1">
      <c r="A45" s="146" t="s">
        <v>1221</v>
      </c>
      <c r="B45" s="146" t="s">
        <v>1228</v>
      </c>
      <c r="C45" s="146" t="s">
        <v>1046</v>
      </c>
      <c r="D45" s="146" t="s">
        <v>1229</v>
      </c>
      <c r="E45" s="146" t="s">
        <v>1230</v>
      </c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ht="15.75" customHeight="1">
      <c r="A46" s="146" t="s">
        <v>1221</v>
      </c>
      <c r="B46" s="146" t="s">
        <v>1222</v>
      </c>
      <c r="C46" s="146" t="s">
        <v>1240</v>
      </c>
      <c r="D46" s="146" t="s">
        <v>1226</v>
      </c>
      <c r="E46" s="146" t="s">
        <v>1227</v>
      </c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ht="15.75" customHeight="1">
      <c r="A47" s="146" t="s">
        <v>1221</v>
      </c>
      <c r="B47" s="146" t="s">
        <v>1228</v>
      </c>
      <c r="C47" s="146" t="s">
        <v>1056</v>
      </c>
      <c r="D47" s="146" t="s">
        <v>1229</v>
      </c>
      <c r="E47" s="146" t="s">
        <v>1230</v>
      </c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ht="15.75" customHeight="1">
      <c r="A48" s="146" t="s">
        <v>1221</v>
      </c>
      <c r="B48" s="146" t="s">
        <v>1222</v>
      </c>
      <c r="C48" s="146" t="s">
        <v>1241</v>
      </c>
      <c r="D48" s="146" t="s">
        <v>1224</v>
      </c>
      <c r="E48" s="146" t="s">
        <v>1225</v>
      </c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ht="15.75" customHeight="1">
      <c r="A49" s="146" t="s">
        <v>1221</v>
      </c>
      <c r="B49" s="146" t="s">
        <v>1222</v>
      </c>
      <c r="C49" s="146" t="s">
        <v>1241</v>
      </c>
      <c r="D49" s="146" t="s">
        <v>1226</v>
      </c>
      <c r="E49" s="146" t="s">
        <v>1227</v>
      </c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ht="15.75" customHeight="1">
      <c r="A50" s="146" t="s">
        <v>1221</v>
      </c>
      <c r="B50" s="146" t="s">
        <v>1228</v>
      </c>
      <c r="C50" s="146" t="s">
        <v>1067</v>
      </c>
      <c r="D50" s="146" t="s">
        <v>1229</v>
      </c>
      <c r="E50" s="146" t="s">
        <v>1230</v>
      </c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ht="15.75" customHeight="1">
      <c r="A51" s="146" t="s">
        <v>1221</v>
      </c>
      <c r="B51" s="146" t="s">
        <v>1222</v>
      </c>
      <c r="C51" s="146" t="s">
        <v>1242</v>
      </c>
      <c r="D51" s="146" t="s">
        <v>1224</v>
      </c>
      <c r="E51" s="146" t="s">
        <v>1225</v>
      </c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ht="15.75" customHeight="1">
      <c r="A52" s="146" t="s">
        <v>1221</v>
      </c>
      <c r="B52" s="146" t="s">
        <v>1228</v>
      </c>
      <c r="C52" s="146" t="s">
        <v>1075</v>
      </c>
      <c r="D52" s="146" t="s">
        <v>1229</v>
      </c>
      <c r="E52" s="146" t="s">
        <v>1230</v>
      </c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ht="15.75" customHeight="1">
      <c r="A53" s="146" t="s">
        <v>1221</v>
      </c>
      <c r="B53" s="146" t="s">
        <v>1228</v>
      </c>
      <c r="C53" s="146" t="s">
        <v>1080</v>
      </c>
      <c r="D53" s="146" t="s">
        <v>1229</v>
      </c>
      <c r="E53" s="146" t="s">
        <v>1230</v>
      </c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ht="15.75" customHeight="1">
      <c r="A54" s="146" t="s">
        <v>1221</v>
      </c>
      <c r="B54" s="146" t="s">
        <v>1228</v>
      </c>
      <c r="C54" s="146" t="s">
        <v>1082</v>
      </c>
      <c r="D54" s="146" t="s">
        <v>1229</v>
      </c>
      <c r="E54" s="146" t="s">
        <v>1230</v>
      </c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ht="15.75" customHeight="1">
      <c r="A55" s="146" t="s">
        <v>1221</v>
      </c>
      <c r="B55" s="146" t="s">
        <v>1228</v>
      </c>
      <c r="C55" s="146" t="s">
        <v>1084</v>
      </c>
      <c r="D55" s="146" t="s">
        <v>1229</v>
      </c>
      <c r="E55" s="146" t="s">
        <v>1230</v>
      </c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ht="15.75" customHeight="1">
      <c r="A56" s="146" t="s">
        <v>1221</v>
      </c>
      <c r="B56" s="146" t="s">
        <v>1228</v>
      </c>
      <c r="C56" s="146" t="s">
        <v>1087</v>
      </c>
      <c r="D56" s="146" t="s">
        <v>1229</v>
      </c>
      <c r="E56" s="146" t="s">
        <v>1230</v>
      </c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ht="15.75" customHeight="1">
      <c r="A57" s="146" t="s">
        <v>1221</v>
      </c>
      <c r="B57" s="146" t="s">
        <v>1228</v>
      </c>
      <c r="C57" s="146" t="s">
        <v>1089</v>
      </c>
      <c r="D57" s="146" t="s">
        <v>1229</v>
      </c>
      <c r="E57" s="146" t="s">
        <v>1230</v>
      </c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ht="15.75" customHeight="1">
      <c r="A58" s="146" t="s">
        <v>1221</v>
      </c>
      <c r="B58" s="146" t="s">
        <v>1228</v>
      </c>
      <c r="C58" s="146" t="s">
        <v>1091</v>
      </c>
      <c r="D58" s="146" t="s">
        <v>1229</v>
      </c>
      <c r="E58" s="146" t="s">
        <v>1230</v>
      </c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ht="15.75" customHeight="1">
      <c r="A59" s="146" t="s">
        <v>1221</v>
      </c>
      <c r="B59" s="146" t="s">
        <v>1228</v>
      </c>
      <c r="C59" s="146" t="s">
        <v>1095</v>
      </c>
      <c r="D59" s="146" t="s">
        <v>1229</v>
      </c>
      <c r="E59" s="146" t="s">
        <v>1230</v>
      </c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ht="15.75" customHeight="1">
      <c r="A60" s="125" t="s">
        <v>1243</v>
      </c>
      <c r="B60" s="125" t="s">
        <v>1244</v>
      </c>
      <c r="C60" s="125" t="s">
        <v>735</v>
      </c>
      <c r="D60" s="125" t="s">
        <v>1245</v>
      </c>
      <c r="E60" s="125" t="s">
        <v>1246</v>
      </c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ht="15.75" customHeight="1">
      <c r="A61" s="125" t="s">
        <v>1243</v>
      </c>
      <c r="B61" s="125" t="s">
        <v>1244</v>
      </c>
      <c r="C61" s="125" t="s">
        <v>744</v>
      </c>
      <c r="D61" s="125" t="s">
        <v>1245</v>
      </c>
      <c r="E61" s="125" t="s">
        <v>1246</v>
      </c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ht="15.75" customHeight="1">
      <c r="A62" s="125" t="s">
        <v>1243</v>
      </c>
      <c r="B62" s="125" t="s">
        <v>1244</v>
      </c>
      <c r="C62" s="125" t="s">
        <v>753</v>
      </c>
      <c r="D62" s="125" t="s">
        <v>1245</v>
      </c>
      <c r="E62" s="125" t="s">
        <v>1246</v>
      </c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ht="15.75" customHeight="1">
      <c r="A63" s="125" t="s">
        <v>1243</v>
      </c>
      <c r="B63" s="125" t="s">
        <v>1244</v>
      </c>
      <c r="C63" s="125" t="s">
        <v>758</v>
      </c>
      <c r="D63" s="125" t="s">
        <v>1245</v>
      </c>
      <c r="E63" s="125" t="s">
        <v>1246</v>
      </c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ht="15.75" customHeight="1">
      <c r="A64" s="125" t="s">
        <v>1243</v>
      </c>
      <c r="B64" s="125" t="s">
        <v>1244</v>
      </c>
      <c r="C64" s="125" t="s">
        <v>779</v>
      </c>
      <c r="D64" s="125" t="s">
        <v>1245</v>
      </c>
      <c r="E64" s="125" t="s">
        <v>1246</v>
      </c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ht="15.75" customHeight="1">
      <c r="A65" s="125" t="s">
        <v>1243</v>
      </c>
      <c r="B65" s="125" t="s">
        <v>1244</v>
      </c>
      <c r="C65" s="125" t="s">
        <v>791</v>
      </c>
      <c r="D65" s="125" t="s">
        <v>1245</v>
      </c>
      <c r="E65" s="125" t="s">
        <v>1246</v>
      </c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ht="15.75" customHeight="1">
      <c r="A66" s="125" t="s">
        <v>1243</v>
      </c>
      <c r="B66" s="125" t="s">
        <v>1244</v>
      </c>
      <c r="C66" s="125" t="s">
        <v>794</v>
      </c>
      <c r="D66" s="125" t="s">
        <v>1245</v>
      </c>
      <c r="E66" s="125" t="s">
        <v>1246</v>
      </c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ht="15.75" customHeight="1">
      <c r="A67" s="125" t="s">
        <v>1243</v>
      </c>
      <c r="B67" s="125" t="s">
        <v>1244</v>
      </c>
      <c r="C67" s="125" t="s">
        <v>796</v>
      </c>
      <c r="D67" s="125" t="s">
        <v>1245</v>
      </c>
      <c r="E67" s="125" t="s">
        <v>1246</v>
      </c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ht="15.75" customHeight="1">
      <c r="A68" s="125" t="s">
        <v>1243</v>
      </c>
      <c r="B68" s="125" t="s">
        <v>1244</v>
      </c>
      <c r="C68" s="125" t="s">
        <v>800</v>
      </c>
      <c r="D68" s="125" t="s">
        <v>1245</v>
      </c>
      <c r="E68" s="125" t="s">
        <v>1246</v>
      </c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ht="15.75" customHeight="1">
      <c r="A69" s="125" t="s">
        <v>1243</v>
      </c>
      <c r="B69" s="125" t="s">
        <v>1244</v>
      </c>
      <c r="C69" s="125" t="s">
        <v>805</v>
      </c>
      <c r="D69" s="125" t="s">
        <v>1245</v>
      </c>
      <c r="E69" s="125" t="s">
        <v>1246</v>
      </c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ht="15.75" customHeight="1">
      <c r="A70" s="125" t="s">
        <v>1243</v>
      </c>
      <c r="B70" s="125" t="s">
        <v>1244</v>
      </c>
      <c r="C70" s="125" t="s">
        <v>827</v>
      </c>
      <c r="D70" s="125" t="s">
        <v>1245</v>
      </c>
      <c r="E70" s="125" t="s">
        <v>1246</v>
      </c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ht="15.75" customHeight="1">
      <c r="A71" s="125" t="s">
        <v>1243</v>
      </c>
      <c r="B71" s="125" t="s">
        <v>1244</v>
      </c>
      <c r="C71" s="125" t="s">
        <v>835</v>
      </c>
      <c r="D71" s="125" t="s">
        <v>1245</v>
      </c>
      <c r="E71" s="125" t="s">
        <v>1246</v>
      </c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ht="15.75" customHeight="1">
      <c r="A72" s="125" t="s">
        <v>1243</v>
      </c>
      <c r="B72" s="125" t="s">
        <v>1244</v>
      </c>
      <c r="C72" s="125" t="s">
        <v>841</v>
      </c>
      <c r="D72" s="125" t="s">
        <v>1245</v>
      </c>
      <c r="E72" s="125" t="s">
        <v>1246</v>
      </c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ht="15.75" customHeight="1">
      <c r="A73" s="125" t="s">
        <v>1243</v>
      </c>
      <c r="B73" s="125" t="s">
        <v>1244</v>
      </c>
      <c r="C73" s="125" t="s">
        <v>849</v>
      </c>
      <c r="D73" s="125" t="s">
        <v>1245</v>
      </c>
      <c r="E73" s="125" t="s">
        <v>1246</v>
      </c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ht="15.75" customHeight="1">
      <c r="A74" s="125" t="s">
        <v>1243</v>
      </c>
      <c r="B74" s="125" t="s">
        <v>1244</v>
      </c>
      <c r="C74" s="125" t="s">
        <v>860</v>
      </c>
      <c r="D74" s="125" t="s">
        <v>1245</v>
      </c>
      <c r="E74" s="125" t="s">
        <v>1246</v>
      </c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ht="15.75" customHeight="1">
      <c r="A75" s="125" t="s">
        <v>1243</v>
      </c>
      <c r="B75" s="125" t="s">
        <v>1244</v>
      </c>
      <c r="C75" s="125" t="s">
        <v>870</v>
      </c>
      <c r="D75" s="125" t="s">
        <v>1245</v>
      </c>
      <c r="E75" s="125" t="s">
        <v>1246</v>
      </c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ht="15.75" customHeight="1">
      <c r="A76" s="125" t="s">
        <v>1243</v>
      </c>
      <c r="B76" s="125" t="s">
        <v>1244</v>
      </c>
      <c r="C76" s="125" t="s">
        <v>885</v>
      </c>
      <c r="D76" s="125" t="s">
        <v>1245</v>
      </c>
      <c r="E76" s="125" t="s">
        <v>1246</v>
      </c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ht="15.75" customHeight="1">
      <c r="A77" s="125" t="s">
        <v>1243</v>
      </c>
      <c r="B77" s="125" t="s">
        <v>1244</v>
      </c>
      <c r="C77" s="125" t="s">
        <v>889</v>
      </c>
      <c r="D77" s="125" t="s">
        <v>1245</v>
      </c>
      <c r="E77" s="125" t="s">
        <v>1246</v>
      </c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ht="15.75" customHeight="1">
      <c r="A78" s="125" t="s">
        <v>1243</v>
      </c>
      <c r="B78" s="125" t="s">
        <v>1244</v>
      </c>
      <c r="C78" s="125" t="s">
        <v>905</v>
      </c>
      <c r="D78" s="125" t="s">
        <v>1245</v>
      </c>
      <c r="E78" s="125" t="s">
        <v>1246</v>
      </c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ht="15.75" customHeight="1">
      <c r="A79" s="125" t="s">
        <v>1243</v>
      </c>
      <c r="B79" s="125" t="s">
        <v>1244</v>
      </c>
      <c r="C79" s="125" t="s">
        <v>907</v>
      </c>
      <c r="D79" s="125" t="s">
        <v>1245</v>
      </c>
      <c r="E79" s="125" t="s">
        <v>1246</v>
      </c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ht="15.75" customHeight="1">
      <c r="A80" s="125" t="s">
        <v>1243</v>
      </c>
      <c r="B80" s="125" t="s">
        <v>1244</v>
      </c>
      <c r="C80" s="125" t="s">
        <v>911</v>
      </c>
      <c r="D80" s="125" t="s">
        <v>1245</v>
      </c>
      <c r="E80" s="125" t="s">
        <v>1246</v>
      </c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ht="15.75" customHeight="1">
      <c r="A81" s="125" t="s">
        <v>1243</v>
      </c>
      <c r="B81" s="125" t="s">
        <v>1244</v>
      </c>
      <c r="C81" s="125" t="s">
        <v>914</v>
      </c>
      <c r="D81" s="125" t="s">
        <v>1245</v>
      </c>
      <c r="E81" s="125" t="s">
        <v>1246</v>
      </c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ht="15.75" customHeight="1">
      <c r="A82" s="125" t="s">
        <v>1243</v>
      </c>
      <c r="B82" s="125" t="s">
        <v>1244</v>
      </c>
      <c r="C82" s="125" t="s">
        <v>917</v>
      </c>
      <c r="D82" s="125" t="s">
        <v>1245</v>
      </c>
      <c r="E82" s="125" t="s">
        <v>1246</v>
      </c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ht="15.75" customHeight="1">
      <c r="A83" s="125" t="s">
        <v>1243</v>
      </c>
      <c r="B83" s="125" t="s">
        <v>1244</v>
      </c>
      <c r="C83" s="125" t="s">
        <v>920</v>
      </c>
      <c r="D83" s="125" t="s">
        <v>1245</v>
      </c>
      <c r="E83" s="125" t="s">
        <v>1246</v>
      </c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ht="15.75" customHeight="1">
      <c r="A84" s="125" t="s">
        <v>1243</v>
      </c>
      <c r="B84" s="125" t="s">
        <v>1244</v>
      </c>
      <c r="C84" s="125" t="s">
        <v>923</v>
      </c>
      <c r="D84" s="125" t="s">
        <v>1245</v>
      </c>
      <c r="E84" s="125" t="s">
        <v>1246</v>
      </c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ht="15.75" customHeight="1">
      <c r="A85" s="125" t="s">
        <v>1243</v>
      </c>
      <c r="B85" s="125" t="s">
        <v>1244</v>
      </c>
      <c r="C85" s="125" t="s">
        <v>927</v>
      </c>
      <c r="D85" s="125" t="s">
        <v>1245</v>
      </c>
      <c r="E85" s="125" t="s">
        <v>1246</v>
      </c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ht="15.75" customHeight="1">
      <c r="A86" s="125" t="s">
        <v>1243</v>
      </c>
      <c r="B86" s="125" t="s">
        <v>1244</v>
      </c>
      <c r="C86" s="125" t="s">
        <v>929</v>
      </c>
      <c r="D86" s="125" t="s">
        <v>1245</v>
      </c>
      <c r="E86" s="125" t="s">
        <v>1246</v>
      </c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ht="15.75" customHeight="1">
      <c r="A87" s="125" t="s">
        <v>1243</v>
      </c>
      <c r="B87" s="125" t="s">
        <v>1244</v>
      </c>
      <c r="C87" s="125" t="s">
        <v>932</v>
      </c>
      <c r="D87" s="125" t="s">
        <v>1245</v>
      </c>
      <c r="E87" s="125" t="s">
        <v>1246</v>
      </c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ht="15.75" customHeight="1">
      <c r="A88" s="125" t="s">
        <v>1243</v>
      </c>
      <c r="B88" s="125" t="s">
        <v>1244</v>
      </c>
      <c r="C88" s="125" t="s">
        <v>933</v>
      </c>
      <c r="D88" s="125" t="s">
        <v>1245</v>
      </c>
      <c r="E88" s="125" t="s">
        <v>1246</v>
      </c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ht="15.75" customHeight="1">
      <c r="A89" s="125" t="s">
        <v>1243</v>
      </c>
      <c r="B89" s="125" t="s">
        <v>1244</v>
      </c>
      <c r="C89" s="125" t="s">
        <v>936</v>
      </c>
      <c r="D89" s="125" t="s">
        <v>1245</v>
      </c>
      <c r="E89" s="125" t="s">
        <v>1246</v>
      </c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ht="15.75" customHeight="1">
      <c r="A90" s="125" t="s">
        <v>1243</v>
      </c>
      <c r="B90" s="125" t="s">
        <v>1244</v>
      </c>
      <c r="C90" s="125" t="s">
        <v>948</v>
      </c>
      <c r="D90" s="125" t="s">
        <v>1245</v>
      </c>
      <c r="E90" s="125" t="s">
        <v>1246</v>
      </c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ht="15.75" customHeight="1">
      <c r="A91" s="125" t="s">
        <v>1243</v>
      </c>
      <c r="B91" s="125" t="s">
        <v>1244</v>
      </c>
      <c r="C91" s="125" t="s">
        <v>955</v>
      </c>
      <c r="D91" s="125" t="s">
        <v>1245</v>
      </c>
      <c r="E91" s="125" t="s">
        <v>1246</v>
      </c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ht="15.75" customHeight="1">
      <c r="A92" s="125" t="s">
        <v>1243</v>
      </c>
      <c r="B92" s="125" t="s">
        <v>1244</v>
      </c>
      <c r="C92" s="125" t="s">
        <v>958</v>
      </c>
      <c r="D92" s="125" t="s">
        <v>1245</v>
      </c>
      <c r="E92" s="125" t="s">
        <v>1246</v>
      </c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ht="15.75" customHeight="1">
      <c r="A93" s="125" t="s">
        <v>1243</v>
      </c>
      <c r="B93" s="125" t="s">
        <v>1244</v>
      </c>
      <c r="C93" s="125" t="s">
        <v>960</v>
      </c>
      <c r="D93" s="125" t="s">
        <v>1245</v>
      </c>
      <c r="E93" s="125" t="s">
        <v>1246</v>
      </c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ht="15.75" customHeight="1">
      <c r="A94" s="125" t="s">
        <v>1243</v>
      </c>
      <c r="B94" s="125" t="s">
        <v>1244</v>
      </c>
      <c r="C94" s="125" t="s">
        <v>962</v>
      </c>
      <c r="D94" s="125" t="s">
        <v>1245</v>
      </c>
      <c r="E94" s="125" t="s">
        <v>1246</v>
      </c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ht="15.75" customHeight="1">
      <c r="A95" s="125" t="s">
        <v>1243</v>
      </c>
      <c r="B95" s="125" t="s">
        <v>1244</v>
      </c>
      <c r="C95" s="125" t="s">
        <v>966</v>
      </c>
      <c r="D95" s="125" t="s">
        <v>1245</v>
      </c>
      <c r="E95" s="125" t="s">
        <v>1246</v>
      </c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ht="15.75" customHeight="1">
      <c r="A96" s="125" t="s">
        <v>1243</v>
      </c>
      <c r="B96" s="125" t="s">
        <v>1244</v>
      </c>
      <c r="C96" s="125" t="s">
        <v>968</v>
      </c>
      <c r="D96" s="125" t="s">
        <v>1247</v>
      </c>
      <c r="E96" s="125" t="s">
        <v>1246</v>
      </c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ht="15.75" customHeight="1">
      <c r="A97" s="125" t="s">
        <v>1243</v>
      </c>
      <c r="B97" s="125" t="s">
        <v>1244</v>
      </c>
      <c r="C97" s="125" t="s">
        <v>970</v>
      </c>
      <c r="D97" s="125" t="s">
        <v>1245</v>
      </c>
      <c r="E97" s="125" t="s">
        <v>1246</v>
      </c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ht="15.75" customHeight="1">
      <c r="A98" s="125" t="s">
        <v>1243</v>
      </c>
      <c r="B98" s="125" t="s">
        <v>1244</v>
      </c>
      <c r="C98" s="125" t="s">
        <v>993</v>
      </c>
      <c r="D98" s="125" t="s">
        <v>1245</v>
      </c>
      <c r="E98" s="125" t="s">
        <v>1246</v>
      </c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ht="15.75" customHeight="1">
      <c r="A99" s="125" t="s">
        <v>1243</v>
      </c>
      <c r="B99" s="125" t="s">
        <v>1244</v>
      </c>
      <c r="C99" s="125" t="s">
        <v>996</v>
      </c>
      <c r="D99" s="125" t="s">
        <v>1245</v>
      </c>
      <c r="E99" s="125" t="s">
        <v>1246</v>
      </c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ht="15.75" customHeight="1">
      <c r="A100" s="125" t="s">
        <v>1243</v>
      </c>
      <c r="B100" s="125" t="s">
        <v>1244</v>
      </c>
      <c r="C100" s="125" t="s">
        <v>1009</v>
      </c>
      <c r="D100" s="125" t="s">
        <v>1245</v>
      </c>
      <c r="E100" s="125" t="s">
        <v>1246</v>
      </c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ht="15.75" customHeight="1">
      <c r="A101" s="125" t="s">
        <v>1243</v>
      </c>
      <c r="B101" s="125" t="s">
        <v>1244</v>
      </c>
      <c r="C101" s="125" t="s">
        <v>1012</v>
      </c>
      <c r="D101" s="125" t="s">
        <v>1245</v>
      </c>
      <c r="E101" s="125" t="s">
        <v>1246</v>
      </c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ht="15.75" customHeight="1">
      <c r="A102" s="125" t="s">
        <v>1243</v>
      </c>
      <c r="B102" s="125" t="s">
        <v>1244</v>
      </c>
      <c r="C102" s="125" t="s">
        <v>1017</v>
      </c>
      <c r="D102" s="125" t="s">
        <v>1245</v>
      </c>
      <c r="E102" s="125" t="s">
        <v>1246</v>
      </c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ht="15.75" customHeight="1">
      <c r="A103" s="125" t="s">
        <v>1243</v>
      </c>
      <c r="B103" s="125" t="s">
        <v>1244</v>
      </c>
      <c r="C103" s="125" t="s">
        <v>1046</v>
      </c>
      <c r="D103" s="125" t="s">
        <v>1245</v>
      </c>
      <c r="E103" s="125" t="s">
        <v>1246</v>
      </c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ht="15.75" customHeight="1">
      <c r="A104" s="125" t="s">
        <v>1243</v>
      </c>
      <c r="B104" s="125" t="s">
        <v>1244</v>
      </c>
      <c r="C104" s="125" t="s">
        <v>1052</v>
      </c>
      <c r="D104" s="125" t="s">
        <v>1245</v>
      </c>
      <c r="E104" s="125" t="s">
        <v>1246</v>
      </c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ht="15.75" customHeight="1">
      <c r="A105" s="125" t="s">
        <v>1243</v>
      </c>
      <c r="B105" s="125" t="s">
        <v>1244</v>
      </c>
      <c r="C105" s="125" t="s">
        <v>1056</v>
      </c>
      <c r="D105" s="125" t="s">
        <v>1247</v>
      </c>
      <c r="E105" s="125" t="s">
        <v>1246</v>
      </c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ht="15.75" customHeight="1">
      <c r="A106" s="125" t="s">
        <v>1243</v>
      </c>
      <c r="B106" s="125" t="s">
        <v>1244</v>
      </c>
      <c r="C106" s="125" t="s">
        <v>1061</v>
      </c>
      <c r="D106" s="125" t="s">
        <v>1245</v>
      </c>
      <c r="E106" s="125" t="s">
        <v>1246</v>
      </c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ht="15.75" customHeight="1">
      <c r="A107" s="125" t="s">
        <v>1243</v>
      </c>
      <c r="B107" s="125" t="s">
        <v>1244</v>
      </c>
      <c r="C107" s="125" t="s">
        <v>1067</v>
      </c>
      <c r="D107" s="125" t="s">
        <v>1247</v>
      </c>
      <c r="E107" s="125" t="s">
        <v>1246</v>
      </c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ht="15.75" customHeight="1">
      <c r="A108" s="125" t="s">
        <v>1243</v>
      </c>
      <c r="B108" s="125" t="s">
        <v>1244</v>
      </c>
      <c r="C108" s="125" t="s">
        <v>1072</v>
      </c>
      <c r="D108" s="125" t="s">
        <v>1248</v>
      </c>
      <c r="E108" s="125" t="s">
        <v>1246</v>
      </c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ht="15.75" customHeight="1">
      <c r="A109" s="125" t="s">
        <v>1243</v>
      </c>
      <c r="B109" s="125" t="s">
        <v>1244</v>
      </c>
      <c r="C109" s="125" t="s">
        <v>1075</v>
      </c>
      <c r="D109" s="125" t="s">
        <v>1245</v>
      </c>
      <c r="E109" s="125" t="s">
        <v>1246</v>
      </c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ht="15.75" customHeight="1">
      <c r="A110" s="125" t="s">
        <v>1243</v>
      </c>
      <c r="B110" s="125" t="s">
        <v>1244</v>
      </c>
      <c r="C110" s="125" t="s">
        <v>1080</v>
      </c>
      <c r="D110" s="125" t="s">
        <v>1247</v>
      </c>
      <c r="E110" s="125" t="s">
        <v>1246</v>
      </c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ht="15.75" customHeight="1">
      <c r="A111" s="125" t="s">
        <v>1243</v>
      </c>
      <c r="B111" s="125" t="s">
        <v>1244</v>
      </c>
      <c r="C111" s="125" t="s">
        <v>1082</v>
      </c>
      <c r="D111" s="125" t="s">
        <v>1245</v>
      </c>
      <c r="E111" s="125" t="s">
        <v>1246</v>
      </c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ht="15.75" customHeight="1">
      <c r="A112" s="125" t="s">
        <v>1243</v>
      </c>
      <c r="B112" s="125" t="s">
        <v>1244</v>
      </c>
      <c r="C112" s="125" t="s">
        <v>1084</v>
      </c>
      <c r="D112" s="125" t="s">
        <v>1245</v>
      </c>
      <c r="E112" s="125" t="s">
        <v>1246</v>
      </c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ht="15.75" customHeight="1">
      <c r="A113" s="125" t="s">
        <v>1243</v>
      </c>
      <c r="B113" s="125" t="s">
        <v>1244</v>
      </c>
      <c r="C113" s="125" t="s">
        <v>1087</v>
      </c>
      <c r="D113" s="125" t="s">
        <v>1245</v>
      </c>
      <c r="E113" s="125" t="s">
        <v>1246</v>
      </c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ht="15.75" customHeight="1">
      <c r="A114" s="125" t="s">
        <v>1243</v>
      </c>
      <c r="B114" s="125" t="s">
        <v>1244</v>
      </c>
      <c r="C114" s="125" t="s">
        <v>1097</v>
      </c>
      <c r="D114" s="125" t="s">
        <v>1245</v>
      </c>
      <c r="E114" s="125" t="s">
        <v>1246</v>
      </c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ht="15.75" customHeight="1">
      <c r="A115" s="127"/>
      <c r="B115" s="127"/>
      <c r="C115" s="127"/>
      <c r="D115" s="127"/>
      <c r="E115" s="127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ht="15.75" customHeight="1">
      <c r="A116" s="127"/>
      <c r="B116" s="127"/>
      <c r="C116" s="127"/>
      <c r="D116" s="127"/>
      <c r="E116" s="127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ht="15.75" customHeight="1">
      <c r="A117" s="127"/>
      <c r="B117" s="127"/>
      <c r="C117" s="127"/>
      <c r="D117" s="127"/>
      <c r="E117" s="127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ht="15.75" customHeight="1">
      <c r="A118" s="127"/>
      <c r="B118" s="127"/>
      <c r="C118" s="127"/>
      <c r="D118" s="127"/>
      <c r="E118" s="127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ht="15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ht="15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ht="15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ht="15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ht="15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ht="15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ht="15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ht="15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ht="15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ht="15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ht="15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ht="15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ht="15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ht="15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ht="15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ht="15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ht="15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ht="15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ht="15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ht="15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ht="15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ht="15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ht="15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ht="15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ht="15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ht="15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ht="15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ht="15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ht="15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ht="15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ht="15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ht="15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ht="15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ht="15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ht="15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ht="15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ht="15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ht="15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ht="15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ht="15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ht="15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ht="15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ht="15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ht="15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ht="15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ht="15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ht="15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ht="15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ht="15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ht="15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ht="15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ht="15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ht="15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ht="15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ht="15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ht="15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ht="15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ht="15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ht="15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ht="15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ht="15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ht="15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ht="15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ht="15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ht="15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ht="15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ht="15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ht="15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ht="15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ht="15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ht="15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ht="15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ht="15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ht="15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ht="15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ht="15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ht="15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ht="15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ht="15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ht="15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ht="15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ht="15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ht="15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ht="15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ht="15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ht="15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ht="15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ht="15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ht="15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ht="15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ht="15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ht="15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ht="15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ht="15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ht="15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ht="15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ht="15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ht="15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ht="15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ht="15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ht="15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ht="15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ht="15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ht="15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ht="15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ht="15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ht="15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ht="15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ht="15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ht="15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ht="15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ht="15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ht="15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ht="15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ht="15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ht="15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ht="15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ht="15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ht="15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ht="15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ht="15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ht="15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ht="15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ht="15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ht="15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ht="15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ht="15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ht="15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ht="15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ht="15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ht="15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ht="15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ht="15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ht="15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ht="15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ht="15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ht="15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ht="15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ht="15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ht="15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ht="15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ht="15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ht="15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ht="15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ht="15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ht="15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ht="15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ht="15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ht="15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ht="15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ht="15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ht="15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ht="15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ht="15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ht="15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ht="15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ht="15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ht="15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ht="15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ht="15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ht="15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ht="15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ht="15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ht="15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ht="15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ht="15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ht="15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ht="15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ht="15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ht="15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ht="15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ht="15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ht="15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ht="15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ht="15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ht="15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ht="15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ht="15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ht="15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ht="15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ht="15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ht="15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ht="15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ht="15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ht="15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ht="15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ht="15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ht="15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ht="15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ht="15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ht="15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ht="15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ht="15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ht="15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ht="15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ht="15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ht="15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ht="15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ht="15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ht="15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ht="15.75" customHeight="1">
      <c r="A319" s="121"/>
      <c r="B319" s="121"/>
      <c r="C319" s="121"/>
      <c r="D319" s="121"/>
      <c r="E319" s="121"/>
      <c r="F319" s="121"/>
    </row>
    <row r="320" ht="15.75" customHeight="1">
      <c r="A320" s="121"/>
      <c r="B320" s="121"/>
      <c r="C320" s="121"/>
      <c r="D320" s="121"/>
      <c r="E320" s="121"/>
      <c r="F320" s="121"/>
    </row>
    <row r="321" ht="15.75" customHeight="1">
      <c r="A321" s="121"/>
      <c r="B321" s="121"/>
      <c r="C321" s="121"/>
      <c r="D321" s="121"/>
      <c r="E321" s="121"/>
      <c r="F321" s="121"/>
    </row>
    <row r="322" ht="15.75" customHeight="1">
      <c r="A322" s="121"/>
      <c r="B322" s="121"/>
      <c r="C322" s="121"/>
      <c r="D322" s="121"/>
      <c r="E322" s="121"/>
      <c r="F322" s="121"/>
    </row>
    <row r="323" ht="15.75" customHeight="1">
      <c r="A323" s="121"/>
      <c r="B323" s="121"/>
      <c r="C323" s="121"/>
      <c r="D323" s="121"/>
      <c r="E323" s="121"/>
      <c r="F323" s="121"/>
    </row>
    <row r="324" ht="15.75" customHeight="1">
      <c r="A324" s="121"/>
      <c r="B324" s="121"/>
      <c r="C324" s="121"/>
      <c r="D324" s="121"/>
      <c r="E324" s="121"/>
      <c r="F324" s="121"/>
    </row>
    <row r="325" ht="15.75" customHeight="1">
      <c r="A325" s="121"/>
      <c r="B325" s="121"/>
      <c r="C325" s="121"/>
      <c r="D325" s="121"/>
      <c r="E325" s="121"/>
      <c r="F325" s="121"/>
    </row>
    <row r="326" ht="15.75" customHeight="1">
      <c r="A326" s="121"/>
      <c r="B326" s="121"/>
      <c r="C326" s="121"/>
      <c r="D326" s="121"/>
      <c r="E326" s="121"/>
      <c r="F326" s="121"/>
    </row>
    <row r="327" ht="15.75" customHeight="1">
      <c r="A327" s="121"/>
      <c r="B327" s="121"/>
      <c r="C327" s="121"/>
      <c r="D327" s="121"/>
      <c r="E327" s="121"/>
      <c r="F327" s="121"/>
    </row>
    <row r="328" ht="15.75" customHeight="1">
      <c r="A328" s="121"/>
      <c r="B328" s="121"/>
      <c r="C328" s="121"/>
      <c r="D328" s="121"/>
      <c r="E328" s="121"/>
      <c r="F328" s="121"/>
    </row>
    <row r="329" ht="15.75" customHeight="1">
      <c r="A329" s="121"/>
      <c r="B329" s="121"/>
      <c r="C329" s="121"/>
      <c r="D329" s="121"/>
      <c r="E329" s="121"/>
      <c r="F329" s="121"/>
    </row>
    <row r="330" ht="15.75" customHeight="1">
      <c r="A330" s="121"/>
      <c r="B330" s="121"/>
      <c r="C330" s="121"/>
      <c r="D330" s="121"/>
      <c r="E330" s="121"/>
      <c r="F330" s="121"/>
    </row>
    <row r="331" ht="15.75" customHeight="1">
      <c r="A331" s="121"/>
      <c r="B331" s="121"/>
      <c r="C331" s="121"/>
      <c r="D331" s="121"/>
      <c r="E331" s="121"/>
      <c r="F331" s="121"/>
    </row>
    <row r="332" ht="15.75" customHeight="1">
      <c r="A332" s="121"/>
      <c r="B332" s="121"/>
      <c r="C332" s="121"/>
      <c r="D332" s="121"/>
      <c r="E332" s="121"/>
      <c r="F332" s="121"/>
    </row>
    <row r="333" ht="15.75" customHeight="1">
      <c r="A333" s="121"/>
      <c r="B333" s="121"/>
      <c r="C333" s="121"/>
      <c r="D333" s="121"/>
      <c r="E333" s="121"/>
      <c r="F333" s="121"/>
    </row>
    <row r="334" ht="15.75" customHeight="1">
      <c r="A334" s="121"/>
      <c r="B334" s="121"/>
      <c r="C334" s="121"/>
      <c r="D334" s="121"/>
      <c r="E334" s="121"/>
      <c r="F334" s="121"/>
    </row>
    <row r="335" ht="15.75" customHeight="1">
      <c r="A335" s="121"/>
      <c r="B335" s="121"/>
      <c r="C335" s="121"/>
      <c r="D335" s="121"/>
      <c r="E335" s="121"/>
      <c r="F335" s="121"/>
    </row>
    <row r="336" ht="15.75" customHeight="1">
      <c r="A336" s="121"/>
      <c r="B336" s="121"/>
      <c r="C336" s="121"/>
      <c r="D336" s="121"/>
      <c r="E336" s="121"/>
      <c r="F336" s="121"/>
    </row>
    <row r="337" ht="15.75" customHeight="1">
      <c r="A337" s="121"/>
      <c r="B337" s="121"/>
      <c r="C337" s="121"/>
      <c r="D337" s="121"/>
      <c r="E337" s="121"/>
      <c r="F337" s="121"/>
    </row>
    <row r="338" ht="15.75" customHeight="1">
      <c r="A338" s="121"/>
      <c r="B338" s="121"/>
      <c r="C338" s="121"/>
      <c r="D338" s="121"/>
      <c r="E338" s="121"/>
      <c r="F338" s="121"/>
    </row>
    <row r="339" ht="15.75" customHeight="1">
      <c r="A339" s="121"/>
      <c r="B339" s="121"/>
      <c r="C339" s="121"/>
      <c r="D339" s="121"/>
      <c r="E339" s="121"/>
      <c r="F339" s="121"/>
    </row>
    <row r="340" ht="15.75" customHeight="1">
      <c r="A340" s="121"/>
      <c r="B340" s="121"/>
      <c r="C340" s="121"/>
      <c r="D340" s="121"/>
      <c r="E340" s="121"/>
      <c r="F340" s="121"/>
    </row>
    <row r="341" ht="15.75" customHeight="1">
      <c r="A341" s="121"/>
      <c r="B341" s="121"/>
      <c r="C341" s="121"/>
      <c r="D341" s="121"/>
      <c r="E341" s="121"/>
      <c r="F341" s="121"/>
    </row>
    <row r="342" ht="15.75" customHeight="1">
      <c r="A342" s="121"/>
      <c r="B342" s="121"/>
      <c r="C342" s="121"/>
      <c r="D342" s="121"/>
      <c r="E342" s="121"/>
      <c r="F342" s="121"/>
    </row>
    <row r="343" ht="15.75" customHeight="1">
      <c r="A343" s="121"/>
      <c r="B343" s="121"/>
      <c r="C343" s="121"/>
      <c r="D343" s="121"/>
      <c r="E343" s="121"/>
      <c r="F343" s="121"/>
    </row>
    <row r="344" ht="15.75" customHeight="1">
      <c r="A344" s="121"/>
      <c r="B344" s="121"/>
      <c r="C344" s="121"/>
      <c r="D344" s="121"/>
      <c r="E344" s="121"/>
      <c r="F344" s="121"/>
    </row>
    <row r="345" ht="15.75" customHeight="1">
      <c r="A345" s="121"/>
      <c r="B345" s="121"/>
      <c r="C345" s="121"/>
      <c r="D345" s="121"/>
      <c r="E345" s="121"/>
      <c r="F345" s="121"/>
    </row>
    <row r="346" ht="15.75" customHeight="1">
      <c r="A346" s="121"/>
      <c r="B346" s="121"/>
      <c r="C346" s="121"/>
      <c r="D346" s="121"/>
      <c r="E346" s="121"/>
      <c r="F346" s="121"/>
    </row>
    <row r="347" ht="15.75" customHeight="1">
      <c r="A347" s="121"/>
      <c r="B347" s="121"/>
      <c r="C347" s="121"/>
      <c r="D347" s="121"/>
      <c r="E347" s="121"/>
      <c r="F347" s="121"/>
    </row>
    <row r="348" ht="15.75" customHeight="1">
      <c r="A348" s="121"/>
      <c r="B348" s="121"/>
      <c r="C348" s="121"/>
      <c r="D348" s="121"/>
      <c r="E348" s="121"/>
      <c r="F348" s="121"/>
    </row>
    <row r="349" ht="15.75" customHeight="1">
      <c r="A349" s="121"/>
      <c r="B349" s="121"/>
      <c r="C349" s="121"/>
      <c r="D349" s="121"/>
      <c r="E349" s="121"/>
      <c r="F349" s="121"/>
    </row>
    <row r="350" ht="15.75" customHeight="1">
      <c r="A350" s="121"/>
      <c r="B350" s="121"/>
      <c r="C350" s="121"/>
      <c r="D350" s="121"/>
      <c r="E350" s="121"/>
      <c r="F350" s="121"/>
    </row>
    <row r="351" ht="15.75" customHeight="1">
      <c r="A351" s="121"/>
      <c r="B351" s="121"/>
      <c r="C351" s="121"/>
      <c r="D351" s="121"/>
      <c r="E351" s="121"/>
      <c r="F351" s="121"/>
    </row>
    <row r="352" ht="15.75" customHeight="1">
      <c r="A352" s="121"/>
      <c r="B352" s="121"/>
      <c r="C352" s="121"/>
      <c r="D352" s="121"/>
      <c r="E352" s="121"/>
      <c r="F352" s="121"/>
    </row>
    <row r="353" ht="15.75" customHeight="1">
      <c r="A353" s="121"/>
      <c r="B353" s="121"/>
      <c r="C353" s="121"/>
      <c r="D353" s="121"/>
      <c r="E353" s="121"/>
      <c r="F353" s="121"/>
    </row>
    <row r="354" ht="15.75" customHeight="1">
      <c r="A354" s="121"/>
      <c r="B354" s="121"/>
      <c r="C354" s="121"/>
      <c r="D354" s="121"/>
      <c r="E354" s="121"/>
      <c r="F354" s="121"/>
    </row>
    <row r="355" ht="15.75" customHeight="1">
      <c r="A355" s="121"/>
      <c r="B355" s="121"/>
      <c r="C355" s="121"/>
      <c r="D355" s="121"/>
      <c r="E355" s="121"/>
      <c r="F355" s="121"/>
    </row>
    <row r="356" ht="15.75" customHeight="1">
      <c r="A356" s="121"/>
      <c r="B356" s="121"/>
      <c r="C356" s="121"/>
      <c r="D356" s="121"/>
      <c r="E356" s="121"/>
      <c r="F356" s="121"/>
    </row>
    <row r="357" ht="15.75" customHeight="1">
      <c r="A357" s="121"/>
      <c r="B357" s="121"/>
      <c r="C357" s="121"/>
      <c r="D357" s="121"/>
      <c r="E357" s="121"/>
      <c r="F357" s="121"/>
    </row>
    <row r="358" ht="15.75" customHeight="1">
      <c r="A358" s="121"/>
      <c r="B358" s="121"/>
      <c r="C358" s="121"/>
      <c r="D358" s="121"/>
      <c r="E358" s="121"/>
      <c r="F358" s="121"/>
    </row>
    <row r="359" ht="15.75" customHeight="1">
      <c r="A359" s="121"/>
      <c r="B359" s="121"/>
      <c r="C359" s="121"/>
      <c r="D359" s="121"/>
      <c r="E359" s="121"/>
      <c r="F359" s="121"/>
    </row>
    <row r="360" ht="15.75" customHeight="1">
      <c r="A360" s="121"/>
      <c r="B360" s="121"/>
      <c r="C360" s="121"/>
      <c r="D360" s="121"/>
      <c r="E360" s="121"/>
      <c r="F360" s="121"/>
    </row>
    <row r="361" ht="15.75" customHeight="1">
      <c r="A361" s="121"/>
      <c r="B361" s="121"/>
      <c r="C361" s="121"/>
      <c r="D361" s="121"/>
      <c r="E361" s="121"/>
      <c r="F361" s="121"/>
    </row>
    <row r="362" ht="15.75" customHeight="1">
      <c r="A362" s="121"/>
      <c r="B362" s="121"/>
      <c r="C362" s="121"/>
      <c r="D362" s="121"/>
      <c r="E362" s="121"/>
      <c r="F362" s="121"/>
    </row>
    <row r="363" ht="15.75" customHeight="1">
      <c r="A363" s="121"/>
      <c r="B363" s="121"/>
      <c r="C363" s="121"/>
      <c r="D363" s="121"/>
      <c r="E363" s="121"/>
      <c r="F363" s="121"/>
    </row>
    <row r="364" ht="15.75" customHeight="1">
      <c r="A364" s="121"/>
      <c r="B364" s="121"/>
      <c r="C364" s="121"/>
      <c r="D364" s="121"/>
      <c r="E364" s="121"/>
      <c r="F364" s="121"/>
    </row>
    <row r="365" ht="15.75" customHeight="1">
      <c r="A365" s="121"/>
      <c r="B365" s="121"/>
      <c r="C365" s="121"/>
      <c r="D365" s="121"/>
      <c r="E365" s="121"/>
      <c r="F365" s="121"/>
    </row>
    <row r="366" ht="15.75" customHeight="1">
      <c r="A366" s="121"/>
      <c r="B366" s="121"/>
      <c r="C366" s="121"/>
      <c r="D366" s="121"/>
      <c r="E366" s="121"/>
      <c r="F366" s="121"/>
    </row>
    <row r="367" ht="15.75" customHeight="1">
      <c r="A367" s="121"/>
      <c r="B367" s="121"/>
      <c r="C367" s="121"/>
      <c r="D367" s="121"/>
      <c r="E367" s="121"/>
      <c r="F367" s="121"/>
    </row>
    <row r="368" ht="15.75" customHeight="1">
      <c r="A368" s="121"/>
      <c r="B368" s="121"/>
      <c r="C368" s="121"/>
      <c r="D368" s="121"/>
      <c r="E368" s="121"/>
      <c r="F368" s="121"/>
    </row>
    <row r="369" ht="15.75" customHeight="1">
      <c r="A369" s="121"/>
      <c r="B369" s="121"/>
      <c r="C369" s="121"/>
      <c r="D369" s="121"/>
      <c r="E369" s="121"/>
      <c r="F369" s="121"/>
    </row>
    <row r="370" ht="15.75" customHeight="1">
      <c r="A370" s="121"/>
      <c r="B370" s="121"/>
      <c r="C370" s="121"/>
      <c r="D370" s="121"/>
      <c r="E370" s="121"/>
      <c r="F370" s="121"/>
    </row>
    <row r="371" ht="15.75" customHeight="1">
      <c r="A371" s="121"/>
      <c r="B371" s="121"/>
      <c r="C371" s="121"/>
      <c r="D371" s="121"/>
      <c r="E371" s="121"/>
      <c r="F371" s="121"/>
    </row>
    <row r="372" ht="15.75" customHeight="1">
      <c r="A372" s="121"/>
      <c r="B372" s="121"/>
      <c r="C372" s="121"/>
      <c r="D372" s="121"/>
      <c r="E372" s="121"/>
      <c r="F372" s="121"/>
    </row>
    <row r="373" ht="15.75" customHeight="1">
      <c r="A373" s="121"/>
      <c r="B373" s="121"/>
      <c r="C373" s="121"/>
      <c r="D373" s="121"/>
      <c r="E373" s="121"/>
      <c r="F373" s="121"/>
    </row>
    <row r="374" ht="15.75" customHeight="1">
      <c r="A374" s="121"/>
      <c r="B374" s="121"/>
      <c r="C374" s="121"/>
      <c r="D374" s="121"/>
      <c r="E374" s="121"/>
      <c r="F374" s="121"/>
    </row>
    <row r="375" ht="15.75" customHeight="1">
      <c r="A375" s="121"/>
      <c r="B375" s="121"/>
      <c r="C375" s="121"/>
      <c r="D375" s="121"/>
      <c r="E375" s="121"/>
      <c r="F375" s="121"/>
    </row>
    <row r="376" ht="15.75" customHeight="1">
      <c r="A376" s="121"/>
      <c r="B376" s="121"/>
      <c r="C376" s="121"/>
      <c r="D376" s="121"/>
      <c r="E376" s="121"/>
      <c r="F376" s="121"/>
    </row>
    <row r="377" ht="15.75" customHeight="1">
      <c r="A377" s="121"/>
      <c r="B377" s="121"/>
      <c r="C377" s="121"/>
      <c r="D377" s="121"/>
      <c r="E377" s="121"/>
      <c r="F377" s="121"/>
    </row>
    <row r="378" ht="15.75" customHeight="1">
      <c r="A378" s="121"/>
      <c r="B378" s="121"/>
      <c r="C378" s="121"/>
      <c r="D378" s="121"/>
      <c r="E378" s="121"/>
      <c r="F378" s="121"/>
    </row>
    <row r="379" ht="15.75" customHeight="1">
      <c r="A379" s="121"/>
      <c r="B379" s="121"/>
      <c r="C379" s="121"/>
      <c r="D379" s="121"/>
      <c r="E379" s="121"/>
      <c r="F379" s="121"/>
    </row>
    <row r="380" ht="15.75" customHeight="1">
      <c r="A380" s="121"/>
      <c r="B380" s="121"/>
      <c r="C380" s="121"/>
      <c r="D380" s="121"/>
      <c r="E380" s="121"/>
      <c r="F380" s="121"/>
    </row>
    <row r="381" ht="15.75" customHeight="1">
      <c r="A381" s="121"/>
      <c r="B381" s="121"/>
      <c r="C381" s="121"/>
      <c r="D381" s="121"/>
      <c r="E381" s="121"/>
      <c r="F381" s="121"/>
    </row>
    <row r="382" ht="15.75" customHeight="1">
      <c r="A382" s="121"/>
      <c r="B382" s="121"/>
      <c r="C382" s="121"/>
      <c r="D382" s="121"/>
      <c r="E382" s="121"/>
      <c r="F382" s="121"/>
    </row>
    <row r="383" ht="15.75" customHeight="1">
      <c r="A383" s="121"/>
      <c r="B383" s="121"/>
      <c r="C383" s="121"/>
      <c r="D383" s="121"/>
      <c r="E383" s="121"/>
      <c r="F383" s="121"/>
    </row>
    <row r="384" ht="15.75" customHeight="1">
      <c r="A384" s="121"/>
      <c r="B384" s="121"/>
      <c r="C384" s="121"/>
      <c r="D384" s="121"/>
      <c r="E384" s="121"/>
      <c r="F384" s="121"/>
    </row>
    <row r="385" ht="15.75" customHeight="1">
      <c r="A385" s="121"/>
      <c r="B385" s="121"/>
      <c r="C385" s="121"/>
      <c r="D385" s="121"/>
      <c r="E385" s="121"/>
      <c r="F385" s="121"/>
    </row>
    <row r="386" ht="15.75" customHeight="1">
      <c r="A386" s="121"/>
      <c r="B386" s="121"/>
      <c r="C386" s="121"/>
      <c r="D386" s="121"/>
      <c r="E386" s="121"/>
      <c r="F386" s="121"/>
    </row>
    <row r="387" ht="15.75" customHeight="1">
      <c r="A387" s="121"/>
      <c r="B387" s="121"/>
      <c r="C387" s="121"/>
      <c r="D387" s="121"/>
      <c r="E387" s="121"/>
      <c r="F387" s="121"/>
    </row>
    <row r="388" ht="15.75" customHeight="1">
      <c r="A388" s="121"/>
      <c r="B388" s="121"/>
      <c r="C388" s="121"/>
      <c r="D388" s="121"/>
      <c r="E388" s="121"/>
      <c r="F388" s="121"/>
    </row>
    <row r="389" ht="15.75" customHeight="1">
      <c r="A389" s="121"/>
      <c r="B389" s="121"/>
      <c r="C389" s="121"/>
      <c r="D389" s="121"/>
      <c r="E389" s="121"/>
      <c r="F389" s="121"/>
    </row>
    <row r="390" ht="15.75" customHeight="1">
      <c r="A390" s="121"/>
      <c r="B390" s="121"/>
      <c r="C390" s="121"/>
      <c r="D390" s="121"/>
      <c r="E390" s="121"/>
      <c r="F390" s="121"/>
    </row>
    <row r="391" ht="15.75" customHeight="1">
      <c r="A391" s="121"/>
      <c r="B391" s="121"/>
      <c r="C391" s="121"/>
      <c r="D391" s="121"/>
      <c r="E391" s="121"/>
      <c r="F391" s="121"/>
    </row>
    <row r="392" ht="15.75" customHeight="1">
      <c r="A392" s="121"/>
      <c r="B392" s="121"/>
      <c r="C392" s="121"/>
      <c r="D392" s="121"/>
      <c r="E392" s="121"/>
      <c r="F392" s="121"/>
    </row>
    <row r="393" ht="15.75" customHeight="1">
      <c r="A393" s="121"/>
      <c r="B393" s="121"/>
      <c r="C393" s="121"/>
      <c r="D393" s="121"/>
      <c r="E393" s="121"/>
      <c r="F393" s="121"/>
    </row>
    <row r="394" ht="15.75" customHeight="1">
      <c r="A394" s="121"/>
      <c r="B394" s="121"/>
      <c r="C394" s="121"/>
      <c r="D394" s="121"/>
      <c r="E394" s="121"/>
      <c r="F394" s="121"/>
    </row>
    <row r="395" ht="15.75" customHeight="1">
      <c r="A395" s="121"/>
      <c r="B395" s="121"/>
      <c r="C395" s="121"/>
      <c r="D395" s="121"/>
      <c r="E395" s="121"/>
      <c r="F395" s="121"/>
    </row>
    <row r="396" ht="15.75" customHeight="1">
      <c r="A396" s="121"/>
      <c r="B396" s="121"/>
      <c r="C396" s="121"/>
      <c r="D396" s="121"/>
      <c r="E396" s="121"/>
      <c r="F396" s="121"/>
    </row>
    <row r="397" ht="15.75" customHeight="1">
      <c r="A397" s="121"/>
      <c r="B397" s="121"/>
      <c r="C397" s="121"/>
      <c r="D397" s="121"/>
      <c r="E397" s="121"/>
      <c r="F397" s="121"/>
    </row>
    <row r="398" ht="15.75" customHeight="1">
      <c r="A398" s="121"/>
      <c r="B398" s="121"/>
      <c r="C398" s="121"/>
      <c r="D398" s="121"/>
      <c r="E398" s="121"/>
      <c r="F398" s="121"/>
    </row>
    <row r="399" ht="15.75" customHeight="1">
      <c r="A399" s="121"/>
      <c r="B399" s="121"/>
      <c r="C399" s="121"/>
      <c r="D399" s="121"/>
      <c r="E399" s="121"/>
      <c r="F399" s="121"/>
    </row>
    <row r="400" ht="15.75" customHeight="1">
      <c r="A400" s="121"/>
      <c r="B400" s="121"/>
      <c r="C400" s="121"/>
      <c r="D400" s="121"/>
      <c r="E400" s="121"/>
      <c r="F400" s="121"/>
    </row>
    <row r="401" ht="15.75" customHeight="1">
      <c r="A401" s="121"/>
      <c r="B401" s="121"/>
      <c r="C401" s="121"/>
      <c r="D401" s="121"/>
      <c r="E401" s="121"/>
      <c r="F401" s="121"/>
    </row>
    <row r="402" ht="15.75" customHeight="1">
      <c r="A402" s="121"/>
      <c r="B402" s="121"/>
      <c r="C402" s="121"/>
      <c r="D402" s="121"/>
      <c r="E402" s="121"/>
      <c r="F402" s="121"/>
    </row>
    <row r="403" ht="15.75" customHeight="1">
      <c r="A403" s="121"/>
      <c r="B403" s="121"/>
      <c r="C403" s="121"/>
      <c r="D403" s="121"/>
      <c r="E403" s="121"/>
      <c r="F403" s="121"/>
    </row>
    <row r="404" ht="15.75" customHeight="1">
      <c r="A404" s="121"/>
      <c r="B404" s="121"/>
      <c r="C404" s="121"/>
      <c r="D404" s="121"/>
      <c r="E404" s="121"/>
      <c r="F404" s="121"/>
    </row>
    <row r="405" ht="15.75" customHeight="1">
      <c r="A405" s="121"/>
      <c r="B405" s="121"/>
      <c r="C405" s="121"/>
      <c r="D405" s="121"/>
      <c r="E405" s="121"/>
      <c r="F405" s="121"/>
    </row>
    <row r="406" ht="15.75" customHeight="1">
      <c r="A406" s="121"/>
      <c r="B406" s="121"/>
      <c r="C406" s="121"/>
      <c r="D406" s="121"/>
      <c r="E406" s="121"/>
      <c r="F406" s="121"/>
    </row>
    <row r="407" ht="15.75" customHeight="1">
      <c r="A407" s="121"/>
      <c r="B407" s="121"/>
      <c r="C407" s="121"/>
      <c r="D407" s="121"/>
      <c r="E407" s="121"/>
      <c r="F407" s="121"/>
    </row>
    <row r="408" ht="15.75" customHeight="1">
      <c r="A408" s="121"/>
      <c r="B408" s="121"/>
      <c r="C408" s="121"/>
      <c r="D408" s="121"/>
      <c r="E408" s="121"/>
      <c r="F408" s="121"/>
    </row>
    <row r="409" ht="15.75" customHeight="1">
      <c r="A409" s="121"/>
      <c r="B409" s="121"/>
      <c r="C409" s="121"/>
      <c r="D409" s="121"/>
      <c r="E409" s="121"/>
      <c r="F409" s="121"/>
    </row>
    <row r="410" ht="15.75" customHeight="1">
      <c r="A410" s="121"/>
      <c r="B410" s="121"/>
      <c r="C410" s="121"/>
      <c r="D410" s="121"/>
      <c r="E410" s="121"/>
      <c r="F410" s="121"/>
    </row>
    <row r="411" ht="15.75" customHeight="1">
      <c r="A411" s="121"/>
      <c r="B411" s="121"/>
      <c r="C411" s="121"/>
      <c r="D411" s="121"/>
      <c r="E411" s="121"/>
      <c r="F411" s="121"/>
    </row>
    <row r="412" ht="15.75" customHeight="1">
      <c r="A412" s="121"/>
      <c r="B412" s="121"/>
      <c r="C412" s="121"/>
      <c r="D412" s="121"/>
      <c r="E412" s="121"/>
      <c r="F412" s="121"/>
    </row>
    <row r="413" ht="15.75" customHeight="1">
      <c r="A413" s="121"/>
      <c r="B413" s="121"/>
      <c r="C413" s="121"/>
      <c r="D413" s="121"/>
      <c r="E413" s="121"/>
      <c r="F413" s="121"/>
    </row>
    <row r="414" ht="15.75" customHeight="1">
      <c r="A414" s="121"/>
      <c r="B414" s="121"/>
      <c r="C414" s="121"/>
      <c r="D414" s="121"/>
      <c r="E414" s="121"/>
      <c r="F414" s="121"/>
    </row>
    <row r="415" ht="15.75" customHeight="1">
      <c r="A415" s="121"/>
      <c r="B415" s="121"/>
      <c r="C415" s="121"/>
      <c r="D415" s="121"/>
      <c r="E415" s="121"/>
      <c r="F415" s="121"/>
    </row>
    <row r="416" ht="15.75" customHeight="1">
      <c r="A416" s="121"/>
      <c r="B416" s="121"/>
      <c r="C416" s="121"/>
      <c r="D416" s="121"/>
      <c r="E416" s="121"/>
      <c r="F416" s="121"/>
    </row>
    <row r="417" ht="15.75" customHeight="1">
      <c r="A417" s="121"/>
      <c r="B417" s="121"/>
      <c r="C417" s="121"/>
      <c r="D417" s="121"/>
      <c r="E417" s="121"/>
      <c r="F417" s="121"/>
    </row>
    <row r="418" ht="15.75" customHeight="1">
      <c r="A418" s="121"/>
      <c r="B418" s="121"/>
      <c r="C418" s="121"/>
      <c r="D418" s="121"/>
      <c r="E418" s="121"/>
      <c r="F418" s="121"/>
    </row>
    <row r="419" ht="15.75" customHeight="1">
      <c r="A419" s="121"/>
      <c r="B419" s="121"/>
      <c r="C419" s="121"/>
      <c r="D419" s="121"/>
      <c r="E419" s="121"/>
      <c r="F419" s="121"/>
    </row>
    <row r="420" ht="15.75" customHeight="1">
      <c r="A420" s="121"/>
      <c r="B420" s="121"/>
      <c r="C420" s="121"/>
      <c r="D420" s="121"/>
      <c r="E420" s="121"/>
      <c r="F420" s="121"/>
    </row>
    <row r="421" ht="15.75" customHeight="1">
      <c r="A421" s="121"/>
      <c r="B421" s="121"/>
      <c r="C421" s="121"/>
      <c r="D421" s="121"/>
      <c r="E421" s="121"/>
      <c r="F421" s="121"/>
    </row>
    <row r="422" ht="15.75" customHeight="1">
      <c r="A422" s="121"/>
      <c r="B422" s="121"/>
      <c r="C422" s="121"/>
      <c r="D422" s="121"/>
      <c r="E422" s="121"/>
      <c r="F422" s="121"/>
    </row>
    <row r="423" ht="15.75" customHeight="1">
      <c r="A423" s="121"/>
      <c r="B423" s="121"/>
      <c r="C423" s="121"/>
      <c r="D423" s="121"/>
      <c r="E423" s="121"/>
      <c r="F423" s="121"/>
    </row>
    <row r="424" ht="15.75" customHeight="1">
      <c r="A424" s="121"/>
      <c r="B424" s="121"/>
      <c r="C424" s="121"/>
      <c r="D424" s="121"/>
      <c r="E424" s="121"/>
      <c r="F424" s="121"/>
    </row>
    <row r="425" ht="15.75" customHeight="1">
      <c r="A425" s="121"/>
      <c r="B425" s="121"/>
      <c r="C425" s="121"/>
      <c r="D425" s="121"/>
      <c r="E425" s="121"/>
      <c r="F425" s="121"/>
    </row>
    <row r="426" ht="15.75" customHeight="1">
      <c r="A426" s="121"/>
      <c r="B426" s="121"/>
      <c r="C426" s="121"/>
      <c r="D426" s="121"/>
      <c r="E426" s="121"/>
      <c r="F426" s="121"/>
    </row>
    <row r="427" ht="15.75" customHeight="1">
      <c r="A427" s="121"/>
      <c r="B427" s="121"/>
      <c r="C427" s="121"/>
      <c r="D427" s="121"/>
      <c r="E427" s="121"/>
      <c r="F427" s="121"/>
    </row>
    <row r="428" ht="15.75" customHeight="1">
      <c r="A428" s="121"/>
      <c r="B428" s="121"/>
      <c r="C428" s="121"/>
      <c r="D428" s="121"/>
      <c r="E428" s="121"/>
      <c r="F428" s="121"/>
    </row>
    <row r="429" ht="15.75" customHeight="1">
      <c r="A429" s="121"/>
      <c r="B429" s="121"/>
      <c r="C429" s="121"/>
      <c r="D429" s="121"/>
      <c r="E429" s="121"/>
      <c r="F429" s="121"/>
    </row>
    <row r="430" ht="15.75" customHeight="1">
      <c r="A430" s="121"/>
      <c r="B430" s="121"/>
      <c r="C430" s="121"/>
      <c r="D430" s="121"/>
      <c r="E430" s="121"/>
      <c r="F430" s="121"/>
    </row>
    <row r="431" ht="15.75" customHeight="1">
      <c r="A431" s="121"/>
      <c r="B431" s="121"/>
      <c r="C431" s="121"/>
      <c r="D431" s="121"/>
      <c r="E431" s="121"/>
      <c r="F431" s="121"/>
    </row>
    <row r="432" ht="15.75" customHeight="1">
      <c r="A432" s="121"/>
      <c r="B432" s="121"/>
      <c r="C432" s="121"/>
      <c r="D432" s="121"/>
      <c r="E432" s="121"/>
      <c r="F432" s="121"/>
    </row>
    <row r="433" ht="15.75" customHeight="1">
      <c r="A433" s="121"/>
      <c r="B433" s="121"/>
      <c r="C433" s="121"/>
      <c r="D433" s="121"/>
      <c r="E433" s="121"/>
      <c r="F433" s="121"/>
    </row>
    <row r="434" ht="15.75" customHeight="1">
      <c r="A434" s="121"/>
      <c r="B434" s="121"/>
      <c r="C434" s="121"/>
      <c r="D434" s="121"/>
      <c r="E434" s="121"/>
      <c r="F434" s="121"/>
    </row>
    <row r="435" ht="15.75" customHeight="1">
      <c r="A435" s="121"/>
      <c r="B435" s="121"/>
      <c r="C435" s="121"/>
      <c r="D435" s="121"/>
      <c r="E435" s="121"/>
      <c r="F435" s="121"/>
    </row>
    <row r="436" ht="15.75" customHeight="1">
      <c r="A436" s="121"/>
      <c r="B436" s="121"/>
      <c r="C436" s="121"/>
      <c r="D436" s="121"/>
      <c r="E436" s="121"/>
      <c r="F436" s="121"/>
    </row>
    <row r="437" ht="15.75" customHeight="1">
      <c r="A437" s="121"/>
      <c r="B437" s="121"/>
      <c r="C437" s="121"/>
      <c r="D437" s="121"/>
      <c r="E437" s="121"/>
      <c r="F437" s="121"/>
    </row>
    <row r="438" ht="15.75" customHeight="1">
      <c r="A438" s="121"/>
      <c r="B438" s="121"/>
      <c r="C438" s="121"/>
      <c r="D438" s="121"/>
      <c r="E438" s="121"/>
      <c r="F438" s="121"/>
    </row>
    <row r="439" ht="15.75" customHeight="1">
      <c r="A439" s="121"/>
      <c r="B439" s="121"/>
      <c r="C439" s="121"/>
      <c r="D439" s="121"/>
      <c r="E439" s="121"/>
      <c r="F439" s="121"/>
    </row>
    <row r="440" ht="15.75" customHeight="1">
      <c r="A440" s="121"/>
      <c r="B440" s="121"/>
      <c r="C440" s="121"/>
      <c r="D440" s="121"/>
      <c r="E440" s="121"/>
      <c r="F440" s="121"/>
    </row>
    <row r="441" ht="15.75" customHeight="1">
      <c r="A441" s="121"/>
      <c r="B441" s="121"/>
      <c r="C441" s="121"/>
      <c r="D441" s="121"/>
      <c r="E441" s="121"/>
      <c r="F441" s="121"/>
    </row>
    <row r="442" ht="15.75" customHeight="1">
      <c r="A442" s="121"/>
      <c r="B442" s="121"/>
      <c r="C442" s="121"/>
      <c r="D442" s="121"/>
      <c r="E442" s="121"/>
      <c r="F442" s="121"/>
    </row>
    <row r="443" ht="15.75" customHeight="1">
      <c r="A443" s="121"/>
      <c r="B443" s="121"/>
      <c r="C443" s="121"/>
      <c r="D443" s="121"/>
      <c r="E443" s="121"/>
      <c r="F443" s="121"/>
    </row>
    <row r="444" ht="15.75" customHeight="1">
      <c r="A444" s="121"/>
      <c r="B444" s="121"/>
      <c r="C444" s="121"/>
      <c r="D444" s="121"/>
      <c r="E444" s="121"/>
      <c r="F444" s="121"/>
    </row>
    <row r="445" ht="15.75" customHeight="1">
      <c r="A445" s="121"/>
      <c r="B445" s="121"/>
      <c r="C445" s="121"/>
      <c r="D445" s="121"/>
      <c r="E445" s="121"/>
      <c r="F445" s="121"/>
    </row>
    <row r="446" ht="15.75" customHeight="1">
      <c r="A446" s="121"/>
      <c r="B446" s="121"/>
      <c r="C446" s="121"/>
      <c r="D446" s="121"/>
      <c r="E446" s="121"/>
      <c r="F446" s="121"/>
    </row>
    <row r="447" ht="15.75" customHeight="1">
      <c r="A447" s="121"/>
      <c r="B447" s="121"/>
      <c r="C447" s="121"/>
      <c r="D447" s="121"/>
      <c r="E447" s="121"/>
      <c r="F447" s="121"/>
    </row>
    <row r="448" ht="15.75" customHeight="1">
      <c r="A448" s="121"/>
      <c r="B448" s="121"/>
      <c r="C448" s="121"/>
      <c r="D448" s="121"/>
      <c r="E448" s="121"/>
      <c r="F448" s="121"/>
    </row>
    <row r="449" ht="15.75" customHeight="1">
      <c r="A449" s="121"/>
      <c r="B449" s="121"/>
      <c r="C449" s="121"/>
      <c r="D449" s="121"/>
      <c r="E449" s="121"/>
      <c r="F449" s="121"/>
    </row>
    <row r="450" ht="15.75" customHeight="1">
      <c r="A450" s="121"/>
      <c r="B450" s="121"/>
      <c r="C450" s="121"/>
      <c r="D450" s="121"/>
      <c r="E450" s="121"/>
      <c r="F450" s="121"/>
    </row>
    <row r="451" ht="15.75" customHeight="1">
      <c r="A451" s="121"/>
      <c r="B451" s="121"/>
      <c r="C451" s="121"/>
      <c r="D451" s="121"/>
      <c r="E451" s="121"/>
      <c r="F451" s="121"/>
    </row>
    <row r="452" ht="15.75" customHeight="1">
      <c r="A452" s="121"/>
      <c r="B452" s="121"/>
      <c r="C452" s="121"/>
      <c r="D452" s="121"/>
      <c r="E452" s="121"/>
      <c r="F452" s="121"/>
    </row>
    <row r="453" ht="15.75" customHeight="1">
      <c r="A453" s="121"/>
      <c r="B453" s="121"/>
      <c r="C453" s="121"/>
      <c r="D453" s="121"/>
      <c r="E453" s="121"/>
      <c r="F453" s="121"/>
    </row>
    <row r="454" ht="15.75" customHeight="1">
      <c r="A454" s="121"/>
      <c r="B454" s="121"/>
      <c r="C454" s="121"/>
      <c r="D454" s="121"/>
      <c r="E454" s="121"/>
      <c r="F454" s="121"/>
    </row>
    <row r="455" ht="15.75" customHeight="1">
      <c r="A455" s="121"/>
      <c r="B455" s="121"/>
      <c r="C455" s="121"/>
      <c r="D455" s="121"/>
      <c r="E455" s="121"/>
      <c r="F455" s="121"/>
    </row>
    <row r="456" ht="15.75" customHeight="1">
      <c r="A456" s="121"/>
      <c r="B456" s="121"/>
      <c r="C456" s="121"/>
      <c r="D456" s="121"/>
      <c r="E456" s="121"/>
      <c r="F456" s="121"/>
    </row>
    <row r="457" ht="15.75" customHeight="1">
      <c r="A457" s="121"/>
      <c r="B457" s="121"/>
      <c r="C457" s="121"/>
      <c r="D457" s="121"/>
      <c r="E457" s="121"/>
      <c r="F457" s="121"/>
    </row>
    <row r="458" ht="15.75" customHeight="1">
      <c r="A458" s="121"/>
      <c r="B458" s="121"/>
      <c r="C458" s="121"/>
      <c r="D458" s="121"/>
      <c r="E458" s="121"/>
      <c r="F458" s="121"/>
    </row>
    <row r="459" ht="15.75" customHeight="1">
      <c r="A459" s="121"/>
      <c r="B459" s="121"/>
      <c r="C459" s="121"/>
      <c r="D459" s="121"/>
      <c r="E459" s="121"/>
      <c r="F459" s="121"/>
    </row>
    <row r="460" ht="15.75" customHeight="1">
      <c r="A460" s="121"/>
      <c r="B460" s="121"/>
      <c r="C460" s="121"/>
      <c r="D460" s="121"/>
      <c r="E460" s="121"/>
      <c r="F460" s="121"/>
    </row>
    <row r="461" ht="15.75" customHeight="1">
      <c r="A461" s="121"/>
      <c r="B461" s="121"/>
      <c r="C461" s="121"/>
      <c r="D461" s="121"/>
      <c r="E461" s="121"/>
      <c r="F461" s="121"/>
    </row>
    <row r="462" ht="15.75" customHeight="1">
      <c r="A462" s="121"/>
      <c r="B462" s="121"/>
      <c r="C462" s="121"/>
      <c r="D462" s="121"/>
      <c r="E462" s="121"/>
      <c r="F462" s="121"/>
    </row>
    <row r="463" ht="15.75" customHeight="1">
      <c r="A463" s="121"/>
      <c r="B463" s="121"/>
      <c r="C463" s="121"/>
      <c r="D463" s="121"/>
      <c r="E463" s="121"/>
      <c r="F463" s="121"/>
    </row>
    <row r="464" ht="15.75" customHeight="1">
      <c r="A464" s="121"/>
      <c r="B464" s="121"/>
      <c r="C464" s="121"/>
      <c r="D464" s="121"/>
      <c r="E464" s="121"/>
      <c r="F464" s="121"/>
    </row>
    <row r="465" ht="15.75" customHeight="1">
      <c r="A465" s="121"/>
      <c r="B465" s="121"/>
      <c r="C465" s="121"/>
      <c r="D465" s="121"/>
      <c r="E465" s="121"/>
      <c r="F465" s="121"/>
    </row>
    <row r="466" ht="15.75" customHeight="1">
      <c r="A466" s="121"/>
      <c r="B466" s="121"/>
      <c r="C466" s="121"/>
      <c r="D466" s="121"/>
      <c r="E466" s="121"/>
      <c r="F466" s="121"/>
    </row>
    <row r="467" ht="15.75" customHeight="1">
      <c r="A467" s="121"/>
      <c r="B467" s="121"/>
      <c r="C467" s="121"/>
      <c r="D467" s="121"/>
      <c r="E467" s="121"/>
      <c r="F467" s="121"/>
    </row>
    <row r="468" ht="15.75" customHeight="1">
      <c r="A468" s="121"/>
      <c r="B468" s="121"/>
      <c r="C468" s="121"/>
      <c r="D468" s="121"/>
      <c r="E468" s="121"/>
      <c r="F468" s="121"/>
    </row>
    <row r="469" ht="15.75" customHeight="1">
      <c r="A469" s="121"/>
      <c r="B469" s="121"/>
      <c r="C469" s="121"/>
      <c r="D469" s="121"/>
      <c r="E469" s="121"/>
      <c r="F469" s="121"/>
    </row>
    <row r="470" ht="15.75" customHeight="1">
      <c r="A470" s="121"/>
      <c r="B470" s="121"/>
      <c r="C470" s="121"/>
      <c r="D470" s="121"/>
      <c r="E470" s="121"/>
      <c r="F470" s="121"/>
    </row>
    <row r="471" ht="15.75" customHeight="1">
      <c r="A471" s="121"/>
      <c r="B471" s="121"/>
      <c r="C471" s="121"/>
      <c r="D471" s="121"/>
      <c r="E471" s="121"/>
      <c r="F471" s="121"/>
    </row>
    <row r="472" ht="15.75" customHeight="1">
      <c r="A472" s="121"/>
      <c r="B472" s="121"/>
      <c r="C472" s="121"/>
      <c r="D472" s="121"/>
      <c r="E472" s="121"/>
      <c r="F472" s="121"/>
    </row>
    <row r="473" ht="15.75" customHeight="1">
      <c r="A473" s="121"/>
      <c r="B473" s="121"/>
      <c r="C473" s="121"/>
      <c r="D473" s="121"/>
      <c r="E473" s="121"/>
      <c r="F473" s="121"/>
    </row>
    <row r="474" ht="15.75" customHeight="1">
      <c r="A474" s="121"/>
      <c r="B474" s="121"/>
      <c r="C474" s="121"/>
      <c r="D474" s="121"/>
      <c r="E474" s="121"/>
      <c r="F474" s="121"/>
    </row>
    <row r="475" ht="15.75" customHeight="1">
      <c r="A475" s="121"/>
      <c r="B475" s="121"/>
      <c r="C475" s="121"/>
      <c r="D475" s="121"/>
      <c r="E475" s="121"/>
      <c r="F475" s="121"/>
    </row>
    <row r="476" ht="15.75" customHeight="1">
      <c r="A476" s="121"/>
      <c r="B476" s="121"/>
      <c r="C476" s="121"/>
      <c r="D476" s="121"/>
      <c r="E476" s="121"/>
      <c r="F476" s="121"/>
    </row>
    <row r="477" ht="15.75" customHeight="1">
      <c r="A477" s="121"/>
      <c r="B477" s="121"/>
      <c r="C477" s="121"/>
      <c r="D477" s="121"/>
      <c r="E477" s="121"/>
      <c r="F477" s="121"/>
    </row>
    <row r="478" ht="15.75" customHeight="1">
      <c r="A478" s="121"/>
      <c r="B478" s="121"/>
      <c r="C478" s="121"/>
      <c r="D478" s="121"/>
      <c r="E478" s="121"/>
      <c r="F478" s="121"/>
    </row>
    <row r="479" ht="15.75" customHeight="1">
      <c r="A479" s="121"/>
      <c r="B479" s="121"/>
      <c r="C479" s="121"/>
      <c r="D479" s="121"/>
      <c r="E479" s="121"/>
      <c r="F479" s="121"/>
    </row>
    <row r="480" ht="15.75" customHeight="1">
      <c r="A480" s="121"/>
      <c r="B480" s="121"/>
      <c r="C480" s="121"/>
      <c r="D480" s="121"/>
      <c r="E480" s="121"/>
      <c r="F480" s="121"/>
    </row>
    <row r="481" ht="15.75" customHeight="1">
      <c r="A481" s="121"/>
      <c r="B481" s="121"/>
      <c r="C481" s="121"/>
      <c r="D481" s="121"/>
      <c r="E481" s="121"/>
      <c r="F481" s="121"/>
    </row>
    <row r="482" ht="15.75" customHeight="1">
      <c r="A482" s="121"/>
      <c r="B482" s="121"/>
      <c r="C482" s="121"/>
      <c r="D482" s="121"/>
      <c r="E482" s="121"/>
      <c r="F482" s="121"/>
    </row>
    <row r="483" ht="15.75" customHeight="1">
      <c r="A483" s="121"/>
      <c r="B483" s="121"/>
      <c r="C483" s="121"/>
      <c r="D483" s="121"/>
      <c r="E483" s="121"/>
      <c r="F483" s="121"/>
    </row>
    <row r="484" ht="15.75" customHeight="1">
      <c r="A484" s="121"/>
      <c r="B484" s="121"/>
      <c r="C484" s="121"/>
      <c r="D484" s="121"/>
      <c r="E484" s="121"/>
      <c r="F484" s="121"/>
    </row>
    <row r="485" ht="15.75" customHeight="1">
      <c r="A485" s="121"/>
      <c r="B485" s="121"/>
      <c r="C485" s="121"/>
      <c r="D485" s="121"/>
      <c r="E485" s="121"/>
      <c r="F485" s="121"/>
    </row>
    <row r="486" ht="15.75" customHeight="1">
      <c r="A486" s="121"/>
      <c r="B486" s="121"/>
      <c r="C486" s="121"/>
      <c r="D486" s="121"/>
      <c r="E486" s="121"/>
      <c r="F486" s="121"/>
    </row>
    <row r="487" ht="15.75" customHeight="1">
      <c r="A487" s="121"/>
      <c r="B487" s="121"/>
      <c r="C487" s="121"/>
      <c r="D487" s="121"/>
      <c r="E487" s="121"/>
      <c r="F487" s="121"/>
    </row>
    <row r="488" ht="15.75" customHeight="1">
      <c r="A488" s="121"/>
      <c r="B488" s="121"/>
      <c r="C488" s="121"/>
      <c r="D488" s="121"/>
      <c r="E488" s="121"/>
      <c r="F488" s="121"/>
    </row>
    <row r="489" ht="15.75" customHeight="1">
      <c r="A489" s="121"/>
      <c r="B489" s="121"/>
      <c r="C489" s="121"/>
      <c r="D489" s="121"/>
      <c r="E489" s="121"/>
      <c r="F489" s="121"/>
    </row>
    <row r="490" ht="15.75" customHeight="1">
      <c r="A490" s="121"/>
      <c r="B490" s="121"/>
      <c r="C490" s="121"/>
      <c r="D490" s="121"/>
      <c r="E490" s="121"/>
      <c r="F490" s="121"/>
    </row>
    <row r="491" ht="15.75" customHeight="1">
      <c r="A491" s="121"/>
      <c r="B491" s="121"/>
      <c r="C491" s="121"/>
      <c r="D491" s="121"/>
      <c r="E491" s="121"/>
      <c r="F491" s="121"/>
    </row>
    <row r="492" ht="15.75" customHeight="1">
      <c r="A492" s="121"/>
      <c r="B492" s="121"/>
      <c r="C492" s="121"/>
      <c r="D492" s="121"/>
      <c r="E492" s="121"/>
      <c r="F492" s="121"/>
    </row>
    <row r="493" ht="15.75" customHeight="1">
      <c r="A493" s="121"/>
      <c r="B493" s="121"/>
      <c r="C493" s="121"/>
      <c r="D493" s="121"/>
      <c r="E493" s="121"/>
      <c r="F493" s="121"/>
    </row>
    <row r="494" ht="15.75" customHeight="1">
      <c r="A494" s="121"/>
      <c r="B494" s="121"/>
      <c r="C494" s="121"/>
      <c r="D494" s="121"/>
      <c r="E494" s="121"/>
      <c r="F494" s="121"/>
    </row>
    <row r="495" ht="15.75" customHeight="1">
      <c r="A495" s="121"/>
      <c r="B495" s="121"/>
      <c r="C495" s="121"/>
      <c r="D495" s="121"/>
      <c r="E495" s="121"/>
      <c r="F495" s="121"/>
    </row>
    <row r="496" ht="15.75" customHeight="1">
      <c r="A496" s="121"/>
      <c r="B496" s="121"/>
      <c r="C496" s="121"/>
      <c r="D496" s="121"/>
      <c r="E496" s="121"/>
      <c r="F496" s="121"/>
    </row>
    <row r="497" ht="15.75" customHeight="1">
      <c r="A497" s="121"/>
      <c r="B497" s="121"/>
      <c r="C497" s="121"/>
      <c r="D497" s="121"/>
      <c r="E497" s="121"/>
      <c r="F497" s="121"/>
    </row>
    <row r="498" ht="15.75" customHeight="1">
      <c r="A498" s="121"/>
      <c r="B498" s="121"/>
      <c r="C498" s="121"/>
      <c r="D498" s="121"/>
      <c r="E498" s="121"/>
      <c r="F498" s="121"/>
    </row>
    <row r="499" ht="15.75" customHeight="1">
      <c r="A499" s="121"/>
      <c r="B499" s="121"/>
      <c r="C499" s="121"/>
      <c r="D499" s="121"/>
      <c r="E499" s="121"/>
      <c r="F499" s="121"/>
    </row>
    <row r="500" ht="15.75" customHeight="1">
      <c r="A500" s="121"/>
      <c r="B500" s="121"/>
      <c r="C500" s="121"/>
      <c r="D500" s="121"/>
      <c r="E500" s="121"/>
      <c r="F500" s="121"/>
    </row>
    <row r="501" ht="15.75" customHeight="1">
      <c r="A501" s="121"/>
      <c r="B501" s="121"/>
      <c r="C501" s="121"/>
      <c r="D501" s="121"/>
      <c r="E501" s="121"/>
      <c r="F501" s="121"/>
    </row>
    <row r="502" ht="15.75" customHeight="1">
      <c r="A502" s="121"/>
      <c r="B502" s="121"/>
      <c r="C502" s="121"/>
      <c r="D502" s="121"/>
      <c r="E502" s="121"/>
      <c r="F502" s="121"/>
    </row>
    <row r="503" ht="15.75" customHeight="1">
      <c r="A503" s="121"/>
      <c r="B503" s="121"/>
      <c r="C503" s="121"/>
      <c r="D503" s="121"/>
      <c r="E503" s="121"/>
      <c r="F503" s="121"/>
    </row>
    <row r="504" ht="15.75" customHeight="1">
      <c r="A504" s="121"/>
      <c r="B504" s="121"/>
      <c r="C504" s="121"/>
      <c r="D504" s="121"/>
      <c r="E504" s="121"/>
      <c r="F504" s="121"/>
    </row>
    <row r="505" ht="15.75" customHeight="1">
      <c r="A505" s="121"/>
      <c r="B505" s="121"/>
      <c r="C505" s="121"/>
      <c r="D505" s="121"/>
      <c r="E505" s="121"/>
      <c r="F505" s="121"/>
    </row>
    <row r="506" ht="15.75" customHeight="1">
      <c r="A506" s="121"/>
      <c r="B506" s="121"/>
      <c r="C506" s="121"/>
      <c r="D506" s="121"/>
      <c r="E506" s="121"/>
      <c r="F506" s="121"/>
    </row>
    <row r="507" ht="15.75" customHeight="1">
      <c r="A507" s="121"/>
      <c r="B507" s="121"/>
      <c r="C507" s="121"/>
      <c r="D507" s="121"/>
      <c r="E507" s="121"/>
      <c r="F507" s="121"/>
    </row>
    <row r="508" ht="15.75" customHeight="1">
      <c r="A508" s="121"/>
      <c r="B508" s="121"/>
      <c r="C508" s="121"/>
      <c r="D508" s="121"/>
      <c r="E508" s="121"/>
      <c r="F508" s="121"/>
    </row>
    <row r="509" ht="15.75" customHeight="1">
      <c r="A509" s="121"/>
      <c r="B509" s="121"/>
      <c r="C509" s="121"/>
      <c r="D509" s="121"/>
      <c r="E509" s="121"/>
      <c r="F509" s="121"/>
    </row>
    <row r="510" ht="15.75" customHeight="1">
      <c r="A510" s="121"/>
      <c r="B510" s="121"/>
      <c r="C510" s="121"/>
      <c r="D510" s="121"/>
      <c r="E510" s="121"/>
      <c r="F510" s="121"/>
    </row>
    <row r="511" ht="15.75" customHeight="1">
      <c r="A511" s="121"/>
      <c r="B511" s="121"/>
      <c r="C511" s="121"/>
      <c r="D511" s="121"/>
      <c r="E511" s="121"/>
      <c r="F511" s="121"/>
    </row>
    <row r="512" ht="15.75" customHeight="1">
      <c r="A512" s="121"/>
      <c r="B512" s="121"/>
      <c r="C512" s="121"/>
      <c r="D512" s="121"/>
      <c r="E512" s="121"/>
      <c r="F512" s="121"/>
    </row>
    <row r="513" ht="15.75" customHeight="1">
      <c r="A513" s="121"/>
      <c r="B513" s="121"/>
      <c r="C513" s="121"/>
      <c r="D513" s="121"/>
      <c r="E513" s="121"/>
      <c r="F513" s="121"/>
    </row>
    <row r="514" ht="15.75" customHeight="1">
      <c r="A514" s="121"/>
      <c r="B514" s="121"/>
      <c r="C514" s="121"/>
      <c r="D514" s="121"/>
      <c r="E514" s="121"/>
      <c r="F514" s="121"/>
    </row>
    <row r="515" ht="15.75" customHeight="1">
      <c r="A515" s="121"/>
      <c r="B515" s="121"/>
      <c r="C515" s="121"/>
      <c r="D515" s="121"/>
      <c r="E515" s="121"/>
      <c r="F515" s="121"/>
    </row>
    <row r="516" ht="15.75" customHeight="1">
      <c r="A516" s="121"/>
      <c r="B516" s="121"/>
      <c r="C516" s="121"/>
      <c r="D516" s="121"/>
      <c r="E516" s="121"/>
      <c r="F516" s="121"/>
    </row>
    <row r="517" ht="15.75" customHeight="1">
      <c r="A517" s="121"/>
      <c r="B517" s="121"/>
      <c r="C517" s="121"/>
      <c r="D517" s="121"/>
      <c r="E517" s="121"/>
      <c r="F517" s="121"/>
    </row>
    <row r="518" ht="15.75" customHeight="1">
      <c r="A518" s="121"/>
      <c r="B518" s="121"/>
      <c r="C518" s="121"/>
      <c r="D518" s="121"/>
      <c r="E518" s="121"/>
      <c r="F518" s="121"/>
    </row>
    <row r="519" ht="15.75" customHeight="1">
      <c r="A519" s="121"/>
      <c r="B519" s="121"/>
      <c r="C519" s="121"/>
      <c r="D519" s="121"/>
      <c r="E519" s="121"/>
      <c r="F519" s="121"/>
    </row>
    <row r="520" ht="15.75" customHeight="1">
      <c r="A520" s="121"/>
      <c r="B520" s="121"/>
      <c r="C520" s="121"/>
      <c r="D520" s="121"/>
      <c r="E520" s="121"/>
      <c r="F520" s="121"/>
    </row>
    <row r="521" ht="15.75" customHeight="1">
      <c r="A521" s="121"/>
      <c r="B521" s="121"/>
      <c r="C521" s="121"/>
      <c r="D521" s="121"/>
      <c r="E521" s="121"/>
      <c r="F521" s="121"/>
    </row>
    <row r="522" ht="15.75" customHeight="1">
      <c r="A522" s="121"/>
      <c r="B522" s="121"/>
      <c r="C522" s="121"/>
      <c r="D522" s="121"/>
      <c r="E522" s="121"/>
      <c r="F522" s="121"/>
    </row>
    <row r="523" ht="15.75" customHeight="1">
      <c r="A523" s="121"/>
      <c r="B523" s="121"/>
      <c r="C523" s="121"/>
      <c r="D523" s="121"/>
      <c r="E523" s="121"/>
      <c r="F523" s="121"/>
    </row>
    <row r="524" ht="15.75" customHeight="1">
      <c r="A524" s="121"/>
      <c r="B524" s="121"/>
      <c r="C524" s="121"/>
      <c r="D524" s="121"/>
      <c r="E524" s="121"/>
      <c r="F524" s="121"/>
    </row>
    <row r="525" ht="15.75" customHeight="1">
      <c r="A525" s="121"/>
      <c r="B525" s="121"/>
      <c r="C525" s="121"/>
      <c r="D525" s="121"/>
      <c r="E525" s="121"/>
      <c r="F525" s="121"/>
    </row>
    <row r="526" ht="15.75" customHeight="1">
      <c r="A526" s="121"/>
      <c r="B526" s="121"/>
      <c r="C526" s="121"/>
      <c r="D526" s="121"/>
      <c r="E526" s="121"/>
      <c r="F526" s="121"/>
    </row>
    <row r="527" ht="15.75" customHeight="1">
      <c r="A527" s="121"/>
      <c r="B527" s="121"/>
      <c r="C527" s="121"/>
      <c r="D527" s="121"/>
      <c r="E527" s="121"/>
      <c r="F527" s="121"/>
    </row>
    <row r="528" ht="15.75" customHeight="1">
      <c r="A528" s="121"/>
      <c r="B528" s="121"/>
      <c r="C528" s="121"/>
      <c r="D528" s="121"/>
      <c r="E528" s="121"/>
      <c r="F528" s="121"/>
    </row>
    <row r="529" ht="15.75" customHeight="1">
      <c r="A529" s="121"/>
      <c r="B529" s="121"/>
      <c r="C529" s="121"/>
      <c r="D529" s="121"/>
      <c r="E529" s="121"/>
      <c r="F529" s="121"/>
    </row>
    <row r="530" ht="15.75" customHeight="1">
      <c r="A530" s="121"/>
      <c r="B530" s="121"/>
      <c r="C530" s="121"/>
      <c r="D530" s="121"/>
      <c r="E530" s="121"/>
      <c r="F530" s="121"/>
    </row>
    <row r="531" ht="15.75" customHeight="1">
      <c r="A531" s="121"/>
      <c r="B531" s="121"/>
      <c r="C531" s="121"/>
      <c r="D531" s="121"/>
      <c r="E531" s="121"/>
      <c r="F531" s="121"/>
    </row>
    <row r="532" ht="15.75" customHeight="1">
      <c r="A532" s="121"/>
      <c r="B532" s="121"/>
      <c r="C532" s="121"/>
      <c r="D532" s="121"/>
      <c r="E532" s="121"/>
      <c r="F532" s="121"/>
    </row>
    <row r="533" ht="15.75" customHeight="1">
      <c r="A533" s="121"/>
      <c r="B533" s="121"/>
      <c r="C533" s="121"/>
      <c r="D533" s="121"/>
      <c r="E533" s="121"/>
      <c r="F533" s="121"/>
    </row>
    <row r="534" ht="15.75" customHeight="1">
      <c r="A534" s="121"/>
      <c r="B534" s="121"/>
      <c r="C534" s="121"/>
      <c r="D534" s="121"/>
      <c r="E534" s="121"/>
      <c r="F534" s="121"/>
    </row>
    <row r="535" ht="15.75" customHeight="1">
      <c r="A535" s="121"/>
      <c r="B535" s="121"/>
      <c r="C535" s="121"/>
      <c r="D535" s="121"/>
      <c r="E535" s="121"/>
      <c r="F535" s="121"/>
    </row>
    <row r="536" ht="15.75" customHeight="1">
      <c r="A536" s="121"/>
      <c r="B536" s="121"/>
      <c r="C536" s="121"/>
      <c r="D536" s="121"/>
      <c r="E536" s="121"/>
      <c r="F536" s="121"/>
    </row>
    <row r="537" ht="15.75" customHeight="1">
      <c r="A537" s="121"/>
      <c r="B537" s="121"/>
      <c r="C537" s="121"/>
      <c r="D537" s="121"/>
      <c r="E537" s="121"/>
      <c r="F537" s="121"/>
    </row>
    <row r="538" ht="15.75" customHeight="1">
      <c r="A538" s="121"/>
      <c r="B538" s="121"/>
      <c r="C538" s="121"/>
      <c r="D538" s="121"/>
      <c r="E538" s="121"/>
      <c r="F538" s="121"/>
    </row>
    <row r="539" ht="15.75" customHeight="1">
      <c r="A539" s="121"/>
      <c r="B539" s="121"/>
      <c r="C539" s="121"/>
      <c r="D539" s="121"/>
      <c r="E539" s="121"/>
      <c r="F539" s="121"/>
    </row>
    <row r="540" ht="15.75" customHeight="1">
      <c r="A540" s="121"/>
      <c r="B540" s="121"/>
      <c r="C540" s="121"/>
      <c r="D540" s="121"/>
      <c r="E540" s="121"/>
      <c r="F540" s="121"/>
    </row>
    <row r="541" ht="15.75" customHeight="1">
      <c r="A541" s="121"/>
      <c r="B541" s="121"/>
      <c r="C541" s="121"/>
      <c r="D541" s="121"/>
      <c r="E541" s="121"/>
      <c r="F541" s="121"/>
    </row>
    <row r="542" ht="15.75" customHeight="1">
      <c r="A542" s="121"/>
      <c r="B542" s="121"/>
      <c r="C542" s="121"/>
      <c r="D542" s="121"/>
      <c r="E542" s="121"/>
      <c r="F542" s="121"/>
    </row>
    <row r="543" ht="15.75" customHeight="1">
      <c r="A543" s="121"/>
      <c r="B543" s="121"/>
      <c r="C543" s="121"/>
      <c r="D543" s="121"/>
      <c r="E543" s="121"/>
      <c r="F543" s="121"/>
    </row>
    <row r="544" ht="15.75" customHeight="1">
      <c r="A544" s="121"/>
      <c r="B544" s="121"/>
      <c r="C544" s="121"/>
      <c r="D544" s="121"/>
      <c r="E544" s="121"/>
      <c r="F544" s="121"/>
    </row>
    <row r="545" ht="15.75" customHeight="1">
      <c r="A545" s="121"/>
      <c r="B545" s="121"/>
      <c r="C545" s="121"/>
      <c r="D545" s="121"/>
      <c r="E545" s="121"/>
      <c r="F545" s="121"/>
    </row>
    <row r="546" ht="15.75" customHeight="1">
      <c r="A546" s="121"/>
      <c r="B546" s="121"/>
      <c r="C546" s="121"/>
      <c r="D546" s="121"/>
      <c r="E546" s="121"/>
      <c r="F546" s="121"/>
    </row>
    <row r="547" ht="15.75" customHeight="1">
      <c r="A547" s="121"/>
      <c r="B547" s="121"/>
      <c r="C547" s="121"/>
      <c r="D547" s="121"/>
      <c r="E547" s="121"/>
      <c r="F547" s="121"/>
    </row>
    <row r="548" ht="15.75" customHeight="1">
      <c r="A548" s="121"/>
      <c r="B548" s="121"/>
      <c r="C548" s="121"/>
      <c r="D548" s="121"/>
      <c r="E548" s="121"/>
      <c r="F548" s="121"/>
    </row>
    <row r="549" ht="15.75" customHeight="1">
      <c r="A549" s="121"/>
      <c r="B549" s="121"/>
      <c r="C549" s="121"/>
      <c r="D549" s="121"/>
      <c r="E549" s="121"/>
      <c r="F549" s="121"/>
    </row>
    <row r="550" ht="15.75" customHeight="1">
      <c r="A550" s="121"/>
      <c r="B550" s="121"/>
      <c r="C550" s="121"/>
      <c r="D550" s="121"/>
      <c r="E550" s="121"/>
      <c r="F550" s="121"/>
    </row>
    <row r="551" ht="15.75" customHeight="1">
      <c r="A551" s="121"/>
      <c r="B551" s="121"/>
      <c r="C551" s="121"/>
      <c r="D551" s="121"/>
      <c r="E551" s="121"/>
      <c r="F551" s="121"/>
    </row>
    <row r="552" ht="15.75" customHeight="1">
      <c r="A552" s="121"/>
      <c r="B552" s="121"/>
      <c r="C552" s="121"/>
      <c r="D552" s="121"/>
      <c r="E552" s="121"/>
      <c r="F552" s="121"/>
    </row>
    <row r="553" ht="15.75" customHeight="1">
      <c r="A553" s="121"/>
      <c r="B553" s="121"/>
      <c r="C553" s="121"/>
      <c r="D553" s="121"/>
      <c r="E553" s="121"/>
      <c r="F553" s="121"/>
    </row>
    <row r="554" ht="15.75" customHeight="1">
      <c r="A554" s="121"/>
      <c r="B554" s="121"/>
      <c r="C554" s="121"/>
      <c r="D554" s="121"/>
      <c r="E554" s="121"/>
      <c r="F554" s="121"/>
    </row>
    <row r="555" ht="15.75" customHeight="1">
      <c r="A555" s="121"/>
      <c r="B555" s="121"/>
      <c r="C555" s="121"/>
      <c r="D555" s="121"/>
      <c r="E555" s="121"/>
      <c r="F555" s="121"/>
    </row>
    <row r="556" ht="15.75" customHeight="1">
      <c r="A556" s="121"/>
      <c r="B556" s="121"/>
      <c r="C556" s="121"/>
      <c r="D556" s="121"/>
      <c r="E556" s="121"/>
      <c r="F556" s="121"/>
    </row>
    <row r="557" ht="15.75" customHeight="1">
      <c r="A557" s="121"/>
      <c r="B557" s="121"/>
      <c r="C557" s="121"/>
      <c r="D557" s="121"/>
      <c r="E557" s="121"/>
      <c r="F557" s="121"/>
    </row>
    <row r="558" ht="15.75" customHeight="1">
      <c r="A558" s="121"/>
      <c r="B558" s="121"/>
      <c r="C558" s="121"/>
      <c r="D558" s="121"/>
      <c r="E558" s="121"/>
      <c r="F558" s="121"/>
    </row>
    <row r="559" ht="15.75" customHeight="1">
      <c r="A559" s="121"/>
      <c r="B559" s="121"/>
      <c r="C559" s="121"/>
      <c r="D559" s="121"/>
      <c r="E559" s="121"/>
      <c r="F559" s="121"/>
    </row>
    <row r="560" ht="15.75" customHeight="1">
      <c r="A560" s="121"/>
      <c r="B560" s="121"/>
      <c r="C560" s="121"/>
      <c r="D560" s="121"/>
      <c r="E560" s="121"/>
      <c r="F560" s="121"/>
    </row>
    <row r="561" ht="15.75" customHeight="1">
      <c r="A561" s="121"/>
      <c r="B561" s="121"/>
      <c r="C561" s="121"/>
      <c r="D561" s="121"/>
      <c r="E561" s="121"/>
      <c r="F561" s="121"/>
    </row>
    <row r="562" ht="15.75" customHeight="1">
      <c r="A562" s="121"/>
      <c r="B562" s="121"/>
      <c r="C562" s="121"/>
      <c r="D562" s="121"/>
      <c r="E562" s="121"/>
      <c r="F562" s="121"/>
    </row>
    <row r="563" ht="15.75" customHeight="1">
      <c r="A563" s="121"/>
      <c r="B563" s="121"/>
      <c r="C563" s="121"/>
      <c r="D563" s="121"/>
      <c r="E563" s="121"/>
      <c r="F563" s="121"/>
    </row>
    <row r="564" ht="15.75" customHeight="1">
      <c r="A564" s="121"/>
      <c r="B564" s="121"/>
      <c r="C564" s="121"/>
      <c r="D564" s="121"/>
      <c r="E564" s="121"/>
      <c r="F564" s="121"/>
    </row>
    <row r="565" ht="15.75" customHeight="1">
      <c r="A565" s="121"/>
      <c r="B565" s="121"/>
      <c r="C565" s="121"/>
      <c r="D565" s="121"/>
      <c r="E565" s="121"/>
      <c r="F565" s="121"/>
    </row>
    <row r="566" ht="15.75" customHeight="1">
      <c r="A566" s="121"/>
      <c r="B566" s="121"/>
      <c r="C566" s="121"/>
      <c r="D566" s="121"/>
      <c r="E566" s="121"/>
      <c r="F566" s="121"/>
    </row>
    <row r="567" ht="15.75" customHeight="1">
      <c r="A567" s="121"/>
      <c r="B567" s="121"/>
      <c r="C567" s="121"/>
      <c r="D567" s="121"/>
      <c r="E567" s="121"/>
      <c r="F567" s="121"/>
    </row>
    <row r="568" ht="15.75" customHeight="1">
      <c r="A568" s="121"/>
      <c r="B568" s="121"/>
      <c r="C568" s="121"/>
      <c r="D568" s="121"/>
      <c r="E568" s="121"/>
      <c r="F568" s="121"/>
    </row>
    <row r="569" ht="15.75" customHeight="1">
      <c r="A569" s="121"/>
      <c r="B569" s="121"/>
      <c r="C569" s="121"/>
      <c r="D569" s="121"/>
      <c r="E569" s="121"/>
      <c r="F569" s="121"/>
    </row>
    <row r="570" ht="15.75" customHeight="1">
      <c r="A570" s="121"/>
      <c r="B570" s="121"/>
      <c r="C570" s="121"/>
      <c r="D570" s="121"/>
      <c r="E570" s="121"/>
      <c r="F570" s="121"/>
    </row>
    <row r="571" ht="15.75" customHeight="1">
      <c r="A571" s="121"/>
      <c r="B571" s="121"/>
      <c r="C571" s="121"/>
      <c r="D571" s="121"/>
      <c r="E571" s="121"/>
      <c r="F571" s="121"/>
    </row>
    <row r="572" ht="15.75" customHeight="1">
      <c r="A572" s="121"/>
      <c r="B572" s="121"/>
      <c r="C572" s="121"/>
      <c r="D572" s="121"/>
      <c r="E572" s="121"/>
      <c r="F572" s="121"/>
    </row>
    <row r="573" ht="15.75" customHeight="1">
      <c r="A573" s="121"/>
      <c r="B573" s="121"/>
      <c r="C573" s="121"/>
      <c r="D573" s="121"/>
      <c r="E573" s="121"/>
      <c r="F573" s="121"/>
    </row>
    <row r="574" ht="15.75" customHeight="1">
      <c r="A574" s="121"/>
      <c r="B574" s="121"/>
      <c r="C574" s="121"/>
      <c r="D574" s="121"/>
      <c r="E574" s="121"/>
      <c r="F574" s="121"/>
    </row>
    <row r="575" ht="15.75" customHeight="1">
      <c r="A575" s="121"/>
      <c r="B575" s="121"/>
      <c r="C575" s="121"/>
      <c r="D575" s="121"/>
      <c r="E575" s="121"/>
      <c r="F575" s="121"/>
    </row>
    <row r="576" ht="15.75" customHeight="1">
      <c r="A576" s="121"/>
      <c r="B576" s="121"/>
      <c r="C576" s="121"/>
      <c r="D576" s="121"/>
      <c r="E576" s="121"/>
      <c r="F576" s="121"/>
    </row>
    <row r="577" ht="15.75" customHeight="1">
      <c r="A577" s="121"/>
      <c r="B577" s="121"/>
      <c r="C577" s="121"/>
      <c r="D577" s="121"/>
      <c r="E577" s="121"/>
      <c r="F577" s="121"/>
    </row>
    <row r="578" ht="15.75" customHeight="1">
      <c r="A578" s="121"/>
      <c r="B578" s="121"/>
      <c r="C578" s="121"/>
      <c r="D578" s="121"/>
      <c r="E578" s="121"/>
      <c r="F578" s="121"/>
    </row>
    <row r="579" ht="15.75" customHeight="1">
      <c r="A579" s="121"/>
      <c r="B579" s="121"/>
      <c r="C579" s="121"/>
      <c r="D579" s="121"/>
      <c r="E579" s="121"/>
      <c r="F579" s="121"/>
    </row>
    <row r="580" ht="15.75" customHeight="1">
      <c r="A580" s="121"/>
      <c r="B580" s="121"/>
      <c r="C580" s="121"/>
      <c r="D580" s="121"/>
      <c r="E580" s="121"/>
      <c r="F580" s="121"/>
    </row>
    <row r="581" ht="15.75" customHeight="1">
      <c r="A581" s="121"/>
      <c r="B581" s="121"/>
      <c r="C581" s="121"/>
      <c r="D581" s="121"/>
      <c r="E581" s="121"/>
      <c r="F581" s="121"/>
    </row>
    <row r="582" ht="15.75" customHeight="1">
      <c r="A582" s="121"/>
      <c r="B582" s="121"/>
      <c r="C582" s="121"/>
      <c r="D582" s="121"/>
      <c r="E582" s="121"/>
      <c r="F582" s="121"/>
    </row>
    <row r="583" ht="15.75" customHeight="1">
      <c r="A583" s="121"/>
      <c r="B583" s="121"/>
      <c r="C583" s="121"/>
      <c r="D583" s="121"/>
      <c r="E583" s="121"/>
      <c r="F583" s="121"/>
    </row>
    <row r="584" ht="15.75" customHeight="1">
      <c r="A584" s="121"/>
      <c r="B584" s="121"/>
      <c r="C584" s="121"/>
      <c r="D584" s="121"/>
      <c r="E584" s="121"/>
      <c r="F584" s="121"/>
    </row>
    <row r="585" ht="15.75" customHeight="1">
      <c r="A585" s="121"/>
      <c r="B585" s="121"/>
      <c r="C585" s="121"/>
      <c r="D585" s="121"/>
      <c r="E585" s="121"/>
      <c r="F585" s="121"/>
    </row>
    <row r="586" ht="15.75" customHeight="1">
      <c r="A586" s="121"/>
      <c r="B586" s="121"/>
      <c r="C586" s="121"/>
      <c r="D586" s="121"/>
      <c r="E586" s="121"/>
      <c r="F586" s="121"/>
    </row>
    <row r="587" ht="15.75" customHeight="1">
      <c r="A587" s="121"/>
      <c r="B587" s="121"/>
      <c r="C587" s="121"/>
      <c r="D587" s="121"/>
      <c r="E587" s="121"/>
      <c r="F587" s="121"/>
    </row>
    <row r="588" ht="15.75" customHeight="1">
      <c r="A588" s="121"/>
      <c r="B588" s="121"/>
      <c r="C588" s="121"/>
      <c r="D588" s="121"/>
      <c r="E588" s="121"/>
      <c r="F588" s="121"/>
    </row>
    <row r="589" ht="15.75" customHeight="1">
      <c r="A589" s="121"/>
      <c r="B589" s="121"/>
      <c r="C589" s="121"/>
      <c r="D589" s="121"/>
      <c r="E589" s="121"/>
      <c r="F589" s="121"/>
    </row>
    <row r="590" ht="15.75" customHeight="1">
      <c r="A590" s="121"/>
      <c r="B590" s="121"/>
      <c r="C590" s="121"/>
      <c r="D590" s="121"/>
      <c r="E590" s="121"/>
      <c r="F590" s="121"/>
    </row>
    <row r="591" ht="15.75" customHeight="1">
      <c r="A591" s="121"/>
      <c r="B591" s="121"/>
      <c r="C591" s="121"/>
      <c r="D591" s="121"/>
      <c r="E591" s="121"/>
      <c r="F591" s="121"/>
    </row>
    <row r="592" ht="15.75" customHeight="1">
      <c r="A592" s="121"/>
      <c r="B592" s="121"/>
      <c r="C592" s="121"/>
      <c r="D592" s="121"/>
      <c r="E592" s="121"/>
      <c r="F592" s="121"/>
    </row>
    <row r="593" ht="15.75" customHeight="1">
      <c r="A593" s="121"/>
      <c r="B593" s="121"/>
      <c r="C593" s="121"/>
      <c r="D593" s="121"/>
      <c r="E593" s="121"/>
      <c r="F593" s="121"/>
    </row>
    <row r="594" ht="15.75" customHeight="1">
      <c r="A594" s="121"/>
      <c r="B594" s="121"/>
      <c r="C594" s="121"/>
      <c r="D594" s="121"/>
      <c r="E594" s="121"/>
      <c r="F594" s="121"/>
    </row>
    <row r="595" ht="15.75" customHeight="1">
      <c r="A595" s="121"/>
      <c r="B595" s="121"/>
      <c r="C595" s="121"/>
      <c r="D595" s="121"/>
      <c r="E595" s="121"/>
      <c r="F595" s="121"/>
    </row>
    <row r="596" ht="15.75" customHeight="1">
      <c r="A596" s="121"/>
      <c r="B596" s="121"/>
      <c r="C596" s="121"/>
      <c r="D596" s="121"/>
      <c r="E596" s="121"/>
      <c r="F596" s="121"/>
    </row>
    <row r="597" ht="15.75" customHeight="1">
      <c r="A597" s="121"/>
      <c r="B597" s="121"/>
      <c r="C597" s="121"/>
      <c r="D597" s="121"/>
      <c r="E597" s="121"/>
      <c r="F597" s="121"/>
    </row>
    <row r="598" ht="15.75" customHeight="1">
      <c r="A598" s="121"/>
      <c r="B598" s="121"/>
      <c r="C598" s="121"/>
      <c r="D598" s="121"/>
      <c r="E598" s="121"/>
      <c r="F598" s="121"/>
    </row>
    <row r="599" ht="15.75" customHeight="1">
      <c r="A599" s="121"/>
      <c r="B599" s="121"/>
      <c r="C599" s="121"/>
      <c r="D599" s="121"/>
      <c r="E599" s="121"/>
      <c r="F599" s="121"/>
    </row>
    <row r="600" ht="15.75" customHeight="1">
      <c r="A600" s="121"/>
      <c r="B600" s="121"/>
      <c r="C600" s="121"/>
      <c r="D600" s="121"/>
      <c r="E600" s="121"/>
      <c r="F600" s="121"/>
    </row>
    <row r="601" ht="15.75" customHeight="1">
      <c r="A601" s="121"/>
      <c r="B601" s="121"/>
      <c r="C601" s="121"/>
      <c r="D601" s="121"/>
      <c r="E601" s="121"/>
      <c r="F601" s="121"/>
    </row>
    <row r="602" ht="15.75" customHeight="1">
      <c r="A602" s="121"/>
      <c r="B602" s="121"/>
      <c r="C602" s="121"/>
      <c r="D602" s="121"/>
      <c r="E602" s="121"/>
      <c r="F602" s="121"/>
    </row>
    <row r="603" ht="15.75" customHeight="1">
      <c r="A603" s="121"/>
      <c r="B603" s="121"/>
      <c r="C603" s="121"/>
      <c r="D603" s="121"/>
      <c r="E603" s="121"/>
      <c r="F603" s="121"/>
    </row>
    <row r="604" ht="15.75" customHeight="1">
      <c r="A604" s="121"/>
      <c r="B604" s="121"/>
      <c r="C604" s="121"/>
      <c r="D604" s="121"/>
      <c r="E604" s="121"/>
      <c r="F604" s="121"/>
    </row>
    <row r="605" ht="15.75" customHeight="1">
      <c r="A605" s="121"/>
      <c r="B605" s="121"/>
      <c r="C605" s="121"/>
      <c r="D605" s="121"/>
      <c r="E605" s="121"/>
      <c r="F605" s="121"/>
    </row>
    <row r="606" ht="15.75" customHeight="1">
      <c r="A606" s="121"/>
      <c r="B606" s="121"/>
      <c r="C606" s="121"/>
      <c r="D606" s="121"/>
      <c r="E606" s="121"/>
      <c r="F606" s="121"/>
    </row>
    <row r="607" ht="15.75" customHeight="1">
      <c r="A607" s="121"/>
      <c r="B607" s="121"/>
      <c r="C607" s="121"/>
      <c r="D607" s="121"/>
      <c r="E607" s="121"/>
      <c r="F607" s="121"/>
    </row>
    <row r="608" ht="15.75" customHeight="1">
      <c r="A608" s="121"/>
      <c r="B608" s="121"/>
      <c r="C608" s="121"/>
      <c r="D608" s="121"/>
      <c r="E608" s="121"/>
      <c r="F608" s="121"/>
    </row>
    <row r="609" ht="15.75" customHeight="1">
      <c r="A609" s="121"/>
      <c r="B609" s="121"/>
      <c r="C609" s="121"/>
      <c r="D609" s="121"/>
      <c r="E609" s="121"/>
      <c r="F609" s="121"/>
    </row>
    <row r="610" ht="15.75" customHeight="1">
      <c r="A610" s="121"/>
      <c r="B610" s="121"/>
      <c r="C610" s="121"/>
      <c r="D610" s="121"/>
      <c r="E610" s="121"/>
      <c r="F610" s="121"/>
    </row>
    <row r="611" ht="15.75" customHeight="1">
      <c r="A611" s="121"/>
      <c r="B611" s="121"/>
      <c r="C611" s="121"/>
      <c r="D611" s="121"/>
      <c r="E611" s="121"/>
      <c r="F611" s="121"/>
    </row>
    <row r="612" ht="15.75" customHeight="1">
      <c r="A612" s="121"/>
      <c r="B612" s="121"/>
      <c r="C612" s="121"/>
      <c r="D612" s="121"/>
      <c r="E612" s="121"/>
      <c r="F612" s="121"/>
    </row>
    <row r="613" ht="15.75" customHeight="1">
      <c r="A613" s="121"/>
      <c r="B613" s="121"/>
      <c r="C613" s="121"/>
      <c r="D613" s="121"/>
      <c r="E613" s="121"/>
      <c r="F613" s="121"/>
    </row>
    <row r="614" ht="15.75" customHeight="1">
      <c r="A614" s="121"/>
      <c r="B614" s="121"/>
      <c r="C614" s="121"/>
      <c r="D614" s="121"/>
      <c r="E614" s="121"/>
      <c r="F614" s="121"/>
    </row>
    <row r="615" ht="15.75" customHeight="1">
      <c r="A615" s="121"/>
      <c r="B615" s="121"/>
      <c r="C615" s="121"/>
      <c r="D615" s="121"/>
      <c r="E615" s="121"/>
      <c r="F615" s="121"/>
    </row>
    <row r="616" ht="15.75" customHeight="1">
      <c r="A616" s="121"/>
      <c r="B616" s="121"/>
      <c r="C616" s="121"/>
      <c r="D616" s="121"/>
      <c r="E616" s="121"/>
      <c r="F616" s="121"/>
    </row>
    <row r="617" ht="15.75" customHeight="1">
      <c r="A617" s="121"/>
      <c r="B617" s="121"/>
      <c r="C617" s="121"/>
      <c r="D617" s="121"/>
      <c r="E617" s="121"/>
      <c r="F617" s="121"/>
    </row>
    <row r="618" ht="15.75" customHeight="1">
      <c r="A618" s="121"/>
      <c r="B618" s="121"/>
      <c r="C618" s="121"/>
      <c r="D618" s="121"/>
      <c r="E618" s="121"/>
      <c r="F618" s="121"/>
    </row>
    <row r="619" ht="15.75" customHeight="1">
      <c r="A619" s="121"/>
      <c r="B619" s="121"/>
      <c r="C619" s="121"/>
      <c r="D619" s="121"/>
      <c r="E619" s="121"/>
      <c r="F619" s="121"/>
    </row>
    <row r="620" ht="15.75" customHeight="1">
      <c r="A620" s="121"/>
      <c r="B620" s="121"/>
      <c r="C620" s="121"/>
      <c r="D620" s="121"/>
      <c r="E620" s="121"/>
      <c r="F620" s="121"/>
    </row>
    <row r="621" ht="15.75" customHeight="1">
      <c r="A621" s="121"/>
      <c r="B621" s="121"/>
      <c r="C621" s="121"/>
      <c r="D621" s="121"/>
      <c r="E621" s="121"/>
      <c r="F621" s="121"/>
    </row>
    <row r="622" ht="15.75" customHeight="1">
      <c r="A622" s="121"/>
      <c r="B622" s="121"/>
      <c r="C622" s="121"/>
      <c r="D622" s="121"/>
      <c r="E622" s="121"/>
      <c r="F622" s="121"/>
    </row>
    <row r="623" ht="15.75" customHeight="1">
      <c r="A623" s="121"/>
      <c r="B623" s="121"/>
      <c r="C623" s="121"/>
      <c r="D623" s="121"/>
      <c r="E623" s="121"/>
      <c r="F623" s="121"/>
    </row>
    <row r="624" ht="15.75" customHeight="1">
      <c r="A624" s="121"/>
      <c r="B624" s="121"/>
      <c r="C624" s="121"/>
      <c r="D624" s="121"/>
      <c r="E624" s="121"/>
      <c r="F624" s="121"/>
    </row>
    <row r="625" ht="15.75" customHeight="1">
      <c r="A625" s="121"/>
      <c r="B625" s="121"/>
      <c r="C625" s="121"/>
      <c r="D625" s="121"/>
      <c r="E625" s="121"/>
      <c r="F625" s="121"/>
    </row>
    <row r="626" ht="15.75" customHeight="1">
      <c r="A626" s="121"/>
      <c r="B626" s="121"/>
      <c r="C626" s="121"/>
      <c r="D626" s="121"/>
      <c r="E626" s="121"/>
      <c r="F626" s="121"/>
    </row>
    <row r="627" ht="15.75" customHeight="1">
      <c r="A627" s="121"/>
      <c r="B627" s="121"/>
      <c r="C627" s="121"/>
      <c r="D627" s="121"/>
      <c r="E627" s="121"/>
      <c r="F627" s="121"/>
    </row>
    <row r="628" ht="15.75" customHeight="1">
      <c r="A628" s="121"/>
      <c r="B628" s="121"/>
      <c r="C628" s="121"/>
      <c r="D628" s="121"/>
      <c r="E628" s="121"/>
      <c r="F628" s="121"/>
    </row>
    <row r="629" ht="15.75" customHeight="1">
      <c r="A629" s="121"/>
      <c r="B629" s="121"/>
      <c r="C629" s="121"/>
      <c r="D629" s="121"/>
      <c r="E629" s="121"/>
      <c r="F629" s="121"/>
    </row>
    <row r="630" ht="15.75" customHeight="1">
      <c r="A630" s="121"/>
      <c r="B630" s="121"/>
      <c r="C630" s="121"/>
      <c r="D630" s="121"/>
      <c r="E630" s="121"/>
      <c r="F630" s="121"/>
    </row>
    <row r="631" ht="15.75" customHeight="1">
      <c r="A631" s="121"/>
      <c r="B631" s="121"/>
      <c r="C631" s="121"/>
      <c r="D631" s="121"/>
      <c r="E631" s="121"/>
      <c r="F631" s="121"/>
    </row>
    <row r="632" ht="15.75" customHeight="1">
      <c r="A632" s="121"/>
      <c r="B632" s="121"/>
      <c r="C632" s="121"/>
      <c r="D632" s="121"/>
      <c r="E632" s="121"/>
      <c r="F632" s="121"/>
    </row>
    <row r="633" ht="15.75" customHeight="1">
      <c r="A633" s="121"/>
      <c r="B633" s="121"/>
      <c r="C633" s="121"/>
      <c r="D633" s="121"/>
      <c r="E633" s="121"/>
      <c r="F633" s="121"/>
    </row>
    <row r="634" ht="15.75" customHeight="1">
      <c r="A634" s="121"/>
      <c r="B634" s="121"/>
      <c r="C634" s="121"/>
      <c r="D634" s="121"/>
      <c r="E634" s="121"/>
      <c r="F634" s="121"/>
    </row>
    <row r="635" ht="15.75" customHeight="1">
      <c r="A635" s="121"/>
      <c r="B635" s="121"/>
      <c r="C635" s="121"/>
      <c r="D635" s="121"/>
      <c r="E635" s="121"/>
      <c r="F635" s="121"/>
    </row>
    <row r="636" ht="15.75" customHeight="1">
      <c r="A636" s="121"/>
      <c r="B636" s="121"/>
      <c r="C636" s="121"/>
      <c r="D636" s="121"/>
      <c r="E636" s="121"/>
      <c r="F636" s="121"/>
    </row>
    <row r="637" ht="15.75" customHeight="1">
      <c r="A637" s="121"/>
      <c r="B637" s="121"/>
      <c r="C637" s="121"/>
      <c r="D637" s="121"/>
      <c r="E637" s="121"/>
      <c r="F637" s="121"/>
    </row>
    <row r="638" ht="15.75" customHeight="1">
      <c r="A638" s="121"/>
      <c r="B638" s="121"/>
      <c r="C638" s="121"/>
      <c r="D638" s="121"/>
      <c r="E638" s="121"/>
      <c r="F638" s="121"/>
    </row>
    <row r="639" ht="15.75" customHeight="1">
      <c r="A639" s="121"/>
      <c r="B639" s="121"/>
      <c r="C639" s="121"/>
      <c r="D639" s="121"/>
      <c r="E639" s="121"/>
      <c r="F639" s="121"/>
    </row>
    <row r="640" ht="15.75" customHeight="1">
      <c r="A640" s="121"/>
      <c r="B640" s="121"/>
      <c r="C640" s="121"/>
      <c r="D640" s="121"/>
      <c r="E640" s="121"/>
      <c r="F640" s="121"/>
    </row>
    <row r="641" ht="15.75" customHeight="1">
      <c r="A641" s="121"/>
      <c r="B641" s="121"/>
      <c r="C641" s="121"/>
      <c r="D641" s="121"/>
      <c r="E641" s="121"/>
      <c r="F641" s="121"/>
    </row>
    <row r="642" ht="15.75" customHeight="1">
      <c r="A642" s="121"/>
      <c r="B642" s="121"/>
      <c r="C642" s="121"/>
      <c r="D642" s="121"/>
      <c r="E642" s="121"/>
      <c r="F642" s="121"/>
    </row>
    <row r="643" ht="15.75" customHeight="1">
      <c r="A643" s="121"/>
      <c r="B643" s="121"/>
      <c r="C643" s="121"/>
      <c r="D643" s="121"/>
      <c r="E643" s="121"/>
      <c r="F643" s="121"/>
    </row>
    <row r="644" ht="15.75" customHeight="1">
      <c r="A644" s="121"/>
      <c r="B644" s="121"/>
      <c r="C644" s="121"/>
      <c r="D644" s="121"/>
      <c r="E644" s="121"/>
      <c r="F644" s="121"/>
    </row>
    <row r="645" ht="15.75" customHeight="1">
      <c r="A645" s="121"/>
      <c r="B645" s="121"/>
      <c r="C645" s="121"/>
      <c r="D645" s="121"/>
      <c r="E645" s="121"/>
      <c r="F645" s="121"/>
    </row>
    <row r="646" ht="15.75" customHeight="1">
      <c r="A646" s="121"/>
      <c r="B646" s="121"/>
      <c r="C646" s="121"/>
      <c r="D646" s="121"/>
      <c r="E646" s="121"/>
      <c r="F646" s="121"/>
    </row>
    <row r="647" ht="15.75" customHeight="1">
      <c r="A647" s="121"/>
      <c r="B647" s="121"/>
      <c r="C647" s="121"/>
      <c r="D647" s="121"/>
      <c r="E647" s="121"/>
      <c r="F647" s="121"/>
    </row>
    <row r="648" ht="15.75" customHeight="1">
      <c r="A648" s="121"/>
      <c r="B648" s="121"/>
      <c r="C648" s="121"/>
      <c r="D648" s="121"/>
      <c r="E648" s="121"/>
      <c r="F648" s="121"/>
    </row>
    <row r="649" ht="15.75" customHeight="1">
      <c r="A649" s="121"/>
      <c r="B649" s="121"/>
      <c r="C649" s="121"/>
      <c r="D649" s="121"/>
      <c r="E649" s="121"/>
      <c r="F649" s="121"/>
    </row>
    <row r="650" ht="15.75" customHeight="1">
      <c r="A650" s="121"/>
      <c r="B650" s="121"/>
      <c r="C650" s="121"/>
      <c r="D650" s="121"/>
      <c r="E650" s="121"/>
      <c r="F650" s="121"/>
    </row>
    <row r="651" ht="15.75" customHeight="1">
      <c r="A651" s="121"/>
      <c r="B651" s="121"/>
      <c r="C651" s="121"/>
      <c r="D651" s="121"/>
      <c r="E651" s="121"/>
      <c r="F651" s="121"/>
    </row>
    <row r="652" ht="15.75" customHeight="1">
      <c r="A652" s="121"/>
      <c r="B652" s="121"/>
      <c r="C652" s="121"/>
      <c r="D652" s="121"/>
      <c r="E652" s="121"/>
      <c r="F652" s="121"/>
    </row>
    <row r="653" ht="15.75" customHeight="1">
      <c r="A653" s="121"/>
      <c r="B653" s="121"/>
      <c r="C653" s="121"/>
      <c r="D653" s="121"/>
      <c r="E653" s="121"/>
      <c r="F653" s="121"/>
    </row>
    <row r="654" ht="15.75" customHeight="1">
      <c r="A654" s="121"/>
      <c r="B654" s="121"/>
      <c r="C654" s="121"/>
      <c r="D654" s="121"/>
      <c r="E654" s="121"/>
      <c r="F654" s="121"/>
    </row>
    <row r="655" ht="15.75" customHeight="1">
      <c r="A655" s="121"/>
      <c r="B655" s="121"/>
      <c r="C655" s="121"/>
      <c r="D655" s="121"/>
      <c r="E655" s="121"/>
      <c r="F655" s="121"/>
    </row>
    <row r="656" ht="15.75" customHeight="1">
      <c r="A656" s="121"/>
      <c r="B656" s="121"/>
      <c r="C656" s="121"/>
      <c r="D656" s="121"/>
      <c r="E656" s="121"/>
      <c r="F656" s="121"/>
    </row>
    <row r="657" ht="15.75" customHeight="1">
      <c r="A657" s="121"/>
      <c r="B657" s="121"/>
      <c r="C657" s="121"/>
      <c r="D657" s="121"/>
      <c r="E657" s="121"/>
      <c r="F657" s="121"/>
    </row>
    <row r="658" ht="15.75" customHeight="1">
      <c r="A658" s="121"/>
      <c r="B658" s="121"/>
      <c r="C658" s="121"/>
      <c r="D658" s="121"/>
      <c r="E658" s="121"/>
      <c r="F658" s="121"/>
    </row>
    <row r="659" ht="15.75" customHeight="1">
      <c r="A659" s="121"/>
      <c r="B659" s="121"/>
      <c r="C659" s="121"/>
      <c r="D659" s="121"/>
      <c r="E659" s="121"/>
      <c r="F659" s="121"/>
    </row>
    <row r="660" ht="15.75" customHeight="1">
      <c r="A660" s="121"/>
      <c r="B660" s="121"/>
      <c r="C660" s="121"/>
      <c r="D660" s="121"/>
      <c r="E660" s="121"/>
      <c r="F660" s="121"/>
    </row>
    <row r="661" ht="15.75" customHeight="1">
      <c r="A661" s="121"/>
      <c r="B661" s="121"/>
      <c r="C661" s="121"/>
      <c r="D661" s="121"/>
      <c r="E661" s="121"/>
      <c r="F661" s="121"/>
    </row>
    <row r="662" ht="15.75" customHeight="1">
      <c r="A662" s="121"/>
      <c r="B662" s="121"/>
      <c r="C662" s="121"/>
      <c r="D662" s="121"/>
      <c r="E662" s="121"/>
      <c r="F662" s="121"/>
    </row>
    <row r="663" ht="15.75" customHeight="1">
      <c r="A663" s="121"/>
      <c r="B663" s="121"/>
      <c r="C663" s="121"/>
      <c r="D663" s="121"/>
      <c r="E663" s="121"/>
      <c r="F663" s="121"/>
    </row>
    <row r="664" ht="15.75" customHeight="1">
      <c r="A664" s="121"/>
      <c r="B664" s="121"/>
      <c r="C664" s="121"/>
      <c r="D664" s="121"/>
      <c r="E664" s="121"/>
      <c r="F664" s="121"/>
    </row>
    <row r="665" ht="15.75" customHeight="1">
      <c r="A665" s="121"/>
      <c r="B665" s="121"/>
      <c r="C665" s="121"/>
      <c r="D665" s="121"/>
      <c r="E665" s="121"/>
      <c r="F665" s="121"/>
    </row>
    <row r="666" ht="15.75" customHeight="1">
      <c r="A666" s="121"/>
      <c r="B666" s="121"/>
      <c r="C666" s="121"/>
      <c r="D666" s="121"/>
      <c r="E666" s="121"/>
      <c r="F666" s="121"/>
    </row>
    <row r="667" ht="15.75" customHeight="1">
      <c r="A667" s="121"/>
      <c r="B667" s="121"/>
      <c r="C667" s="121"/>
      <c r="D667" s="121"/>
      <c r="E667" s="121"/>
      <c r="F667" s="121"/>
    </row>
    <row r="668" ht="15.75" customHeight="1">
      <c r="A668" s="121"/>
      <c r="B668" s="121"/>
      <c r="C668" s="121"/>
      <c r="D668" s="121"/>
      <c r="E668" s="121"/>
      <c r="F668" s="121"/>
    </row>
    <row r="669" ht="15.75" customHeight="1">
      <c r="A669" s="121"/>
      <c r="B669" s="121"/>
      <c r="C669" s="121"/>
      <c r="D669" s="121"/>
      <c r="E669" s="121"/>
      <c r="F669" s="121"/>
    </row>
    <row r="670" ht="15.75" customHeight="1">
      <c r="A670" s="121"/>
      <c r="B670" s="121"/>
      <c r="C670" s="121"/>
      <c r="D670" s="121"/>
      <c r="E670" s="121"/>
      <c r="F670" s="121"/>
    </row>
    <row r="671" ht="15.75" customHeight="1">
      <c r="A671" s="121"/>
      <c r="B671" s="121"/>
      <c r="C671" s="121"/>
      <c r="D671" s="121"/>
      <c r="E671" s="121"/>
      <c r="F671" s="121"/>
    </row>
    <row r="672" ht="15.75" customHeight="1">
      <c r="A672" s="121"/>
      <c r="B672" s="121"/>
      <c r="C672" s="121"/>
      <c r="D672" s="121"/>
      <c r="E672" s="121"/>
      <c r="F672" s="121"/>
    </row>
    <row r="673" ht="15.75" customHeight="1">
      <c r="A673" s="121"/>
      <c r="B673" s="121"/>
      <c r="C673" s="121"/>
      <c r="D673" s="121"/>
      <c r="E673" s="121"/>
      <c r="F673" s="121"/>
    </row>
    <row r="674" ht="15.75" customHeight="1">
      <c r="A674" s="121"/>
      <c r="B674" s="121"/>
      <c r="C674" s="121"/>
      <c r="D674" s="121"/>
      <c r="E674" s="121"/>
      <c r="F674" s="121"/>
    </row>
    <row r="675" ht="15.75" customHeight="1">
      <c r="A675" s="121"/>
      <c r="B675" s="121"/>
      <c r="C675" s="121"/>
      <c r="D675" s="121"/>
      <c r="E675" s="121"/>
      <c r="F675" s="121"/>
    </row>
    <row r="676" ht="15.75" customHeight="1">
      <c r="A676" s="121"/>
      <c r="B676" s="121"/>
      <c r="C676" s="121"/>
      <c r="D676" s="121"/>
      <c r="E676" s="121"/>
      <c r="F676" s="121"/>
    </row>
    <row r="677" ht="15.75" customHeight="1">
      <c r="A677" s="121"/>
      <c r="B677" s="121"/>
      <c r="C677" s="121"/>
      <c r="D677" s="121"/>
      <c r="E677" s="121"/>
      <c r="F677" s="121"/>
    </row>
    <row r="678" ht="15.75" customHeight="1">
      <c r="A678" s="121"/>
      <c r="B678" s="121"/>
      <c r="C678" s="121"/>
      <c r="D678" s="121"/>
      <c r="E678" s="121"/>
      <c r="F678" s="121"/>
    </row>
    <row r="679" ht="15.75" customHeight="1">
      <c r="A679" s="121"/>
      <c r="B679" s="121"/>
      <c r="C679" s="121"/>
      <c r="D679" s="121"/>
      <c r="E679" s="121"/>
      <c r="F679" s="121"/>
    </row>
    <row r="680" ht="15.75" customHeight="1">
      <c r="A680" s="121"/>
      <c r="B680" s="121"/>
      <c r="C680" s="121"/>
      <c r="D680" s="121"/>
      <c r="E680" s="121"/>
      <c r="F680" s="121"/>
    </row>
    <row r="681" ht="15.75" customHeight="1">
      <c r="A681" s="121"/>
      <c r="B681" s="121"/>
      <c r="C681" s="121"/>
      <c r="D681" s="121"/>
      <c r="E681" s="121"/>
      <c r="F681" s="121"/>
    </row>
    <row r="682" ht="15.75" customHeight="1">
      <c r="A682" s="121"/>
      <c r="B682" s="121"/>
      <c r="C682" s="121"/>
      <c r="D682" s="121"/>
      <c r="E682" s="121"/>
      <c r="F682" s="121"/>
    </row>
    <row r="683" ht="15.75" customHeight="1">
      <c r="A683" s="121"/>
      <c r="B683" s="121"/>
      <c r="C683" s="121"/>
      <c r="D683" s="121"/>
      <c r="E683" s="121"/>
      <c r="F683" s="121"/>
    </row>
    <row r="684" ht="15.75" customHeight="1">
      <c r="A684" s="121"/>
      <c r="B684" s="121"/>
      <c r="C684" s="121"/>
      <c r="D684" s="121"/>
      <c r="E684" s="121"/>
      <c r="F684" s="121"/>
    </row>
    <row r="685" ht="15.75" customHeight="1">
      <c r="A685" s="121"/>
      <c r="B685" s="121"/>
      <c r="C685" s="121"/>
      <c r="D685" s="121"/>
      <c r="E685" s="121"/>
      <c r="F685" s="121"/>
    </row>
    <row r="686" ht="15.75" customHeight="1">
      <c r="A686" s="121"/>
      <c r="B686" s="121"/>
      <c r="C686" s="121"/>
      <c r="D686" s="121"/>
      <c r="E686" s="121"/>
      <c r="F686" s="121"/>
    </row>
    <row r="687" ht="15.75" customHeight="1">
      <c r="A687" s="121"/>
      <c r="B687" s="121"/>
      <c r="C687" s="121"/>
      <c r="D687" s="121"/>
      <c r="E687" s="121"/>
      <c r="F687" s="121"/>
    </row>
    <row r="688" ht="15.75" customHeight="1">
      <c r="A688" s="121"/>
      <c r="B688" s="121"/>
      <c r="C688" s="121"/>
      <c r="D688" s="121"/>
      <c r="E688" s="121"/>
      <c r="F688" s="121"/>
    </row>
    <row r="689" ht="15.75" customHeight="1">
      <c r="A689" s="121"/>
      <c r="B689" s="121"/>
      <c r="C689" s="121"/>
      <c r="D689" s="121"/>
      <c r="E689" s="121"/>
      <c r="F689" s="121"/>
    </row>
    <row r="690" ht="15.75" customHeight="1">
      <c r="A690" s="121"/>
      <c r="B690" s="121"/>
      <c r="C690" s="121"/>
      <c r="D690" s="121"/>
      <c r="E690" s="121"/>
      <c r="F690" s="121"/>
    </row>
    <row r="691" ht="15.75" customHeight="1">
      <c r="A691" s="121"/>
      <c r="B691" s="121"/>
      <c r="C691" s="121"/>
      <c r="D691" s="121"/>
      <c r="E691" s="121"/>
      <c r="F691" s="121"/>
    </row>
    <row r="692" ht="15.75" customHeight="1">
      <c r="A692" s="121"/>
      <c r="B692" s="121"/>
      <c r="C692" s="121"/>
      <c r="D692" s="121"/>
      <c r="E692" s="121"/>
      <c r="F692" s="121"/>
    </row>
    <row r="693" ht="15.75" customHeight="1">
      <c r="A693" s="121"/>
      <c r="B693" s="121"/>
      <c r="C693" s="121"/>
      <c r="D693" s="121"/>
      <c r="E693" s="121"/>
      <c r="F693" s="121"/>
    </row>
    <row r="694" ht="15.75" customHeight="1">
      <c r="A694" s="121"/>
      <c r="B694" s="121"/>
      <c r="C694" s="121"/>
      <c r="D694" s="121"/>
      <c r="E694" s="121"/>
      <c r="F694" s="121"/>
    </row>
    <row r="695" ht="15.75" customHeight="1">
      <c r="A695" s="121"/>
      <c r="B695" s="121"/>
      <c r="C695" s="121"/>
      <c r="D695" s="121"/>
      <c r="E695" s="121"/>
      <c r="F695" s="121"/>
    </row>
    <row r="696" ht="15.75" customHeight="1">
      <c r="A696" s="121"/>
      <c r="B696" s="121"/>
      <c r="C696" s="121"/>
      <c r="D696" s="121"/>
      <c r="E696" s="121"/>
      <c r="F696" s="121"/>
    </row>
    <row r="697" ht="15.75" customHeight="1">
      <c r="A697" s="121"/>
      <c r="B697" s="121"/>
      <c r="C697" s="121"/>
      <c r="D697" s="121"/>
      <c r="E697" s="121"/>
      <c r="F697" s="121"/>
    </row>
    <row r="698" ht="15.75" customHeight="1">
      <c r="A698" s="121"/>
      <c r="B698" s="121"/>
      <c r="C698" s="121"/>
      <c r="D698" s="121"/>
      <c r="E698" s="121"/>
      <c r="F698" s="121"/>
    </row>
    <row r="699" ht="15.75" customHeight="1">
      <c r="A699" s="121"/>
      <c r="B699" s="121"/>
      <c r="C699" s="121"/>
      <c r="D699" s="121"/>
      <c r="E699" s="121"/>
      <c r="F699" s="121"/>
    </row>
    <row r="700" ht="15.75" customHeight="1">
      <c r="A700" s="121"/>
      <c r="B700" s="121"/>
      <c r="C700" s="121"/>
      <c r="D700" s="121"/>
      <c r="E700" s="121"/>
      <c r="F700" s="121"/>
    </row>
    <row r="701" ht="15.75" customHeight="1">
      <c r="A701" s="121"/>
      <c r="B701" s="121"/>
      <c r="C701" s="121"/>
      <c r="D701" s="121"/>
      <c r="E701" s="121"/>
      <c r="F701" s="121"/>
    </row>
    <row r="702" ht="15.75" customHeight="1">
      <c r="A702" s="121"/>
      <c r="B702" s="121"/>
      <c r="C702" s="121"/>
      <c r="D702" s="121"/>
      <c r="E702" s="121"/>
      <c r="F702" s="121"/>
    </row>
    <row r="703" ht="15.75" customHeight="1">
      <c r="A703" s="121"/>
      <c r="B703" s="121"/>
      <c r="C703" s="121"/>
      <c r="D703" s="121"/>
      <c r="E703" s="121"/>
      <c r="F703" s="121"/>
    </row>
    <row r="704" ht="15.75" customHeight="1">
      <c r="A704" s="121"/>
      <c r="B704" s="121"/>
      <c r="C704" s="121"/>
      <c r="D704" s="121"/>
      <c r="E704" s="121"/>
      <c r="F704" s="121"/>
    </row>
    <row r="705" ht="15.75" customHeight="1">
      <c r="A705" s="121"/>
      <c r="B705" s="121"/>
      <c r="C705" s="121"/>
      <c r="D705" s="121"/>
      <c r="E705" s="121"/>
      <c r="F705" s="121"/>
    </row>
    <row r="706" ht="15.75" customHeight="1">
      <c r="A706" s="121"/>
      <c r="B706" s="121"/>
      <c r="C706" s="121"/>
      <c r="D706" s="121"/>
      <c r="E706" s="121"/>
      <c r="F706" s="121"/>
    </row>
    <row r="707" ht="15.75" customHeight="1">
      <c r="A707" s="121"/>
      <c r="B707" s="121"/>
      <c r="C707" s="121"/>
      <c r="D707" s="121"/>
      <c r="E707" s="121"/>
      <c r="F707" s="121"/>
    </row>
    <row r="708" ht="15.75" customHeight="1">
      <c r="A708" s="121"/>
      <c r="B708" s="121"/>
      <c r="C708" s="121"/>
      <c r="D708" s="121"/>
      <c r="E708" s="121"/>
      <c r="F708" s="121"/>
    </row>
    <row r="709" ht="15.75" customHeight="1">
      <c r="A709" s="121"/>
      <c r="B709" s="121"/>
      <c r="C709" s="121"/>
      <c r="D709" s="121"/>
      <c r="E709" s="121"/>
      <c r="F709" s="121"/>
    </row>
    <row r="710" ht="15.75" customHeight="1">
      <c r="A710" s="121"/>
      <c r="B710" s="121"/>
      <c r="C710" s="121"/>
      <c r="D710" s="121"/>
      <c r="E710" s="121"/>
      <c r="F710" s="121"/>
    </row>
    <row r="711" ht="15.75" customHeight="1">
      <c r="A711" s="121"/>
      <c r="B711" s="121"/>
      <c r="C711" s="121"/>
      <c r="D711" s="121"/>
      <c r="E711" s="121"/>
      <c r="F711" s="121"/>
    </row>
    <row r="712" ht="15.75" customHeight="1">
      <c r="A712" s="121"/>
      <c r="B712" s="121"/>
      <c r="C712" s="121"/>
      <c r="D712" s="121"/>
      <c r="E712" s="121"/>
      <c r="F712" s="121"/>
    </row>
    <row r="713" ht="15.75" customHeight="1">
      <c r="A713" s="121"/>
      <c r="B713" s="121"/>
      <c r="C713" s="121"/>
      <c r="D713" s="121"/>
      <c r="E713" s="121"/>
      <c r="F713" s="121"/>
    </row>
    <row r="714" ht="15.75" customHeight="1">
      <c r="A714" s="121"/>
      <c r="B714" s="121"/>
      <c r="C714" s="121"/>
      <c r="D714" s="121"/>
      <c r="E714" s="121"/>
      <c r="F714" s="121"/>
    </row>
    <row r="715" ht="15.75" customHeight="1">
      <c r="A715" s="121"/>
      <c r="B715" s="121"/>
      <c r="C715" s="121"/>
      <c r="D715" s="121"/>
      <c r="E715" s="121"/>
      <c r="F715" s="121"/>
    </row>
    <row r="716" ht="15.75" customHeight="1">
      <c r="A716" s="121"/>
      <c r="B716" s="121"/>
      <c r="C716" s="121"/>
      <c r="D716" s="121"/>
      <c r="E716" s="121"/>
      <c r="F716" s="121"/>
    </row>
    <row r="717" ht="15.75" customHeight="1">
      <c r="A717" s="121"/>
      <c r="B717" s="121"/>
      <c r="C717" s="121"/>
      <c r="D717" s="121"/>
      <c r="E717" s="121"/>
      <c r="F717" s="121"/>
    </row>
    <row r="718" ht="15.75" customHeight="1">
      <c r="A718" s="121"/>
      <c r="B718" s="121"/>
      <c r="C718" s="121"/>
      <c r="D718" s="121"/>
      <c r="E718" s="121"/>
      <c r="F718" s="121"/>
    </row>
    <row r="719" ht="15.75" customHeight="1">
      <c r="A719" s="121"/>
      <c r="B719" s="121"/>
      <c r="C719" s="121"/>
      <c r="D719" s="121"/>
      <c r="E719" s="121"/>
      <c r="F719" s="121"/>
    </row>
    <row r="720" ht="15.75" customHeight="1">
      <c r="A720" s="121"/>
      <c r="B720" s="121"/>
      <c r="C720" s="121"/>
      <c r="D720" s="121"/>
      <c r="E720" s="121"/>
      <c r="F720" s="121"/>
    </row>
    <row r="721" ht="15.75" customHeight="1">
      <c r="A721" s="121"/>
      <c r="B721" s="121"/>
      <c r="C721" s="121"/>
      <c r="D721" s="121"/>
      <c r="E721" s="121"/>
      <c r="F721" s="121"/>
    </row>
    <row r="722" ht="15.75" customHeight="1">
      <c r="A722" s="121"/>
      <c r="B722" s="121"/>
      <c r="C722" s="121"/>
      <c r="D722" s="121"/>
      <c r="E722" s="121"/>
      <c r="F722" s="121"/>
    </row>
    <row r="723" ht="15.75" customHeight="1">
      <c r="A723" s="121"/>
      <c r="B723" s="121"/>
      <c r="C723" s="121"/>
      <c r="D723" s="121"/>
      <c r="E723" s="121"/>
      <c r="F723" s="121"/>
    </row>
    <row r="724" ht="15.75" customHeight="1">
      <c r="A724" s="121"/>
      <c r="B724" s="121"/>
      <c r="C724" s="121"/>
      <c r="D724" s="121"/>
      <c r="E724" s="121"/>
      <c r="F724" s="121"/>
    </row>
    <row r="725" ht="15.75" customHeight="1">
      <c r="A725" s="121"/>
      <c r="B725" s="121"/>
      <c r="C725" s="121"/>
      <c r="D725" s="121"/>
      <c r="E725" s="121"/>
      <c r="F725" s="121"/>
    </row>
    <row r="726" ht="15.75" customHeight="1">
      <c r="A726" s="121"/>
      <c r="B726" s="121"/>
      <c r="C726" s="121"/>
      <c r="D726" s="121"/>
      <c r="E726" s="121"/>
      <c r="F726" s="121"/>
    </row>
    <row r="727" ht="15.75" customHeight="1">
      <c r="A727" s="121"/>
      <c r="B727" s="121"/>
      <c r="C727" s="121"/>
      <c r="D727" s="121"/>
      <c r="E727" s="121"/>
      <c r="F727" s="121"/>
    </row>
    <row r="728" ht="15.75" customHeight="1">
      <c r="A728" s="121"/>
      <c r="B728" s="121"/>
      <c r="C728" s="121"/>
      <c r="D728" s="121"/>
      <c r="E728" s="121"/>
      <c r="F728" s="121"/>
    </row>
    <row r="729" ht="15.75" customHeight="1">
      <c r="A729" s="121"/>
      <c r="B729" s="121"/>
      <c r="C729" s="121"/>
      <c r="D729" s="121"/>
      <c r="E729" s="121"/>
      <c r="F729" s="121"/>
    </row>
    <row r="730" ht="15.75" customHeight="1">
      <c r="A730" s="121"/>
      <c r="B730" s="121"/>
      <c r="C730" s="121"/>
      <c r="D730" s="121"/>
      <c r="E730" s="121"/>
      <c r="F730" s="121"/>
    </row>
    <row r="731" ht="15.75" customHeight="1">
      <c r="A731" s="121"/>
      <c r="B731" s="121"/>
      <c r="C731" s="121"/>
      <c r="D731" s="121"/>
      <c r="E731" s="121"/>
      <c r="F731" s="121"/>
    </row>
    <row r="732" ht="15.75" customHeight="1">
      <c r="A732" s="121"/>
      <c r="B732" s="121"/>
      <c r="C732" s="121"/>
      <c r="D732" s="121"/>
      <c r="E732" s="121"/>
      <c r="F732" s="121"/>
    </row>
    <row r="733" ht="15.75" customHeight="1">
      <c r="A733" s="121"/>
      <c r="B733" s="121"/>
      <c r="C733" s="121"/>
      <c r="D733" s="121"/>
      <c r="E733" s="121"/>
      <c r="F733" s="121"/>
    </row>
    <row r="734" ht="15.75" customHeight="1">
      <c r="A734" s="121"/>
      <c r="B734" s="121"/>
      <c r="C734" s="121"/>
      <c r="D734" s="121"/>
      <c r="E734" s="121"/>
      <c r="F734" s="121"/>
    </row>
    <row r="735" ht="15.75" customHeight="1">
      <c r="A735" s="121"/>
      <c r="B735" s="121"/>
      <c r="C735" s="121"/>
      <c r="D735" s="121"/>
      <c r="E735" s="121"/>
      <c r="F735" s="121"/>
    </row>
    <row r="736" ht="15.75" customHeight="1">
      <c r="A736" s="121"/>
      <c r="B736" s="121"/>
      <c r="C736" s="121"/>
      <c r="D736" s="121"/>
      <c r="E736" s="121"/>
      <c r="F736" s="121"/>
    </row>
    <row r="737" ht="15.75" customHeight="1">
      <c r="A737" s="121"/>
      <c r="B737" s="121"/>
      <c r="C737" s="121"/>
      <c r="D737" s="121"/>
      <c r="E737" s="121"/>
      <c r="F737" s="121"/>
    </row>
    <row r="738" ht="15.75" customHeight="1">
      <c r="A738" s="121"/>
      <c r="B738" s="121"/>
      <c r="C738" s="121"/>
      <c r="D738" s="121"/>
      <c r="E738" s="121"/>
      <c r="F738" s="121"/>
    </row>
    <row r="739" ht="15.75" customHeight="1">
      <c r="A739" s="121"/>
      <c r="B739" s="121"/>
      <c r="C739" s="121"/>
      <c r="D739" s="121"/>
      <c r="E739" s="121"/>
      <c r="F739" s="121"/>
    </row>
    <row r="740" ht="15.75" customHeight="1">
      <c r="A740" s="121"/>
      <c r="B740" s="121"/>
      <c r="C740" s="121"/>
      <c r="D740" s="121"/>
      <c r="E740" s="121"/>
      <c r="F740" s="121"/>
    </row>
    <row r="741" ht="15.75" customHeight="1">
      <c r="A741" s="121"/>
      <c r="B741" s="121"/>
      <c r="C741" s="121"/>
      <c r="D741" s="121"/>
      <c r="E741" s="121"/>
      <c r="F741" s="121"/>
    </row>
    <row r="742" ht="15.75" customHeight="1">
      <c r="A742" s="121"/>
      <c r="B742" s="121"/>
      <c r="C742" s="121"/>
      <c r="D742" s="121"/>
      <c r="E742" s="121"/>
      <c r="F742" s="121"/>
    </row>
    <row r="743" ht="15.75" customHeight="1">
      <c r="A743" s="121"/>
      <c r="B743" s="121"/>
      <c r="C743" s="121"/>
      <c r="D743" s="121"/>
      <c r="E743" s="121"/>
      <c r="F743" s="121"/>
    </row>
    <row r="744" ht="15.75" customHeight="1">
      <c r="A744" s="121"/>
      <c r="B744" s="121"/>
      <c r="C744" s="121"/>
      <c r="D744" s="121"/>
      <c r="E744" s="121"/>
      <c r="F744" s="121"/>
    </row>
    <row r="745" ht="15.75" customHeight="1">
      <c r="A745" s="121"/>
      <c r="B745" s="121"/>
      <c r="C745" s="121"/>
      <c r="D745" s="121"/>
      <c r="E745" s="121"/>
      <c r="F745" s="121"/>
    </row>
    <row r="746" ht="15.75" customHeight="1">
      <c r="A746" s="121"/>
      <c r="B746" s="121"/>
      <c r="C746" s="121"/>
      <c r="D746" s="121"/>
      <c r="E746" s="121"/>
      <c r="F746" s="121"/>
    </row>
    <row r="747" ht="15.75" customHeight="1">
      <c r="A747" s="121"/>
      <c r="B747" s="121"/>
      <c r="C747" s="121"/>
      <c r="D747" s="121"/>
      <c r="E747" s="121"/>
      <c r="F747" s="121"/>
    </row>
    <row r="748" ht="15.75" customHeight="1">
      <c r="A748" s="121"/>
      <c r="B748" s="121"/>
      <c r="C748" s="121"/>
      <c r="D748" s="121"/>
      <c r="E748" s="121"/>
      <c r="F748" s="121"/>
    </row>
    <row r="749" ht="15.75" customHeight="1">
      <c r="A749" s="121"/>
      <c r="B749" s="121"/>
      <c r="C749" s="121"/>
      <c r="D749" s="121"/>
      <c r="E749" s="121"/>
      <c r="F749" s="121"/>
    </row>
    <row r="750" ht="15.75" customHeight="1">
      <c r="A750" s="121"/>
      <c r="B750" s="121"/>
      <c r="C750" s="121"/>
      <c r="D750" s="121"/>
      <c r="E750" s="121"/>
      <c r="F750" s="121"/>
    </row>
    <row r="751" ht="15.75" customHeight="1">
      <c r="A751" s="121"/>
      <c r="B751" s="121"/>
      <c r="C751" s="121"/>
      <c r="D751" s="121"/>
      <c r="E751" s="121"/>
      <c r="F751" s="121"/>
    </row>
    <row r="752" ht="15.75" customHeight="1">
      <c r="A752" s="121"/>
      <c r="B752" s="121"/>
      <c r="C752" s="121"/>
      <c r="D752" s="121"/>
      <c r="E752" s="121"/>
      <c r="F752" s="121"/>
    </row>
    <row r="753" ht="15.75" customHeight="1">
      <c r="A753" s="121"/>
      <c r="B753" s="121"/>
      <c r="C753" s="121"/>
      <c r="D753" s="121"/>
      <c r="E753" s="121"/>
      <c r="F753" s="121"/>
    </row>
    <row r="754" ht="15.75" customHeight="1">
      <c r="A754" s="121"/>
      <c r="B754" s="121"/>
      <c r="C754" s="121"/>
      <c r="D754" s="121"/>
      <c r="E754" s="121"/>
      <c r="F754" s="121"/>
    </row>
    <row r="755" ht="15.75" customHeight="1">
      <c r="A755" s="121"/>
      <c r="B755" s="121"/>
      <c r="C755" s="121"/>
      <c r="D755" s="121"/>
      <c r="E755" s="121"/>
      <c r="F755" s="121"/>
    </row>
    <row r="756" ht="15.75" customHeight="1">
      <c r="A756" s="121"/>
      <c r="B756" s="121"/>
      <c r="C756" s="121"/>
      <c r="D756" s="121"/>
      <c r="E756" s="121"/>
      <c r="F756" s="121"/>
    </row>
    <row r="757" ht="15.75" customHeight="1">
      <c r="A757" s="121"/>
      <c r="B757" s="121"/>
      <c r="C757" s="121"/>
      <c r="D757" s="121"/>
      <c r="E757" s="121"/>
      <c r="F757" s="121"/>
    </row>
    <row r="758" ht="15.75" customHeight="1">
      <c r="A758" s="121"/>
      <c r="B758" s="121"/>
      <c r="C758" s="121"/>
      <c r="D758" s="121"/>
      <c r="E758" s="121"/>
      <c r="F758" s="121"/>
    </row>
    <row r="759" ht="15.75" customHeight="1">
      <c r="A759" s="121"/>
      <c r="B759" s="121"/>
      <c r="C759" s="121"/>
      <c r="D759" s="121"/>
      <c r="E759" s="121"/>
      <c r="F759" s="121"/>
    </row>
    <row r="760" ht="15.75" customHeight="1">
      <c r="A760" s="121"/>
      <c r="B760" s="121"/>
      <c r="C760" s="121"/>
      <c r="D760" s="121"/>
      <c r="E760" s="121"/>
      <c r="F760" s="121"/>
    </row>
    <row r="761" ht="15.75" customHeight="1">
      <c r="A761" s="121"/>
      <c r="B761" s="121"/>
      <c r="C761" s="121"/>
      <c r="D761" s="121"/>
      <c r="E761" s="121"/>
      <c r="F761" s="121"/>
    </row>
    <row r="762" ht="15.75" customHeight="1">
      <c r="A762" s="121"/>
      <c r="B762" s="121"/>
      <c r="C762" s="121"/>
      <c r="D762" s="121"/>
      <c r="E762" s="121"/>
      <c r="F762" s="121"/>
    </row>
    <row r="763" ht="15.75" customHeight="1">
      <c r="A763" s="121"/>
      <c r="B763" s="121"/>
      <c r="C763" s="121"/>
      <c r="D763" s="121"/>
      <c r="E763" s="121"/>
      <c r="F763" s="121"/>
    </row>
    <row r="764" ht="15.75" customHeight="1">
      <c r="A764" s="121"/>
      <c r="B764" s="121"/>
      <c r="C764" s="121"/>
      <c r="D764" s="121"/>
      <c r="E764" s="121"/>
      <c r="F764" s="121"/>
    </row>
    <row r="765" ht="15.75" customHeight="1">
      <c r="A765" s="121"/>
      <c r="B765" s="121"/>
      <c r="C765" s="121"/>
      <c r="D765" s="121"/>
      <c r="E765" s="121"/>
      <c r="F765" s="121"/>
    </row>
    <row r="766" ht="15.75" customHeight="1">
      <c r="A766" s="121"/>
      <c r="B766" s="121"/>
      <c r="C766" s="121"/>
      <c r="D766" s="121"/>
      <c r="E766" s="121"/>
      <c r="F766" s="121"/>
    </row>
    <row r="767" ht="15.75" customHeight="1">
      <c r="A767" s="121"/>
      <c r="B767" s="121"/>
      <c r="C767" s="121"/>
      <c r="D767" s="121"/>
      <c r="E767" s="121"/>
      <c r="F767" s="121"/>
    </row>
    <row r="768" ht="15.75" customHeight="1">
      <c r="A768" s="121"/>
      <c r="B768" s="121"/>
      <c r="C768" s="121"/>
      <c r="D768" s="121"/>
      <c r="E768" s="121"/>
      <c r="F768" s="121"/>
    </row>
    <row r="769" ht="15.75" customHeight="1">
      <c r="A769" s="121"/>
      <c r="B769" s="121"/>
      <c r="C769" s="121"/>
      <c r="D769" s="121"/>
      <c r="E769" s="121"/>
      <c r="F769" s="121"/>
    </row>
    <row r="770" ht="15.75" customHeight="1">
      <c r="A770" s="121"/>
      <c r="B770" s="121"/>
      <c r="C770" s="121"/>
      <c r="D770" s="121"/>
      <c r="E770" s="121"/>
      <c r="F770" s="121"/>
    </row>
    <row r="771" ht="15.75" customHeight="1">
      <c r="A771" s="121"/>
      <c r="B771" s="121"/>
      <c r="C771" s="121"/>
      <c r="D771" s="121"/>
      <c r="E771" s="121"/>
      <c r="F771" s="121"/>
    </row>
    <row r="772" ht="15.75" customHeight="1">
      <c r="A772" s="121"/>
      <c r="B772" s="121"/>
      <c r="C772" s="121"/>
      <c r="D772" s="121"/>
      <c r="E772" s="121"/>
      <c r="F772" s="121"/>
    </row>
    <row r="773" ht="15.75" customHeight="1">
      <c r="A773" s="121"/>
      <c r="B773" s="121"/>
      <c r="C773" s="121"/>
      <c r="D773" s="121"/>
      <c r="E773" s="121"/>
      <c r="F773" s="121"/>
    </row>
    <row r="774" ht="15.75" customHeight="1">
      <c r="A774" s="121"/>
      <c r="B774" s="121"/>
      <c r="C774" s="121"/>
      <c r="D774" s="121"/>
      <c r="E774" s="121"/>
      <c r="F774" s="121"/>
    </row>
    <row r="775" ht="15.75" customHeight="1">
      <c r="A775" s="121"/>
      <c r="B775" s="121"/>
      <c r="C775" s="121"/>
      <c r="D775" s="121"/>
      <c r="E775" s="121"/>
      <c r="F775" s="121"/>
    </row>
    <row r="776" ht="15.75" customHeight="1">
      <c r="A776" s="121"/>
      <c r="B776" s="121"/>
      <c r="C776" s="121"/>
      <c r="D776" s="121"/>
      <c r="E776" s="121"/>
      <c r="F776" s="121"/>
    </row>
    <row r="777" ht="15.75" customHeight="1">
      <c r="A777" s="121"/>
      <c r="B777" s="121"/>
      <c r="C777" s="121"/>
      <c r="D777" s="121"/>
      <c r="E777" s="121"/>
      <c r="F777" s="121"/>
    </row>
    <row r="778" ht="15.75" customHeight="1">
      <c r="A778" s="121"/>
      <c r="B778" s="121"/>
      <c r="C778" s="121"/>
      <c r="D778" s="121"/>
      <c r="E778" s="121"/>
      <c r="F778" s="121"/>
    </row>
    <row r="779" ht="15.75" customHeight="1">
      <c r="A779" s="121"/>
      <c r="B779" s="121"/>
      <c r="C779" s="121"/>
      <c r="D779" s="121"/>
      <c r="E779" s="121"/>
      <c r="F779" s="121"/>
    </row>
    <row r="780" ht="15.75" customHeight="1">
      <c r="A780" s="121"/>
      <c r="B780" s="121"/>
      <c r="C780" s="121"/>
      <c r="D780" s="121"/>
      <c r="E780" s="121"/>
      <c r="F780" s="121"/>
    </row>
    <row r="781" ht="15.75" customHeight="1">
      <c r="A781" s="121"/>
      <c r="B781" s="121"/>
      <c r="C781" s="121"/>
      <c r="D781" s="121"/>
      <c r="E781" s="121"/>
      <c r="F781" s="121"/>
    </row>
    <row r="782" ht="15.75" customHeight="1">
      <c r="A782" s="121"/>
      <c r="B782" s="121"/>
      <c r="C782" s="121"/>
      <c r="D782" s="121"/>
      <c r="E782" s="121"/>
      <c r="F782" s="121"/>
    </row>
    <row r="783" ht="15.75" customHeight="1">
      <c r="A783" s="121"/>
      <c r="B783" s="121"/>
      <c r="C783" s="121"/>
      <c r="D783" s="121"/>
      <c r="E783" s="121"/>
      <c r="F783" s="121"/>
    </row>
    <row r="784" ht="15.75" customHeight="1">
      <c r="A784" s="121"/>
      <c r="B784" s="121"/>
      <c r="C784" s="121"/>
      <c r="D784" s="121"/>
      <c r="E784" s="121"/>
      <c r="F784" s="121"/>
    </row>
    <row r="785" ht="15.75" customHeight="1">
      <c r="A785" s="121"/>
      <c r="B785" s="121"/>
      <c r="C785" s="121"/>
      <c r="D785" s="121"/>
      <c r="E785" s="121"/>
      <c r="F785" s="121"/>
    </row>
    <row r="786" ht="15.75" customHeight="1">
      <c r="A786" s="121"/>
      <c r="B786" s="121"/>
      <c r="C786" s="121"/>
      <c r="D786" s="121"/>
      <c r="E786" s="121"/>
      <c r="F786" s="121"/>
    </row>
    <row r="787" ht="15.75" customHeight="1">
      <c r="A787" s="121"/>
      <c r="B787" s="121"/>
      <c r="C787" s="121"/>
      <c r="D787" s="121"/>
      <c r="E787" s="121"/>
      <c r="F787" s="121"/>
    </row>
    <row r="788" ht="15.75" customHeight="1">
      <c r="A788" s="121"/>
      <c r="B788" s="121"/>
      <c r="C788" s="121"/>
      <c r="D788" s="121"/>
      <c r="E788" s="121"/>
      <c r="F788" s="121"/>
    </row>
    <row r="789" ht="15.75" customHeight="1">
      <c r="A789" s="121"/>
      <c r="B789" s="121"/>
      <c r="C789" s="121"/>
      <c r="D789" s="121"/>
      <c r="E789" s="121"/>
      <c r="F789" s="121"/>
    </row>
    <row r="790" ht="15.75" customHeight="1">
      <c r="A790" s="121"/>
      <c r="B790" s="121"/>
      <c r="C790" s="121"/>
      <c r="D790" s="121"/>
      <c r="E790" s="121"/>
      <c r="F790" s="121"/>
    </row>
    <row r="791" ht="15.75" customHeight="1">
      <c r="A791" s="121"/>
      <c r="B791" s="121"/>
      <c r="C791" s="121"/>
      <c r="D791" s="121"/>
      <c r="E791" s="121"/>
      <c r="F791" s="121"/>
    </row>
    <row r="792" ht="15.75" customHeight="1">
      <c r="A792" s="121"/>
      <c r="B792" s="121"/>
      <c r="C792" s="121"/>
      <c r="D792" s="121"/>
      <c r="E792" s="121"/>
      <c r="F792" s="121"/>
    </row>
    <row r="793" ht="15.75" customHeight="1">
      <c r="A793" s="121"/>
      <c r="B793" s="121"/>
      <c r="C793" s="121"/>
      <c r="D793" s="121"/>
      <c r="E793" s="121"/>
      <c r="F793" s="121"/>
    </row>
    <row r="794" ht="15.75" customHeight="1">
      <c r="A794" s="121"/>
      <c r="B794" s="121"/>
      <c r="C794" s="121"/>
      <c r="D794" s="121"/>
      <c r="E794" s="121"/>
      <c r="F794" s="121"/>
    </row>
    <row r="795" ht="15.75" customHeight="1">
      <c r="A795" s="121"/>
      <c r="B795" s="121"/>
      <c r="C795" s="121"/>
      <c r="D795" s="121"/>
      <c r="E795" s="121"/>
      <c r="F795" s="121"/>
    </row>
    <row r="796" ht="15.75" customHeight="1">
      <c r="A796" s="121"/>
      <c r="B796" s="121"/>
      <c r="C796" s="121"/>
      <c r="D796" s="121"/>
      <c r="E796" s="121"/>
      <c r="F796" s="121"/>
    </row>
    <row r="797" ht="15.75" customHeight="1">
      <c r="A797" s="121"/>
      <c r="B797" s="121"/>
      <c r="C797" s="121"/>
      <c r="D797" s="121"/>
      <c r="E797" s="121"/>
      <c r="F797" s="121"/>
    </row>
    <row r="798" ht="15.75" customHeight="1">
      <c r="A798" s="121"/>
      <c r="B798" s="121"/>
      <c r="C798" s="121"/>
      <c r="D798" s="121"/>
      <c r="E798" s="121"/>
      <c r="F798" s="121"/>
    </row>
    <row r="799" ht="15.75" customHeight="1">
      <c r="A799" s="121"/>
      <c r="B799" s="121"/>
      <c r="C799" s="121"/>
      <c r="D799" s="121"/>
      <c r="E799" s="121"/>
      <c r="F799" s="121"/>
    </row>
    <row r="800" ht="15.75" customHeight="1">
      <c r="A800" s="121"/>
      <c r="B800" s="121"/>
      <c r="C800" s="121"/>
      <c r="D800" s="121"/>
      <c r="E800" s="121"/>
      <c r="F800" s="121"/>
    </row>
    <row r="801" ht="15.75" customHeight="1">
      <c r="A801" s="121"/>
      <c r="B801" s="121"/>
      <c r="C801" s="121"/>
      <c r="D801" s="121"/>
      <c r="E801" s="121"/>
      <c r="F801" s="121"/>
    </row>
    <row r="802" ht="15.75" customHeight="1">
      <c r="A802" s="121"/>
      <c r="B802" s="121"/>
      <c r="C802" s="121"/>
      <c r="D802" s="121"/>
      <c r="E802" s="121"/>
      <c r="F802" s="121"/>
    </row>
    <row r="803" ht="15.75" customHeight="1">
      <c r="A803" s="121"/>
      <c r="B803" s="121"/>
      <c r="C803" s="121"/>
      <c r="D803" s="121"/>
      <c r="E803" s="121"/>
      <c r="F803" s="121"/>
    </row>
    <row r="804" ht="15.75" customHeight="1">
      <c r="A804" s="121"/>
      <c r="B804" s="121"/>
      <c r="C804" s="121"/>
      <c r="D804" s="121"/>
      <c r="E804" s="121"/>
      <c r="F804" s="121"/>
    </row>
    <row r="805" ht="15.75" customHeight="1">
      <c r="A805" s="121"/>
      <c r="B805" s="121"/>
      <c r="C805" s="121"/>
      <c r="D805" s="121"/>
      <c r="E805" s="121"/>
      <c r="F805" s="121"/>
    </row>
    <row r="806" ht="15.75" customHeight="1">
      <c r="A806" s="121"/>
      <c r="B806" s="121"/>
      <c r="C806" s="121"/>
      <c r="D806" s="121"/>
      <c r="E806" s="121"/>
      <c r="F806" s="121"/>
    </row>
    <row r="807" ht="15.75" customHeight="1">
      <c r="A807" s="121"/>
      <c r="B807" s="121"/>
      <c r="C807" s="121"/>
      <c r="D807" s="121"/>
      <c r="E807" s="121"/>
      <c r="F807" s="121"/>
    </row>
    <row r="808" ht="15.75" customHeight="1">
      <c r="A808" s="121"/>
      <c r="B808" s="121"/>
      <c r="C808" s="121"/>
      <c r="D808" s="121"/>
      <c r="E808" s="121"/>
      <c r="F808" s="121"/>
    </row>
    <row r="809" ht="15.75" customHeight="1">
      <c r="A809" s="121"/>
      <c r="B809" s="121"/>
      <c r="C809" s="121"/>
      <c r="D809" s="121"/>
      <c r="E809" s="121"/>
      <c r="F809" s="121"/>
    </row>
    <row r="810" ht="15.75" customHeight="1">
      <c r="A810" s="121"/>
      <c r="B810" s="121"/>
      <c r="C810" s="121"/>
      <c r="D810" s="121"/>
      <c r="E810" s="121"/>
      <c r="F810" s="121"/>
    </row>
    <row r="811" ht="15.75" customHeight="1">
      <c r="A811" s="121"/>
      <c r="B811" s="121"/>
      <c r="C811" s="121"/>
      <c r="D811" s="121"/>
      <c r="E811" s="121"/>
      <c r="F811" s="121"/>
    </row>
    <row r="812" ht="15.75" customHeight="1">
      <c r="A812" s="121"/>
      <c r="B812" s="121"/>
      <c r="C812" s="121"/>
      <c r="D812" s="121"/>
      <c r="E812" s="121"/>
      <c r="F812" s="121"/>
    </row>
    <row r="813" ht="15.75" customHeight="1">
      <c r="A813" s="121"/>
      <c r="B813" s="121"/>
      <c r="C813" s="121"/>
      <c r="D813" s="121"/>
      <c r="E813" s="121"/>
      <c r="F813" s="121"/>
    </row>
    <row r="814" ht="15.75" customHeight="1">
      <c r="A814" s="121"/>
      <c r="B814" s="121"/>
      <c r="C814" s="121"/>
      <c r="D814" s="121"/>
      <c r="E814" s="121"/>
      <c r="F814" s="121"/>
    </row>
    <row r="815" ht="15.75" customHeight="1">
      <c r="A815" s="121"/>
      <c r="B815" s="121"/>
      <c r="C815" s="121"/>
      <c r="D815" s="121"/>
      <c r="E815" s="121"/>
      <c r="F815" s="121"/>
    </row>
    <row r="816" ht="15.75" customHeight="1">
      <c r="A816" s="121"/>
      <c r="B816" s="121"/>
      <c r="C816" s="121"/>
      <c r="D816" s="121"/>
      <c r="E816" s="121"/>
      <c r="F816" s="121"/>
    </row>
    <row r="817" ht="15.75" customHeight="1">
      <c r="A817" s="121"/>
      <c r="B817" s="121"/>
      <c r="C817" s="121"/>
      <c r="D817" s="121"/>
      <c r="E817" s="121"/>
      <c r="F817" s="121"/>
    </row>
    <row r="818" ht="15.75" customHeight="1">
      <c r="A818" s="121"/>
      <c r="B818" s="121"/>
      <c r="C818" s="121"/>
      <c r="D818" s="121"/>
      <c r="E818" s="121"/>
      <c r="F818" s="121"/>
    </row>
    <row r="819" ht="15.75" customHeight="1">
      <c r="A819" s="121"/>
      <c r="B819" s="121"/>
      <c r="C819" s="121"/>
      <c r="D819" s="121"/>
      <c r="E819" s="121"/>
      <c r="F819" s="121"/>
    </row>
    <row r="820" ht="15.75" customHeight="1">
      <c r="A820" s="121"/>
      <c r="B820" s="121"/>
      <c r="C820" s="121"/>
      <c r="D820" s="121"/>
      <c r="E820" s="121"/>
      <c r="F820" s="121"/>
    </row>
    <row r="821" ht="15.75" customHeight="1">
      <c r="A821" s="121"/>
      <c r="B821" s="121"/>
      <c r="C821" s="121"/>
      <c r="D821" s="121"/>
      <c r="E821" s="121"/>
      <c r="F821" s="121"/>
    </row>
    <row r="822" ht="15.75" customHeight="1">
      <c r="A822" s="121"/>
      <c r="B822" s="121"/>
      <c r="C822" s="121"/>
      <c r="D822" s="121"/>
      <c r="E822" s="121"/>
      <c r="F822" s="121"/>
    </row>
    <row r="823" ht="15.75" customHeight="1">
      <c r="A823" s="121"/>
      <c r="B823" s="121"/>
      <c r="C823" s="121"/>
      <c r="D823" s="121"/>
      <c r="E823" s="121"/>
      <c r="F823" s="121"/>
    </row>
    <row r="824" ht="15.75" customHeight="1">
      <c r="A824" s="121"/>
      <c r="B824" s="121"/>
      <c r="C824" s="121"/>
      <c r="D824" s="121"/>
      <c r="E824" s="121"/>
      <c r="F824" s="121"/>
    </row>
    <row r="825" ht="15.75" customHeight="1">
      <c r="A825" s="121"/>
      <c r="B825" s="121"/>
      <c r="C825" s="121"/>
      <c r="D825" s="121"/>
      <c r="E825" s="121"/>
      <c r="F825" s="121"/>
    </row>
    <row r="826" ht="15.75" customHeight="1">
      <c r="A826" s="121"/>
      <c r="B826" s="121"/>
      <c r="C826" s="121"/>
      <c r="D826" s="121"/>
      <c r="E826" s="121"/>
      <c r="F826" s="121"/>
    </row>
    <row r="827" ht="15.75" customHeight="1">
      <c r="A827" s="121"/>
      <c r="B827" s="121"/>
      <c r="C827" s="121"/>
      <c r="D827" s="121"/>
      <c r="E827" s="121"/>
      <c r="F827" s="121"/>
    </row>
    <row r="828" ht="15.75" customHeight="1">
      <c r="A828" s="121"/>
      <c r="B828" s="121"/>
      <c r="C828" s="121"/>
      <c r="D828" s="121"/>
      <c r="E828" s="121"/>
      <c r="F828" s="121"/>
    </row>
    <row r="829" ht="15.75" customHeight="1">
      <c r="A829" s="121"/>
      <c r="B829" s="121"/>
      <c r="C829" s="121"/>
      <c r="D829" s="121"/>
      <c r="E829" s="121"/>
      <c r="F829" s="121"/>
    </row>
    <row r="830" ht="15.75" customHeight="1">
      <c r="A830" s="121"/>
      <c r="B830" s="121"/>
      <c r="C830" s="121"/>
      <c r="D830" s="121"/>
      <c r="E830" s="121"/>
      <c r="F830" s="121"/>
    </row>
    <row r="831" ht="15.75" customHeight="1">
      <c r="A831" s="121"/>
      <c r="B831" s="121"/>
      <c r="C831" s="121"/>
      <c r="D831" s="121"/>
      <c r="E831" s="121"/>
      <c r="F831" s="121"/>
    </row>
    <row r="832" ht="15.75" customHeight="1">
      <c r="A832" s="121"/>
      <c r="B832" s="121"/>
      <c r="C832" s="121"/>
      <c r="D832" s="121"/>
      <c r="E832" s="121"/>
      <c r="F832" s="121"/>
    </row>
    <row r="833" ht="15.75" customHeight="1">
      <c r="A833" s="121"/>
      <c r="B833" s="121"/>
      <c r="C833" s="121"/>
      <c r="D833" s="121"/>
      <c r="E833" s="121"/>
      <c r="F833" s="121"/>
    </row>
    <row r="834" ht="15.75" customHeight="1">
      <c r="A834" s="121"/>
      <c r="B834" s="121"/>
      <c r="C834" s="121"/>
      <c r="D834" s="121"/>
      <c r="E834" s="121"/>
      <c r="F834" s="121"/>
    </row>
    <row r="835" ht="15.75" customHeight="1">
      <c r="A835" s="121"/>
      <c r="B835" s="121"/>
      <c r="C835" s="121"/>
      <c r="D835" s="121"/>
      <c r="E835" s="121"/>
      <c r="F835" s="121"/>
    </row>
    <row r="836" ht="15.75" customHeight="1">
      <c r="A836" s="121"/>
      <c r="B836" s="121"/>
      <c r="C836" s="121"/>
      <c r="D836" s="121"/>
      <c r="E836" s="121"/>
      <c r="F836" s="121"/>
    </row>
    <row r="837" ht="15.75" customHeight="1">
      <c r="A837" s="121"/>
      <c r="B837" s="121"/>
      <c r="C837" s="121"/>
      <c r="D837" s="121"/>
      <c r="E837" s="121"/>
      <c r="F837" s="121"/>
    </row>
    <row r="838" ht="15.75" customHeight="1">
      <c r="A838" s="121"/>
      <c r="B838" s="121"/>
      <c r="C838" s="121"/>
      <c r="D838" s="121"/>
      <c r="E838" s="121"/>
      <c r="F838" s="121"/>
    </row>
    <row r="839" ht="15.75" customHeight="1">
      <c r="A839" s="121"/>
      <c r="B839" s="121"/>
      <c r="C839" s="121"/>
      <c r="D839" s="121"/>
      <c r="E839" s="121"/>
      <c r="F839" s="121"/>
    </row>
    <row r="840" ht="15.75" customHeight="1">
      <c r="A840" s="121"/>
      <c r="B840" s="121"/>
      <c r="C840" s="121"/>
      <c r="D840" s="121"/>
      <c r="E840" s="121"/>
      <c r="F840" s="121"/>
    </row>
    <row r="841" ht="15.75" customHeight="1">
      <c r="A841" s="121"/>
      <c r="B841" s="121"/>
      <c r="C841" s="121"/>
      <c r="D841" s="121"/>
      <c r="E841" s="121"/>
      <c r="F841" s="121"/>
    </row>
    <row r="842" ht="15.75" customHeight="1">
      <c r="A842" s="121"/>
      <c r="B842" s="121"/>
      <c r="C842" s="121"/>
      <c r="D842" s="121"/>
      <c r="E842" s="121"/>
      <c r="F842" s="121"/>
    </row>
    <row r="843" ht="15.75" customHeight="1">
      <c r="A843" s="121"/>
      <c r="B843" s="121"/>
      <c r="C843" s="121"/>
      <c r="D843" s="121"/>
      <c r="E843" s="121"/>
      <c r="F843" s="121"/>
    </row>
    <row r="844" ht="15.75" customHeight="1">
      <c r="A844" s="121"/>
      <c r="B844" s="121"/>
      <c r="C844" s="121"/>
      <c r="D844" s="121"/>
      <c r="E844" s="121"/>
      <c r="F844" s="121"/>
    </row>
    <row r="845" ht="15.75" customHeight="1">
      <c r="A845" s="121"/>
      <c r="B845" s="121"/>
      <c r="C845" s="121"/>
      <c r="D845" s="121"/>
      <c r="E845" s="121"/>
      <c r="F845" s="121"/>
    </row>
    <row r="846" ht="15.75" customHeight="1">
      <c r="A846" s="121"/>
      <c r="B846" s="121"/>
      <c r="C846" s="121"/>
      <c r="D846" s="121"/>
      <c r="E846" s="121"/>
      <c r="F846" s="121"/>
    </row>
    <row r="847" ht="15.75" customHeight="1">
      <c r="A847" s="121"/>
      <c r="B847" s="121"/>
      <c r="C847" s="121"/>
      <c r="D847" s="121"/>
      <c r="E847" s="121"/>
      <c r="F847" s="121"/>
    </row>
    <row r="848" ht="15.75" customHeight="1">
      <c r="A848" s="121"/>
      <c r="B848" s="121"/>
      <c r="C848" s="121"/>
      <c r="D848" s="121"/>
      <c r="E848" s="121"/>
      <c r="F848" s="121"/>
    </row>
    <row r="849" ht="15.75" customHeight="1">
      <c r="A849" s="121"/>
      <c r="B849" s="121"/>
      <c r="C849" s="121"/>
      <c r="D849" s="121"/>
      <c r="E849" s="121"/>
      <c r="F849" s="121"/>
    </row>
    <row r="850" ht="15.75" customHeight="1">
      <c r="A850" s="121"/>
      <c r="B850" s="121"/>
      <c r="C850" s="121"/>
      <c r="D850" s="121"/>
      <c r="E850" s="121"/>
      <c r="F850" s="121"/>
    </row>
    <row r="851" ht="15.75" customHeight="1">
      <c r="A851" s="121"/>
      <c r="B851" s="121"/>
      <c r="C851" s="121"/>
      <c r="D851" s="121"/>
      <c r="E851" s="121"/>
      <c r="F851" s="121"/>
    </row>
    <row r="852" ht="15.75" customHeight="1">
      <c r="A852" s="121"/>
      <c r="B852" s="121"/>
      <c r="C852" s="121"/>
      <c r="D852" s="121"/>
      <c r="E852" s="121"/>
      <c r="F852" s="121"/>
    </row>
    <row r="853" ht="15.75" customHeight="1">
      <c r="A853" s="121"/>
      <c r="B853" s="121"/>
      <c r="C853" s="121"/>
      <c r="D853" s="121"/>
      <c r="E853" s="121"/>
      <c r="F853" s="121"/>
    </row>
    <row r="854" ht="15.75" customHeight="1">
      <c r="A854" s="121"/>
      <c r="B854" s="121"/>
      <c r="C854" s="121"/>
      <c r="D854" s="121"/>
      <c r="E854" s="121"/>
      <c r="F854" s="121"/>
    </row>
    <row r="855" ht="15.75" customHeight="1">
      <c r="A855" s="121"/>
      <c r="B855" s="121"/>
      <c r="C855" s="121"/>
      <c r="D855" s="121"/>
      <c r="E855" s="121"/>
      <c r="F855" s="121"/>
    </row>
    <row r="856" ht="15.75" customHeight="1">
      <c r="A856" s="121"/>
      <c r="B856" s="121"/>
      <c r="C856" s="121"/>
      <c r="D856" s="121"/>
      <c r="E856" s="121"/>
      <c r="F856" s="121"/>
    </row>
    <row r="857" ht="15.75" customHeight="1">
      <c r="A857" s="121"/>
      <c r="B857" s="121"/>
      <c r="C857" s="121"/>
      <c r="D857" s="121"/>
      <c r="E857" s="121"/>
      <c r="F857" s="121"/>
    </row>
    <row r="858" ht="15.75" customHeight="1">
      <c r="A858" s="121"/>
      <c r="B858" s="121"/>
      <c r="C858" s="121"/>
      <c r="D858" s="121"/>
      <c r="E858" s="121"/>
      <c r="F858" s="121"/>
    </row>
    <row r="859" ht="15.75" customHeight="1">
      <c r="A859" s="121"/>
      <c r="B859" s="121"/>
      <c r="C859" s="121"/>
      <c r="D859" s="121"/>
      <c r="E859" s="121"/>
      <c r="F859" s="121"/>
    </row>
    <row r="860" ht="15.75" customHeight="1">
      <c r="A860" s="121"/>
      <c r="B860" s="121"/>
      <c r="C860" s="121"/>
      <c r="D860" s="121"/>
      <c r="E860" s="121"/>
      <c r="F860" s="121"/>
    </row>
    <row r="861" ht="15.75" customHeight="1">
      <c r="A861" s="121"/>
      <c r="B861" s="121"/>
      <c r="C861" s="121"/>
      <c r="D861" s="121"/>
      <c r="E861" s="121"/>
      <c r="F861" s="121"/>
    </row>
    <row r="862" ht="15.75" customHeight="1">
      <c r="A862" s="121"/>
      <c r="B862" s="121"/>
      <c r="C862" s="121"/>
      <c r="D862" s="121"/>
      <c r="E862" s="121"/>
      <c r="F862" s="121"/>
    </row>
    <row r="863" ht="15.75" customHeight="1">
      <c r="A863" s="121"/>
      <c r="B863" s="121"/>
      <c r="C863" s="121"/>
      <c r="D863" s="121"/>
      <c r="E863" s="121"/>
      <c r="F863" s="121"/>
    </row>
    <row r="864" ht="15.75" customHeight="1">
      <c r="A864" s="121"/>
      <c r="B864" s="121"/>
      <c r="C864" s="121"/>
      <c r="D864" s="121"/>
      <c r="E864" s="121"/>
      <c r="F864" s="121"/>
    </row>
    <row r="865" ht="15.75" customHeight="1">
      <c r="A865" s="121"/>
      <c r="B865" s="121"/>
      <c r="C865" s="121"/>
      <c r="D865" s="121"/>
      <c r="E865" s="121"/>
      <c r="F865" s="121"/>
    </row>
    <row r="866" ht="15.75" customHeight="1">
      <c r="A866" s="121"/>
      <c r="B866" s="121"/>
      <c r="C866" s="121"/>
      <c r="D866" s="121"/>
      <c r="E866" s="121"/>
      <c r="F866" s="121"/>
    </row>
    <row r="867" ht="15.75" customHeight="1">
      <c r="A867" s="121"/>
      <c r="B867" s="121"/>
      <c r="C867" s="121"/>
      <c r="D867" s="121"/>
      <c r="E867" s="121"/>
      <c r="F867" s="121"/>
    </row>
    <row r="868" ht="15.75" customHeight="1">
      <c r="A868" s="121"/>
      <c r="B868" s="121"/>
      <c r="C868" s="121"/>
      <c r="D868" s="121"/>
      <c r="E868" s="121"/>
      <c r="F868" s="121"/>
    </row>
    <row r="869" ht="15.75" customHeight="1">
      <c r="A869" s="121"/>
      <c r="B869" s="121"/>
      <c r="C869" s="121"/>
      <c r="D869" s="121"/>
      <c r="E869" s="121"/>
      <c r="F869" s="121"/>
    </row>
    <row r="870" ht="15.75" customHeight="1">
      <c r="A870" s="121"/>
      <c r="B870" s="121"/>
      <c r="C870" s="121"/>
      <c r="D870" s="121"/>
      <c r="E870" s="121"/>
      <c r="F870" s="121"/>
    </row>
    <row r="871" ht="15.75" customHeight="1">
      <c r="A871" s="121"/>
      <c r="B871" s="121"/>
      <c r="C871" s="121"/>
      <c r="D871" s="121"/>
      <c r="E871" s="121"/>
      <c r="F871" s="121"/>
    </row>
    <row r="872" ht="15.75" customHeight="1">
      <c r="A872" s="121"/>
      <c r="B872" s="121"/>
      <c r="C872" s="121"/>
      <c r="D872" s="121"/>
      <c r="E872" s="121"/>
      <c r="F872" s="121"/>
    </row>
    <row r="873" ht="15.75" customHeight="1">
      <c r="A873" s="121"/>
      <c r="B873" s="121"/>
      <c r="C873" s="121"/>
      <c r="D873" s="121"/>
      <c r="E873" s="121"/>
      <c r="F873" s="121"/>
    </row>
    <row r="874" ht="15.75" customHeight="1">
      <c r="A874" s="121"/>
      <c r="B874" s="121"/>
      <c r="C874" s="121"/>
      <c r="D874" s="121"/>
      <c r="E874" s="121"/>
      <c r="F874" s="121"/>
    </row>
    <row r="875" ht="15.75" customHeight="1">
      <c r="A875" s="121"/>
      <c r="B875" s="121"/>
      <c r="C875" s="121"/>
      <c r="D875" s="121"/>
      <c r="E875" s="121"/>
      <c r="F875" s="121"/>
    </row>
    <row r="876" ht="15.75" customHeight="1">
      <c r="A876" s="121"/>
      <c r="B876" s="121"/>
      <c r="C876" s="121"/>
      <c r="D876" s="121"/>
      <c r="E876" s="121"/>
      <c r="F876" s="121"/>
    </row>
    <row r="877" ht="15.75" customHeight="1">
      <c r="A877" s="121"/>
      <c r="B877" s="121"/>
      <c r="C877" s="121"/>
      <c r="D877" s="121"/>
      <c r="E877" s="121"/>
      <c r="F877" s="121"/>
    </row>
    <row r="878" ht="15.75" customHeight="1">
      <c r="A878" s="121"/>
      <c r="B878" s="121"/>
      <c r="C878" s="121"/>
      <c r="D878" s="121"/>
      <c r="E878" s="121"/>
      <c r="F878" s="121"/>
    </row>
    <row r="879" ht="15.75" customHeight="1">
      <c r="A879" s="121"/>
      <c r="B879" s="121"/>
      <c r="C879" s="121"/>
      <c r="D879" s="121"/>
      <c r="E879" s="121"/>
      <c r="F879" s="121"/>
    </row>
    <row r="880" ht="15.75" customHeight="1">
      <c r="A880" s="121"/>
      <c r="B880" s="121"/>
      <c r="C880" s="121"/>
      <c r="D880" s="121"/>
      <c r="E880" s="121"/>
      <c r="F880" s="121"/>
    </row>
    <row r="881" ht="15.75" customHeight="1">
      <c r="A881" s="121"/>
      <c r="B881" s="121"/>
      <c r="C881" s="121"/>
      <c r="D881" s="121"/>
      <c r="E881" s="121"/>
      <c r="F881" s="121"/>
    </row>
    <row r="882" ht="15.75" customHeight="1">
      <c r="A882" s="121"/>
      <c r="B882" s="121"/>
      <c r="C882" s="121"/>
      <c r="D882" s="121"/>
      <c r="E882" s="121"/>
      <c r="F882" s="121"/>
    </row>
    <row r="883" ht="15.75" customHeight="1">
      <c r="A883" s="121"/>
      <c r="B883" s="121"/>
      <c r="C883" s="121"/>
      <c r="D883" s="121"/>
      <c r="E883" s="121"/>
      <c r="F883" s="121"/>
    </row>
    <row r="884" ht="15.75" customHeight="1">
      <c r="A884" s="121"/>
      <c r="B884" s="121"/>
      <c r="C884" s="121"/>
      <c r="D884" s="121"/>
      <c r="E884" s="121"/>
      <c r="F884" s="121"/>
    </row>
    <row r="885" ht="15.75" customHeight="1">
      <c r="A885" s="121"/>
      <c r="B885" s="121"/>
      <c r="C885" s="121"/>
      <c r="D885" s="121"/>
      <c r="E885" s="121"/>
      <c r="F885" s="121"/>
    </row>
    <row r="886" ht="15.75" customHeight="1">
      <c r="A886" s="121"/>
      <c r="B886" s="121"/>
      <c r="C886" s="121"/>
      <c r="D886" s="121"/>
      <c r="E886" s="121"/>
      <c r="F886" s="121"/>
    </row>
    <row r="887" ht="15.75" customHeight="1">
      <c r="A887" s="121"/>
      <c r="B887" s="121"/>
      <c r="C887" s="121"/>
      <c r="D887" s="121"/>
      <c r="E887" s="121"/>
      <c r="F887" s="121"/>
    </row>
    <row r="888" ht="15.75" customHeight="1">
      <c r="A888" s="121"/>
      <c r="B888" s="121"/>
      <c r="C888" s="121"/>
      <c r="D888" s="121"/>
      <c r="E888" s="121"/>
      <c r="F888" s="121"/>
    </row>
    <row r="889" ht="15.75" customHeight="1">
      <c r="A889" s="121"/>
      <c r="B889" s="121"/>
      <c r="C889" s="121"/>
      <c r="D889" s="121"/>
      <c r="E889" s="121"/>
      <c r="F889" s="121"/>
    </row>
    <row r="890" ht="15.75" customHeight="1">
      <c r="A890" s="121"/>
      <c r="B890" s="121"/>
      <c r="C890" s="121"/>
      <c r="D890" s="121"/>
      <c r="E890" s="121"/>
      <c r="F890" s="121"/>
    </row>
    <row r="891" ht="15.75" customHeight="1">
      <c r="A891" s="121"/>
      <c r="B891" s="121"/>
      <c r="C891" s="121"/>
      <c r="D891" s="121"/>
      <c r="E891" s="121"/>
      <c r="F891" s="121"/>
    </row>
    <row r="892" ht="15.75" customHeight="1">
      <c r="A892" s="121"/>
      <c r="B892" s="121"/>
      <c r="C892" s="121"/>
      <c r="D892" s="121"/>
      <c r="E892" s="121"/>
      <c r="F892" s="121"/>
    </row>
    <row r="893" ht="15.75" customHeight="1">
      <c r="A893" s="121"/>
      <c r="B893" s="121"/>
      <c r="C893" s="121"/>
      <c r="D893" s="121"/>
      <c r="E893" s="121"/>
      <c r="F893" s="121"/>
    </row>
    <row r="894" ht="15.75" customHeight="1">
      <c r="A894" s="121"/>
      <c r="B894" s="121"/>
      <c r="C894" s="121"/>
      <c r="D894" s="121"/>
      <c r="E894" s="121"/>
      <c r="F894" s="121"/>
    </row>
    <row r="895" ht="15.75" customHeight="1">
      <c r="A895" s="121"/>
      <c r="B895" s="121"/>
      <c r="C895" s="121"/>
      <c r="D895" s="121"/>
      <c r="E895" s="121"/>
      <c r="F895" s="121"/>
    </row>
    <row r="896" ht="15.75" customHeight="1">
      <c r="A896" s="121"/>
      <c r="B896" s="121"/>
      <c r="C896" s="121"/>
      <c r="D896" s="121"/>
      <c r="E896" s="121"/>
      <c r="F896" s="121"/>
    </row>
    <row r="897" ht="15.75" customHeight="1">
      <c r="A897" s="121"/>
      <c r="B897" s="121"/>
      <c r="C897" s="121"/>
      <c r="D897" s="121"/>
      <c r="E897" s="121"/>
      <c r="F897" s="121"/>
    </row>
    <row r="898" ht="15.75" customHeight="1">
      <c r="A898" s="121"/>
      <c r="B898" s="121"/>
      <c r="C898" s="121"/>
      <c r="D898" s="121"/>
      <c r="E898" s="121"/>
      <c r="F898" s="121"/>
    </row>
    <row r="899" ht="15.75" customHeight="1">
      <c r="A899" s="121"/>
      <c r="B899" s="121"/>
      <c r="C899" s="121"/>
      <c r="D899" s="121"/>
      <c r="E899" s="121"/>
      <c r="F899" s="121"/>
    </row>
    <row r="900" ht="15.75" customHeight="1">
      <c r="A900" s="121"/>
      <c r="B900" s="121"/>
      <c r="C900" s="121"/>
      <c r="D900" s="121"/>
      <c r="E900" s="121"/>
      <c r="F900" s="121"/>
    </row>
    <row r="901" ht="15.75" customHeight="1">
      <c r="A901" s="121"/>
      <c r="B901" s="121"/>
      <c r="C901" s="121"/>
      <c r="D901" s="121"/>
      <c r="E901" s="121"/>
      <c r="F901" s="121"/>
    </row>
    <row r="902" ht="15.75" customHeight="1">
      <c r="A902" s="121"/>
      <c r="B902" s="121"/>
      <c r="C902" s="121"/>
      <c r="D902" s="121"/>
      <c r="E902" s="121"/>
      <c r="F902" s="121"/>
    </row>
    <row r="903" ht="15.75" customHeight="1">
      <c r="A903" s="121"/>
      <c r="B903" s="121"/>
      <c r="C903" s="121"/>
      <c r="D903" s="121"/>
      <c r="E903" s="121"/>
      <c r="F903" s="121"/>
    </row>
    <row r="904" ht="15.75" customHeight="1">
      <c r="A904" s="121"/>
      <c r="B904" s="121"/>
      <c r="C904" s="121"/>
      <c r="D904" s="121"/>
      <c r="E904" s="121"/>
      <c r="F904" s="121"/>
    </row>
    <row r="905" ht="15.75" customHeight="1">
      <c r="A905" s="121"/>
      <c r="B905" s="121"/>
      <c r="C905" s="121"/>
      <c r="D905" s="121"/>
      <c r="E905" s="121"/>
      <c r="F905" s="121"/>
    </row>
    <row r="906" ht="15.75" customHeight="1">
      <c r="A906" s="121"/>
      <c r="B906" s="121"/>
      <c r="C906" s="121"/>
      <c r="D906" s="121"/>
      <c r="E906" s="121"/>
      <c r="F906" s="121"/>
    </row>
    <row r="907" ht="15.75" customHeight="1">
      <c r="A907" s="121"/>
      <c r="B907" s="121"/>
      <c r="C907" s="121"/>
      <c r="D907" s="121"/>
      <c r="E907" s="121"/>
      <c r="F907" s="121"/>
    </row>
    <row r="908" ht="15.75" customHeight="1">
      <c r="A908" s="121"/>
      <c r="B908" s="121"/>
      <c r="C908" s="121"/>
      <c r="D908" s="121"/>
      <c r="E908" s="121"/>
      <c r="F908" s="121"/>
    </row>
    <row r="909" ht="15.75" customHeight="1">
      <c r="A909" s="121"/>
      <c r="B909" s="121"/>
      <c r="C909" s="121"/>
      <c r="D909" s="121"/>
      <c r="E909" s="121"/>
      <c r="F909" s="121"/>
    </row>
    <row r="910" ht="15.75" customHeight="1">
      <c r="A910" s="121"/>
      <c r="B910" s="121"/>
      <c r="C910" s="121"/>
      <c r="D910" s="121"/>
      <c r="E910" s="121"/>
      <c r="F910" s="121"/>
    </row>
    <row r="911" ht="15.75" customHeight="1">
      <c r="A911" s="121"/>
      <c r="B911" s="121"/>
      <c r="C911" s="121"/>
      <c r="D911" s="121"/>
      <c r="E911" s="121"/>
      <c r="F911" s="121"/>
    </row>
    <row r="912" ht="15.75" customHeight="1">
      <c r="A912" s="121"/>
      <c r="B912" s="121"/>
      <c r="C912" s="121"/>
      <c r="D912" s="121"/>
      <c r="E912" s="121"/>
      <c r="F912" s="121"/>
    </row>
    <row r="913" ht="15.75" customHeight="1">
      <c r="A913" s="121"/>
      <c r="B913" s="121"/>
      <c r="C913" s="121"/>
      <c r="D913" s="121"/>
      <c r="E913" s="121"/>
      <c r="F913" s="121"/>
    </row>
    <row r="914" ht="15.75" customHeight="1">
      <c r="A914" s="121"/>
      <c r="B914" s="121"/>
      <c r="C914" s="121"/>
      <c r="D914" s="121"/>
      <c r="E914" s="121"/>
      <c r="F914" s="121"/>
    </row>
    <row r="915" ht="15.75" customHeight="1">
      <c r="A915" s="121"/>
      <c r="B915" s="121"/>
      <c r="C915" s="121"/>
      <c r="D915" s="121"/>
      <c r="E915" s="121"/>
      <c r="F915" s="121"/>
    </row>
    <row r="916" ht="15.75" customHeight="1">
      <c r="A916" s="121"/>
      <c r="B916" s="121"/>
      <c r="C916" s="121"/>
      <c r="D916" s="121"/>
      <c r="E916" s="121"/>
      <c r="F916" s="121"/>
    </row>
    <row r="917" ht="15.75" customHeight="1">
      <c r="A917" s="121"/>
      <c r="B917" s="121"/>
      <c r="C917" s="121"/>
      <c r="D917" s="121"/>
      <c r="E917" s="121"/>
      <c r="F917" s="121"/>
    </row>
    <row r="918" ht="15.75" customHeight="1">
      <c r="A918" s="121"/>
      <c r="B918" s="121"/>
      <c r="C918" s="121"/>
      <c r="D918" s="121"/>
      <c r="E918" s="121"/>
      <c r="F918" s="121"/>
    </row>
    <row r="919" ht="15.75" customHeight="1">
      <c r="A919" s="121"/>
      <c r="B919" s="121"/>
      <c r="C919" s="121"/>
      <c r="D919" s="121"/>
      <c r="E919" s="121"/>
      <c r="F919" s="121"/>
    </row>
    <row r="920" ht="15.75" customHeight="1">
      <c r="A920" s="121"/>
      <c r="B920" s="121"/>
      <c r="C920" s="121"/>
      <c r="D920" s="121"/>
      <c r="E920" s="121"/>
      <c r="F920" s="121"/>
    </row>
    <row r="921" ht="15.75" customHeight="1">
      <c r="A921" s="121"/>
      <c r="B921" s="121"/>
      <c r="C921" s="121"/>
      <c r="D921" s="121"/>
      <c r="E921" s="121"/>
      <c r="F921" s="121"/>
    </row>
    <row r="922" ht="15.75" customHeight="1">
      <c r="A922" s="121"/>
      <c r="B922" s="121"/>
      <c r="C922" s="121"/>
      <c r="D922" s="121"/>
      <c r="E922" s="121"/>
      <c r="F922" s="121"/>
    </row>
    <row r="923" ht="15.75" customHeight="1">
      <c r="A923" s="121"/>
      <c r="B923" s="121"/>
      <c r="C923" s="121"/>
      <c r="D923" s="121"/>
      <c r="E923" s="121"/>
      <c r="F923" s="121"/>
    </row>
    <row r="924" ht="15.75" customHeight="1">
      <c r="A924" s="121"/>
      <c r="B924" s="121"/>
      <c r="C924" s="121"/>
      <c r="D924" s="121"/>
      <c r="E924" s="121"/>
      <c r="F924" s="121"/>
    </row>
    <row r="925" ht="15.75" customHeight="1">
      <c r="A925" s="121"/>
      <c r="B925" s="121"/>
      <c r="C925" s="121"/>
      <c r="D925" s="121"/>
      <c r="E925" s="121"/>
      <c r="F925" s="121"/>
    </row>
    <row r="926" ht="15.75" customHeight="1">
      <c r="A926" s="121"/>
      <c r="B926" s="121"/>
      <c r="C926" s="121"/>
      <c r="D926" s="121"/>
      <c r="E926" s="121"/>
      <c r="F926" s="121"/>
    </row>
    <row r="927" ht="15.75" customHeight="1">
      <c r="A927" s="121"/>
      <c r="B927" s="121"/>
      <c r="C927" s="121"/>
      <c r="D927" s="121"/>
      <c r="E927" s="121"/>
      <c r="F927" s="121"/>
    </row>
    <row r="928" ht="15.75" customHeight="1">
      <c r="A928" s="121"/>
      <c r="B928" s="121"/>
      <c r="C928" s="121"/>
      <c r="D928" s="121"/>
      <c r="E928" s="121"/>
      <c r="F928" s="121"/>
    </row>
    <row r="929" ht="15.75" customHeight="1">
      <c r="A929" s="121"/>
      <c r="B929" s="121"/>
      <c r="C929" s="121"/>
      <c r="D929" s="121"/>
      <c r="E929" s="121"/>
      <c r="F929" s="121"/>
    </row>
    <row r="930" ht="15.75" customHeight="1">
      <c r="A930" s="121"/>
      <c r="B930" s="121"/>
      <c r="C930" s="121"/>
      <c r="D930" s="121"/>
      <c r="E930" s="121"/>
      <c r="F930" s="121"/>
    </row>
    <row r="931" ht="15.75" customHeight="1">
      <c r="A931" s="121"/>
      <c r="B931" s="121"/>
      <c r="C931" s="121"/>
      <c r="D931" s="121"/>
      <c r="E931" s="121"/>
      <c r="F931" s="121"/>
    </row>
    <row r="932" ht="15.75" customHeight="1">
      <c r="A932" s="121"/>
      <c r="B932" s="121"/>
      <c r="C932" s="121"/>
      <c r="D932" s="121"/>
      <c r="E932" s="121"/>
      <c r="F932" s="121"/>
    </row>
    <row r="933" ht="15.75" customHeight="1">
      <c r="A933" s="121"/>
      <c r="B933" s="121"/>
      <c r="C933" s="121"/>
      <c r="D933" s="121"/>
      <c r="E933" s="121"/>
      <c r="F933" s="121"/>
    </row>
    <row r="934" ht="15.75" customHeight="1">
      <c r="A934" s="121"/>
      <c r="B934" s="121"/>
      <c r="C934" s="121"/>
      <c r="D934" s="121"/>
      <c r="E934" s="121"/>
      <c r="F934" s="121"/>
    </row>
    <row r="935" ht="15.75" customHeight="1">
      <c r="A935" s="121"/>
      <c r="B935" s="121"/>
      <c r="C935" s="121"/>
      <c r="D935" s="121"/>
      <c r="E935" s="121"/>
      <c r="F935" s="121"/>
    </row>
    <row r="936" ht="15.75" customHeight="1">
      <c r="A936" s="121"/>
      <c r="B936" s="121"/>
      <c r="C936" s="121"/>
      <c r="D936" s="121"/>
      <c r="E936" s="121"/>
      <c r="F936" s="121"/>
    </row>
    <row r="937" ht="15.75" customHeight="1">
      <c r="A937" s="121"/>
      <c r="B937" s="121"/>
      <c r="C937" s="121"/>
      <c r="D937" s="121"/>
      <c r="E937" s="121"/>
      <c r="F937" s="121"/>
    </row>
    <row r="938" ht="15.75" customHeight="1">
      <c r="A938" s="121"/>
      <c r="B938" s="121"/>
      <c r="C938" s="121"/>
      <c r="D938" s="121"/>
      <c r="E938" s="121"/>
      <c r="F938" s="121"/>
    </row>
    <row r="939" ht="15.75" customHeight="1">
      <c r="A939" s="121"/>
      <c r="B939" s="121"/>
      <c r="C939" s="121"/>
      <c r="D939" s="121"/>
      <c r="E939" s="121"/>
      <c r="F939" s="121"/>
    </row>
    <row r="940" ht="15.75" customHeight="1">
      <c r="A940" s="121"/>
      <c r="B940" s="121"/>
      <c r="C940" s="121"/>
      <c r="D940" s="121"/>
      <c r="E940" s="121"/>
      <c r="F940" s="121"/>
    </row>
    <row r="941" ht="15.75" customHeight="1">
      <c r="A941" s="121"/>
      <c r="B941" s="121"/>
      <c r="C941" s="121"/>
      <c r="D941" s="121"/>
      <c r="E941" s="121"/>
      <c r="F941" s="121"/>
    </row>
    <row r="942" ht="15.75" customHeight="1">
      <c r="A942" s="121"/>
      <c r="B942" s="121"/>
      <c r="C942" s="121"/>
      <c r="D942" s="121"/>
      <c r="E942" s="121"/>
      <c r="F942" s="121"/>
    </row>
    <row r="943" ht="15.75" customHeight="1">
      <c r="A943" s="121"/>
      <c r="B943" s="121"/>
      <c r="C943" s="121"/>
      <c r="D943" s="121"/>
      <c r="E943" s="121"/>
      <c r="F943" s="121"/>
    </row>
    <row r="944" ht="15.75" customHeight="1">
      <c r="A944" s="121"/>
      <c r="B944" s="121"/>
      <c r="C944" s="121"/>
      <c r="D944" s="121"/>
      <c r="E944" s="121"/>
      <c r="F944" s="121"/>
    </row>
    <row r="945" ht="15.75" customHeight="1">
      <c r="A945" s="121"/>
      <c r="B945" s="121"/>
      <c r="C945" s="121"/>
      <c r="D945" s="121"/>
      <c r="E945" s="121"/>
      <c r="F945" s="121"/>
    </row>
    <row r="946" ht="15.75" customHeight="1">
      <c r="A946" s="121"/>
      <c r="B946" s="121"/>
      <c r="C946" s="121"/>
      <c r="D946" s="121"/>
      <c r="E946" s="121"/>
      <c r="F946" s="121"/>
    </row>
    <row r="947" ht="15.75" customHeight="1">
      <c r="A947" s="121"/>
      <c r="B947" s="121"/>
      <c r="C947" s="121"/>
      <c r="D947" s="121"/>
      <c r="E947" s="121"/>
      <c r="F947" s="121"/>
    </row>
    <row r="948" ht="15.75" customHeight="1">
      <c r="A948" s="121"/>
      <c r="B948" s="121"/>
      <c r="C948" s="121"/>
      <c r="D948" s="121"/>
      <c r="E948" s="121"/>
      <c r="F948" s="121"/>
    </row>
    <row r="949" ht="15.75" customHeight="1">
      <c r="A949" s="121"/>
      <c r="B949" s="121"/>
      <c r="C949" s="121"/>
      <c r="D949" s="121"/>
      <c r="E949" s="121"/>
      <c r="F949" s="121"/>
    </row>
    <row r="950" ht="15.75" customHeight="1">
      <c r="A950" s="121"/>
      <c r="B950" s="121"/>
      <c r="C950" s="121"/>
      <c r="D950" s="121"/>
      <c r="E950" s="121"/>
      <c r="F950" s="121"/>
    </row>
    <row r="951" ht="15.75" customHeight="1">
      <c r="A951" s="121"/>
      <c r="B951" s="121"/>
      <c r="C951" s="121"/>
      <c r="D951" s="121"/>
      <c r="E951" s="121"/>
      <c r="F951" s="121"/>
    </row>
    <row r="952" ht="15.75" customHeight="1">
      <c r="A952" s="121"/>
      <c r="B952" s="121"/>
      <c r="C952" s="121"/>
      <c r="D952" s="121"/>
      <c r="E952" s="121"/>
      <c r="F952" s="121"/>
    </row>
    <row r="953" ht="15.75" customHeight="1">
      <c r="A953" s="121"/>
      <c r="B953" s="121"/>
      <c r="C953" s="121"/>
      <c r="D953" s="121"/>
      <c r="E953" s="121"/>
      <c r="F953" s="121"/>
    </row>
    <row r="954" ht="15.75" customHeight="1">
      <c r="A954" s="121"/>
      <c r="B954" s="121"/>
      <c r="C954" s="121"/>
      <c r="D954" s="121"/>
      <c r="E954" s="121"/>
      <c r="F954" s="121"/>
    </row>
    <row r="955" ht="15.75" customHeight="1">
      <c r="A955" s="121"/>
      <c r="B955" s="121"/>
      <c r="C955" s="121"/>
      <c r="D955" s="121"/>
      <c r="E955" s="121"/>
      <c r="F955" s="121"/>
    </row>
    <row r="956" ht="15.75" customHeight="1">
      <c r="A956" s="121"/>
      <c r="B956" s="121"/>
      <c r="C956" s="121"/>
      <c r="D956" s="121"/>
      <c r="E956" s="121"/>
      <c r="F956" s="121"/>
    </row>
    <row r="957" ht="15.75" customHeight="1">
      <c r="A957" s="121"/>
      <c r="B957" s="121"/>
      <c r="C957" s="121"/>
      <c r="D957" s="121"/>
      <c r="E957" s="121"/>
      <c r="F957" s="121"/>
    </row>
    <row r="958" ht="15.75" customHeight="1">
      <c r="A958" s="121"/>
      <c r="B958" s="121"/>
      <c r="C958" s="121"/>
      <c r="D958" s="121"/>
      <c r="E958" s="121"/>
      <c r="F958" s="121"/>
    </row>
    <row r="959" ht="15.75" customHeight="1">
      <c r="A959" s="121"/>
      <c r="B959" s="121"/>
      <c r="C959" s="121"/>
      <c r="D959" s="121"/>
      <c r="E959" s="121"/>
      <c r="F959" s="121"/>
    </row>
    <row r="960" ht="15.75" customHeight="1">
      <c r="A960" s="121"/>
      <c r="B960" s="121"/>
      <c r="C960" s="121"/>
      <c r="D960" s="121"/>
      <c r="E960" s="121"/>
      <c r="F960" s="121"/>
    </row>
    <row r="961" ht="15.75" customHeight="1">
      <c r="A961" s="121"/>
      <c r="B961" s="121"/>
      <c r="C961" s="121"/>
      <c r="D961" s="121"/>
      <c r="E961" s="121"/>
      <c r="F961" s="121"/>
    </row>
    <row r="962" ht="15.75" customHeight="1">
      <c r="A962" s="121"/>
      <c r="B962" s="121"/>
      <c r="C962" s="121"/>
      <c r="D962" s="121"/>
      <c r="E962" s="121"/>
      <c r="F962" s="121"/>
    </row>
    <row r="963" ht="15.75" customHeight="1">
      <c r="A963" s="121"/>
      <c r="B963" s="121"/>
      <c r="C963" s="121"/>
      <c r="D963" s="121"/>
      <c r="E963" s="121"/>
      <c r="F963" s="121"/>
    </row>
    <row r="964" ht="15.75" customHeight="1">
      <c r="A964" s="121"/>
      <c r="B964" s="121"/>
      <c r="C964" s="121"/>
      <c r="D964" s="121"/>
      <c r="E964" s="121"/>
      <c r="F964" s="121"/>
    </row>
    <row r="965" ht="15.75" customHeight="1">
      <c r="A965" s="121"/>
      <c r="B965" s="121"/>
      <c r="C965" s="121"/>
      <c r="D965" s="121"/>
      <c r="E965" s="121"/>
      <c r="F965" s="121"/>
    </row>
    <row r="966" ht="15.75" customHeight="1">
      <c r="A966" s="121"/>
      <c r="B966" s="121"/>
      <c r="C966" s="121"/>
      <c r="D966" s="121"/>
      <c r="E966" s="121"/>
      <c r="F966" s="121"/>
    </row>
    <row r="967" ht="15.75" customHeight="1">
      <c r="A967" s="121"/>
      <c r="B967" s="121"/>
      <c r="C967" s="121"/>
      <c r="D967" s="121"/>
      <c r="E967" s="121"/>
      <c r="F967" s="121"/>
    </row>
    <row r="968" ht="15.75" customHeight="1">
      <c r="A968" s="121"/>
      <c r="B968" s="121"/>
      <c r="C968" s="121"/>
      <c r="D968" s="121"/>
      <c r="E968" s="121"/>
      <c r="F968" s="121"/>
    </row>
    <row r="969" ht="15.75" customHeight="1">
      <c r="A969" s="121"/>
      <c r="B969" s="121"/>
      <c r="C969" s="121"/>
      <c r="D969" s="121"/>
      <c r="E969" s="121"/>
      <c r="F969" s="121"/>
    </row>
    <row r="970" ht="15.75" customHeight="1">
      <c r="A970" s="121"/>
      <c r="B970" s="121"/>
      <c r="C970" s="121"/>
      <c r="D970" s="121"/>
      <c r="E970" s="121"/>
      <c r="F970" s="121"/>
    </row>
    <row r="971" ht="15.75" customHeight="1">
      <c r="A971" s="121"/>
      <c r="B971" s="121"/>
      <c r="C971" s="121"/>
      <c r="D971" s="121"/>
      <c r="E971" s="121"/>
      <c r="F971" s="121"/>
    </row>
    <row r="972" ht="15.75" customHeight="1">
      <c r="A972" s="121"/>
      <c r="B972" s="121"/>
      <c r="C972" s="121"/>
      <c r="D972" s="121"/>
      <c r="E972" s="121"/>
      <c r="F972" s="121"/>
    </row>
    <row r="973" ht="15.75" customHeight="1">
      <c r="A973" s="121"/>
      <c r="B973" s="121"/>
      <c r="C973" s="121"/>
      <c r="D973" s="121"/>
      <c r="E973" s="121"/>
      <c r="F973" s="121"/>
    </row>
    <row r="974" ht="15.75" customHeight="1">
      <c r="A974" s="121"/>
      <c r="B974" s="121"/>
      <c r="C974" s="121"/>
      <c r="D974" s="121"/>
      <c r="E974" s="121"/>
      <c r="F974" s="121"/>
    </row>
    <row r="975" ht="15.75" customHeight="1">
      <c r="A975" s="121"/>
      <c r="B975" s="121"/>
      <c r="C975" s="121"/>
      <c r="D975" s="121"/>
      <c r="E975" s="121"/>
      <c r="F975" s="121"/>
    </row>
    <row r="976" ht="15.75" customHeight="1">
      <c r="A976" s="121"/>
      <c r="B976" s="121"/>
      <c r="C976" s="121"/>
      <c r="D976" s="121"/>
      <c r="E976" s="121"/>
      <c r="F976" s="121"/>
    </row>
    <row r="977" ht="15.75" customHeight="1">
      <c r="A977" s="121"/>
      <c r="B977" s="121"/>
      <c r="C977" s="121"/>
      <c r="D977" s="121"/>
      <c r="E977" s="121"/>
      <c r="F977" s="121"/>
    </row>
    <row r="978" ht="15.75" customHeight="1">
      <c r="A978" s="121"/>
      <c r="B978" s="121"/>
      <c r="C978" s="121"/>
      <c r="D978" s="121"/>
      <c r="E978" s="121"/>
      <c r="F978" s="121"/>
    </row>
    <row r="979" ht="15.75" customHeight="1">
      <c r="A979" s="121"/>
      <c r="B979" s="121"/>
      <c r="C979" s="121"/>
      <c r="D979" s="121"/>
      <c r="E979" s="121"/>
      <c r="F979" s="121"/>
    </row>
    <row r="980" ht="15.75" customHeight="1">
      <c r="A980" s="121"/>
      <c r="B980" s="121"/>
      <c r="C980" s="121"/>
      <c r="D980" s="121"/>
      <c r="E980" s="121"/>
      <c r="F980" s="121"/>
    </row>
    <row r="981" ht="15.75" customHeight="1">
      <c r="A981" s="121"/>
      <c r="B981" s="121"/>
      <c r="C981" s="121"/>
      <c r="D981" s="121"/>
      <c r="E981" s="121"/>
      <c r="F981" s="121"/>
    </row>
    <row r="982" ht="15.75" customHeight="1">
      <c r="A982" s="121"/>
      <c r="B982" s="121"/>
      <c r="C982" s="121"/>
      <c r="D982" s="121"/>
      <c r="E982" s="121"/>
      <c r="F982" s="121"/>
    </row>
    <row r="983" ht="15.75" customHeight="1">
      <c r="A983" s="121"/>
      <c r="B983" s="121"/>
      <c r="C983" s="121"/>
      <c r="D983" s="121"/>
      <c r="E983" s="121"/>
      <c r="F983" s="121"/>
    </row>
    <row r="984" ht="15.75" customHeight="1">
      <c r="A984" s="121"/>
      <c r="B984" s="121"/>
      <c r="C984" s="121"/>
      <c r="D984" s="121"/>
      <c r="E984" s="121"/>
      <c r="F984" s="121"/>
    </row>
    <row r="985" ht="15.75" customHeight="1">
      <c r="A985" s="121"/>
      <c r="B985" s="121"/>
      <c r="C985" s="121"/>
      <c r="D985" s="121"/>
      <c r="E985" s="121"/>
      <c r="F985" s="121"/>
    </row>
    <row r="986" ht="15.75" customHeight="1">
      <c r="A986" s="121"/>
      <c r="B986" s="121"/>
      <c r="C986" s="121"/>
      <c r="D986" s="121"/>
      <c r="E986" s="121"/>
      <c r="F986" s="121"/>
    </row>
    <row r="987" ht="15.75" customHeight="1">
      <c r="A987" s="121"/>
      <c r="B987" s="121"/>
      <c r="C987" s="121"/>
      <c r="D987" s="121"/>
      <c r="E987" s="121"/>
      <c r="F987" s="121"/>
    </row>
    <row r="988" ht="15.75" customHeight="1">
      <c r="A988" s="121"/>
      <c r="B988" s="121"/>
      <c r="C988" s="121"/>
      <c r="D988" s="121"/>
      <c r="E988" s="121"/>
      <c r="F988" s="121"/>
    </row>
    <row r="989" ht="15.75" customHeight="1">
      <c r="A989" s="121"/>
      <c r="B989" s="121"/>
      <c r="C989" s="121"/>
      <c r="D989" s="121"/>
      <c r="E989" s="121"/>
      <c r="F989" s="121"/>
    </row>
    <row r="990" ht="15.75" customHeight="1">
      <c r="A990" s="121"/>
      <c r="B990" s="121"/>
      <c r="C990" s="121"/>
      <c r="D990" s="121"/>
      <c r="E990" s="121"/>
      <c r="F990" s="121"/>
    </row>
    <row r="991" ht="15.75" customHeight="1">
      <c r="A991" s="121"/>
      <c r="B991" s="121"/>
      <c r="C991" s="121"/>
      <c r="D991" s="121"/>
      <c r="E991" s="121"/>
      <c r="F991" s="121"/>
    </row>
    <row r="992" ht="15.75" customHeight="1">
      <c r="A992" s="121"/>
      <c r="B992" s="121"/>
      <c r="C992" s="121"/>
      <c r="D992" s="121"/>
      <c r="E992" s="121"/>
      <c r="F992" s="121"/>
    </row>
    <row r="993" ht="15.75" customHeight="1">
      <c r="A993" s="121"/>
      <c r="B993" s="121"/>
      <c r="C993" s="121"/>
      <c r="D993" s="121"/>
      <c r="E993" s="121"/>
      <c r="F993" s="121"/>
    </row>
    <row r="994" ht="15.75" customHeight="1">
      <c r="A994" s="121"/>
      <c r="B994" s="121"/>
      <c r="C994" s="121"/>
      <c r="D994" s="121"/>
      <c r="E994" s="121"/>
      <c r="F994" s="121"/>
    </row>
    <row r="995" ht="15.75" customHeight="1">
      <c r="A995" s="121"/>
      <c r="B995" s="121"/>
      <c r="C995" s="121"/>
      <c r="D995" s="121"/>
      <c r="E995" s="121"/>
      <c r="F995" s="121"/>
    </row>
    <row r="996" ht="15.75" customHeight="1">
      <c r="A996" s="121"/>
      <c r="B996" s="121"/>
      <c r="C996" s="121"/>
      <c r="D996" s="121"/>
      <c r="E996" s="121"/>
      <c r="F996" s="121"/>
    </row>
    <row r="997" ht="15.75" customHeight="1">
      <c r="A997" s="121"/>
      <c r="B997" s="121"/>
      <c r="C997" s="121"/>
      <c r="D997" s="121"/>
      <c r="E997" s="121"/>
      <c r="F997" s="121"/>
    </row>
    <row r="998" ht="15.75" customHeight="1">
      <c r="A998" s="121"/>
      <c r="B998" s="121"/>
      <c r="C998" s="121"/>
      <c r="D998" s="121"/>
      <c r="E998" s="121"/>
      <c r="F998" s="121"/>
    </row>
    <row r="999" ht="15.75" customHeight="1">
      <c r="A999" s="121"/>
      <c r="B999" s="121"/>
      <c r="C999" s="121"/>
      <c r="D999" s="121"/>
      <c r="E999" s="121"/>
      <c r="F999" s="121"/>
    </row>
    <row r="1000" ht="15.75" customHeight="1">
      <c r="A1000" s="121"/>
      <c r="B1000" s="121"/>
      <c r="C1000" s="121"/>
      <c r="D1000" s="121"/>
      <c r="E1000" s="121"/>
      <c r="F1000" s="121"/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86"/>
    <col customWidth="1" min="2" max="2" width="18.71"/>
    <col customWidth="1" min="3" max="3" width="33.0"/>
    <col customWidth="1" min="4" max="4" width="51.57"/>
    <col customWidth="1" min="5" max="5" width="45.86"/>
    <col customWidth="1" min="6" max="6" width="14.43"/>
  </cols>
  <sheetData>
    <row r="1" ht="17.25" customHeight="1">
      <c r="A1" s="120" t="s">
        <v>1249</v>
      </c>
      <c r="B1" s="121"/>
      <c r="C1" s="121"/>
      <c r="D1" s="121"/>
      <c r="E1" s="121"/>
    </row>
    <row r="2" ht="15.0" customHeight="1">
      <c r="A2" s="147" t="s">
        <v>1250</v>
      </c>
      <c r="B2" s="121"/>
      <c r="C2" s="121"/>
      <c r="D2" s="121"/>
      <c r="E2" s="121"/>
    </row>
    <row r="3" ht="15.0" customHeight="1">
      <c r="A3" s="121"/>
      <c r="B3" s="121"/>
      <c r="C3" s="121"/>
      <c r="D3" s="121"/>
      <c r="E3" s="121"/>
    </row>
    <row r="4" ht="15.0" customHeight="1">
      <c r="A4" s="141" t="s">
        <v>1203</v>
      </c>
      <c r="B4" s="141" t="s">
        <v>579</v>
      </c>
      <c r="C4" s="141" t="s">
        <v>1251</v>
      </c>
      <c r="D4" s="141" t="s">
        <v>1205</v>
      </c>
      <c r="E4" s="141" t="s">
        <v>1206</v>
      </c>
    </row>
    <row r="5" ht="15.0" customHeight="1">
      <c r="A5" s="121"/>
      <c r="B5" s="121"/>
      <c r="C5" s="121"/>
      <c r="D5" s="121"/>
      <c r="E5" s="121"/>
    </row>
    <row r="6" ht="15.0" customHeight="1">
      <c r="A6" s="121"/>
      <c r="B6" s="121"/>
      <c r="C6" s="121"/>
      <c r="D6" s="121"/>
      <c r="E6" s="121"/>
    </row>
    <row r="7" ht="15.0" customHeight="1">
      <c r="A7" s="121"/>
      <c r="B7" s="121"/>
      <c r="C7" s="121"/>
      <c r="D7" s="121"/>
      <c r="E7" s="121"/>
    </row>
    <row r="8" ht="15.0" customHeight="1">
      <c r="A8" s="121"/>
      <c r="B8" s="121"/>
      <c r="C8" s="121"/>
      <c r="D8" s="121"/>
      <c r="E8" s="121"/>
    </row>
    <row r="9" ht="15.0" customHeight="1">
      <c r="A9" s="121"/>
      <c r="B9" s="121"/>
      <c r="C9" s="121"/>
      <c r="D9" s="121"/>
      <c r="E9" s="121"/>
    </row>
    <row r="10" ht="15.0" customHeight="1">
      <c r="A10" s="121"/>
      <c r="B10" s="121"/>
      <c r="C10" s="121"/>
      <c r="D10" s="121"/>
      <c r="E10" s="121"/>
    </row>
    <row r="11" ht="15.0" customHeight="1">
      <c r="A11" s="121"/>
      <c r="B11" s="121"/>
      <c r="C11" s="121"/>
      <c r="D11" s="121"/>
      <c r="E11" s="121"/>
    </row>
    <row r="12" ht="15.0" customHeight="1">
      <c r="A12" s="121"/>
      <c r="B12" s="121"/>
      <c r="C12" s="121"/>
      <c r="D12" s="121"/>
      <c r="E12" s="121"/>
    </row>
    <row r="13" ht="15.0" customHeight="1">
      <c r="A13" s="121"/>
      <c r="B13" s="121"/>
      <c r="C13" s="121"/>
      <c r="D13" s="121"/>
      <c r="E13" s="121"/>
    </row>
    <row r="14" ht="15.0" customHeight="1">
      <c r="A14" s="121"/>
      <c r="B14" s="121"/>
      <c r="C14" s="121"/>
      <c r="D14" s="121"/>
      <c r="E14" s="121"/>
    </row>
    <row r="15" ht="15.0" customHeight="1">
      <c r="A15" s="121"/>
      <c r="B15" s="121"/>
      <c r="C15" s="121"/>
      <c r="D15" s="121"/>
      <c r="E15" s="121"/>
    </row>
    <row r="16" ht="15.0" customHeight="1">
      <c r="A16" s="121"/>
      <c r="B16" s="121"/>
      <c r="C16" s="121"/>
      <c r="D16" s="121"/>
      <c r="E16" s="121"/>
    </row>
    <row r="17" ht="15.0" customHeight="1">
      <c r="A17" s="121"/>
      <c r="B17" s="121"/>
      <c r="C17" s="121"/>
      <c r="D17" s="121"/>
      <c r="E17" s="121"/>
    </row>
    <row r="18" ht="15.0" customHeight="1">
      <c r="A18" s="121"/>
      <c r="B18" s="121"/>
      <c r="C18" s="121"/>
      <c r="D18" s="121"/>
      <c r="E18" s="121"/>
    </row>
    <row r="19" ht="15.0" customHeight="1">
      <c r="A19" s="121"/>
      <c r="B19" s="121"/>
      <c r="C19" s="121"/>
      <c r="D19" s="121"/>
      <c r="E19" s="121"/>
    </row>
    <row r="20" ht="15.0" customHeight="1">
      <c r="A20" s="121"/>
      <c r="B20" s="121"/>
      <c r="C20" s="121"/>
      <c r="D20" s="121"/>
      <c r="E20" s="121"/>
    </row>
    <row r="21" ht="15.0" customHeight="1">
      <c r="A21" s="121"/>
      <c r="B21" s="121"/>
      <c r="C21" s="121"/>
      <c r="D21" s="121"/>
      <c r="E21" s="121"/>
    </row>
    <row r="22" ht="15.0" customHeight="1">
      <c r="A22" s="121"/>
      <c r="B22" s="121"/>
      <c r="C22" s="121"/>
      <c r="D22" s="121"/>
      <c r="E22" s="121"/>
    </row>
    <row r="23" ht="15.0" customHeight="1">
      <c r="A23" s="121"/>
      <c r="B23" s="121"/>
      <c r="C23" s="121"/>
      <c r="D23" s="121"/>
      <c r="E23" s="121"/>
    </row>
    <row r="24" ht="15.0" customHeight="1">
      <c r="A24" s="121"/>
      <c r="B24" s="121"/>
      <c r="C24" s="121"/>
      <c r="D24" s="121"/>
      <c r="E24" s="121"/>
    </row>
    <row r="25" ht="15.0" customHeight="1">
      <c r="A25" s="121"/>
      <c r="B25" s="121"/>
      <c r="C25" s="121"/>
      <c r="D25" s="121"/>
      <c r="E25" s="121"/>
    </row>
    <row r="26" ht="15.0" customHeight="1">
      <c r="A26" s="121"/>
      <c r="B26" s="121"/>
      <c r="C26" s="121"/>
      <c r="D26" s="121"/>
      <c r="E26" s="121"/>
    </row>
    <row r="27" ht="15.0" customHeight="1">
      <c r="A27" s="121"/>
      <c r="B27" s="121"/>
      <c r="C27" s="121"/>
      <c r="D27" s="121"/>
      <c r="E27" s="121"/>
    </row>
    <row r="28" ht="15.0" customHeight="1">
      <c r="A28" s="121"/>
      <c r="B28" s="121"/>
      <c r="C28" s="121"/>
      <c r="D28" s="121"/>
      <c r="E28" s="121"/>
    </row>
    <row r="29" ht="15.0" customHeight="1">
      <c r="A29" s="121"/>
      <c r="B29" s="121"/>
      <c r="C29" s="121"/>
      <c r="D29" s="121"/>
      <c r="E29" s="121"/>
    </row>
    <row r="30" ht="15.0" customHeight="1">
      <c r="A30" s="121"/>
      <c r="B30" s="121"/>
      <c r="C30" s="121"/>
      <c r="D30" s="121"/>
      <c r="E30" s="121"/>
    </row>
    <row r="31" ht="15.0" customHeight="1">
      <c r="A31" s="121"/>
      <c r="B31" s="121"/>
      <c r="C31" s="121"/>
      <c r="D31" s="121"/>
      <c r="E31" s="121"/>
    </row>
    <row r="32" ht="15.0" customHeight="1">
      <c r="A32" s="121"/>
      <c r="B32" s="121"/>
      <c r="C32" s="121"/>
      <c r="D32" s="121"/>
      <c r="E32" s="121"/>
    </row>
    <row r="33" ht="15.0" customHeight="1">
      <c r="A33" s="121"/>
      <c r="B33" s="121"/>
      <c r="C33" s="121"/>
      <c r="D33" s="121"/>
      <c r="E33" s="121"/>
    </row>
    <row r="34" ht="15.0" customHeight="1">
      <c r="A34" s="121"/>
      <c r="B34" s="121"/>
      <c r="C34" s="121"/>
      <c r="D34" s="121"/>
      <c r="E34" s="121"/>
    </row>
    <row r="35" ht="15.75" customHeight="1">
      <c r="A35" s="121"/>
      <c r="B35" s="121"/>
      <c r="C35" s="121"/>
      <c r="D35" s="121"/>
      <c r="E35" s="121"/>
    </row>
    <row r="36" ht="15.75" customHeight="1">
      <c r="A36" s="121"/>
      <c r="B36" s="121"/>
      <c r="C36" s="121"/>
      <c r="D36" s="121"/>
      <c r="E36" s="121"/>
    </row>
    <row r="37" ht="15.75" customHeight="1">
      <c r="A37" s="121"/>
      <c r="B37" s="121"/>
      <c r="C37" s="121"/>
      <c r="D37" s="121"/>
      <c r="E37" s="121"/>
    </row>
    <row r="38" ht="15.75" customHeight="1">
      <c r="A38" s="121"/>
      <c r="B38" s="121"/>
      <c r="C38" s="121"/>
      <c r="D38" s="121"/>
      <c r="E38" s="121"/>
    </row>
    <row r="39" ht="15.75" customHeight="1">
      <c r="A39" s="121"/>
      <c r="B39" s="121"/>
      <c r="C39" s="121"/>
      <c r="D39" s="121"/>
      <c r="E39" s="121"/>
    </row>
    <row r="40" ht="15.75" customHeight="1">
      <c r="A40" s="121"/>
      <c r="B40" s="121"/>
      <c r="C40" s="121"/>
      <c r="D40" s="121"/>
      <c r="E40" s="121"/>
    </row>
    <row r="41" ht="15.75" customHeight="1">
      <c r="A41" s="121"/>
      <c r="B41" s="121"/>
      <c r="C41" s="121"/>
      <c r="D41" s="121"/>
      <c r="E41" s="121"/>
    </row>
    <row r="42" ht="15.75" customHeight="1">
      <c r="A42" s="121"/>
      <c r="B42" s="121"/>
      <c r="C42" s="121"/>
      <c r="D42" s="121"/>
      <c r="E42" s="121"/>
    </row>
    <row r="43" ht="15.75" customHeight="1">
      <c r="A43" s="121"/>
      <c r="B43" s="121"/>
      <c r="C43" s="121"/>
      <c r="D43" s="121"/>
      <c r="E43" s="121"/>
    </row>
    <row r="44" ht="15.75" customHeight="1">
      <c r="A44" s="121"/>
      <c r="B44" s="121"/>
      <c r="C44" s="121"/>
      <c r="D44" s="121"/>
      <c r="E44" s="121"/>
    </row>
    <row r="45" ht="15.75" customHeight="1">
      <c r="A45" s="121"/>
      <c r="B45" s="121"/>
      <c r="C45" s="121"/>
      <c r="D45" s="121"/>
      <c r="E45" s="121"/>
    </row>
    <row r="46" ht="15.75" customHeight="1">
      <c r="A46" s="121"/>
      <c r="B46" s="121"/>
      <c r="C46" s="121"/>
      <c r="D46" s="121"/>
      <c r="E46" s="121"/>
    </row>
    <row r="47" ht="15.75" customHeight="1">
      <c r="A47" s="121"/>
      <c r="B47" s="121"/>
      <c r="C47" s="121"/>
      <c r="D47" s="121"/>
      <c r="E47" s="121"/>
    </row>
    <row r="48" ht="15.75" customHeight="1">
      <c r="A48" s="121"/>
      <c r="B48" s="121"/>
      <c r="C48" s="121"/>
      <c r="D48" s="121"/>
      <c r="E48" s="121"/>
    </row>
    <row r="49" ht="15.75" customHeight="1">
      <c r="A49" s="121"/>
      <c r="B49" s="121"/>
      <c r="C49" s="121"/>
      <c r="D49" s="121"/>
      <c r="E49" s="121"/>
    </row>
    <row r="50" ht="15.75" customHeight="1">
      <c r="A50" s="121"/>
      <c r="B50" s="121"/>
      <c r="C50" s="121"/>
      <c r="D50" s="121"/>
      <c r="E50" s="121"/>
    </row>
    <row r="51" ht="15.75" customHeight="1">
      <c r="A51" s="121"/>
      <c r="B51" s="121"/>
      <c r="C51" s="121"/>
      <c r="D51" s="121"/>
      <c r="E51" s="121"/>
    </row>
    <row r="52" ht="15.75" customHeight="1">
      <c r="A52" s="121"/>
      <c r="B52" s="121"/>
      <c r="C52" s="121"/>
      <c r="D52" s="121"/>
      <c r="E52" s="121"/>
    </row>
    <row r="53" ht="15.75" customHeight="1">
      <c r="A53" s="121"/>
      <c r="B53" s="121"/>
      <c r="C53" s="121"/>
      <c r="D53" s="121"/>
      <c r="E53" s="121"/>
    </row>
    <row r="54" ht="15.75" customHeight="1">
      <c r="A54" s="121"/>
      <c r="B54" s="121"/>
      <c r="C54" s="121"/>
      <c r="D54" s="121"/>
      <c r="E54" s="121"/>
    </row>
    <row r="55" ht="15.75" customHeight="1">
      <c r="A55" s="121"/>
      <c r="B55" s="121"/>
      <c r="C55" s="121"/>
      <c r="D55" s="121"/>
      <c r="E55" s="121"/>
    </row>
    <row r="56" ht="15.75" customHeight="1">
      <c r="A56" s="121"/>
      <c r="B56" s="121"/>
      <c r="C56" s="121"/>
      <c r="D56" s="121"/>
      <c r="E56" s="121"/>
    </row>
    <row r="57" ht="15.75" customHeight="1">
      <c r="A57" s="121"/>
      <c r="B57" s="121"/>
      <c r="C57" s="121"/>
      <c r="D57" s="121"/>
      <c r="E57" s="121"/>
    </row>
    <row r="58" ht="15.75" customHeight="1">
      <c r="A58" s="121"/>
      <c r="B58" s="121"/>
      <c r="C58" s="121"/>
      <c r="D58" s="121"/>
      <c r="E58" s="121"/>
    </row>
    <row r="59" ht="15.75" customHeight="1">
      <c r="A59" s="121"/>
      <c r="B59" s="121"/>
      <c r="C59" s="121"/>
      <c r="D59" s="121"/>
      <c r="E59" s="121"/>
    </row>
    <row r="60" ht="15.75" customHeight="1">
      <c r="A60" s="121"/>
      <c r="B60" s="121"/>
      <c r="C60" s="121"/>
      <c r="D60" s="121"/>
      <c r="E60" s="121"/>
    </row>
    <row r="61" ht="15.75" customHeight="1">
      <c r="A61" s="121"/>
      <c r="B61" s="121"/>
      <c r="C61" s="121"/>
      <c r="D61" s="121"/>
      <c r="E61" s="121"/>
    </row>
    <row r="62" ht="15.75" customHeight="1">
      <c r="A62" s="121"/>
      <c r="B62" s="121"/>
      <c r="C62" s="121"/>
      <c r="D62" s="121"/>
      <c r="E62" s="121"/>
    </row>
    <row r="63" ht="15.75" customHeight="1">
      <c r="A63" s="121"/>
      <c r="B63" s="121"/>
      <c r="C63" s="121"/>
      <c r="D63" s="121"/>
      <c r="E63" s="121"/>
    </row>
    <row r="64" ht="15.75" customHeight="1">
      <c r="A64" s="121"/>
      <c r="B64" s="121"/>
      <c r="C64" s="121"/>
      <c r="D64" s="121"/>
      <c r="E64" s="121"/>
    </row>
    <row r="65" ht="15.75" customHeight="1">
      <c r="A65" s="121"/>
      <c r="B65" s="121"/>
      <c r="C65" s="121"/>
      <c r="D65" s="121"/>
      <c r="E65" s="121"/>
    </row>
    <row r="66" ht="15.75" customHeight="1">
      <c r="A66" s="121"/>
      <c r="B66" s="121"/>
      <c r="C66" s="121"/>
      <c r="D66" s="121"/>
      <c r="E66" s="121"/>
    </row>
    <row r="67" ht="15.75" customHeight="1">
      <c r="A67" s="121"/>
      <c r="B67" s="121"/>
      <c r="C67" s="121"/>
      <c r="D67" s="121"/>
      <c r="E67" s="121"/>
    </row>
    <row r="68" ht="15.75" customHeight="1">
      <c r="A68" s="121"/>
      <c r="B68" s="121"/>
      <c r="C68" s="121"/>
      <c r="D68" s="121"/>
      <c r="E68" s="121"/>
    </row>
    <row r="69" ht="15.75" customHeight="1">
      <c r="A69" s="121"/>
      <c r="B69" s="121"/>
      <c r="C69" s="121"/>
      <c r="D69" s="121"/>
      <c r="E69" s="121"/>
    </row>
    <row r="70" ht="15.75" customHeight="1">
      <c r="A70" s="121"/>
      <c r="B70" s="121"/>
      <c r="C70" s="121"/>
      <c r="D70" s="121"/>
      <c r="E70" s="121"/>
    </row>
    <row r="71" ht="15.75" customHeight="1">
      <c r="A71" s="121"/>
      <c r="B71" s="121"/>
      <c r="C71" s="121"/>
      <c r="D71" s="121"/>
      <c r="E71" s="121"/>
    </row>
    <row r="72" ht="15.75" customHeight="1">
      <c r="A72" s="121"/>
      <c r="B72" s="121"/>
      <c r="C72" s="121"/>
      <c r="D72" s="121"/>
      <c r="E72" s="121"/>
    </row>
    <row r="73" ht="15.75" customHeight="1">
      <c r="A73" s="121"/>
      <c r="B73" s="121"/>
      <c r="C73" s="121"/>
      <c r="D73" s="121"/>
      <c r="E73" s="121"/>
    </row>
    <row r="74" ht="15.75" customHeight="1">
      <c r="A74" s="121"/>
      <c r="B74" s="121"/>
      <c r="C74" s="121"/>
      <c r="D74" s="121"/>
      <c r="E74" s="121"/>
    </row>
    <row r="75" ht="15.75" customHeight="1">
      <c r="A75" s="121"/>
      <c r="B75" s="121"/>
      <c r="C75" s="121"/>
      <c r="D75" s="121"/>
      <c r="E75" s="121"/>
    </row>
    <row r="76" ht="15.75" customHeight="1">
      <c r="A76" s="121"/>
      <c r="B76" s="121"/>
      <c r="C76" s="121"/>
      <c r="D76" s="121"/>
      <c r="E76" s="121"/>
    </row>
    <row r="77" ht="15.75" customHeight="1">
      <c r="A77" s="121"/>
      <c r="B77" s="121"/>
      <c r="C77" s="121"/>
      <c r="D77" s="121"/>
      <c r="E77" s="121"/>
    </row>
    <row r="78" ht="15.75" customHeight="1">
      <c r="A78" s="121"/>
      <c r="B78" s="121"/>
      <c r="C78" s="121"/>
      <c r="D78" s="121"/>
      <c r="E78" s="121"/>
    </row>
    <row r="79" ht="15.75" customHeight="1">
      <c r="A79" s="121"/>
      <c r="B79" s="121"/>
      <c r="C79" s="121"/>
      <c r="D79" s="121"/>
      <c r="E79" s="121"/>
    </row>
    <row r="80" ht="15.75" customHeight="1">
      <c r="A80" s="121"/>
      <c r="B80" s="121"/>
      <c r="C80" s="121"/>
      <c r="D80" s="121"/>
      <c r="E80" s="121"/>
    </row>
    <row r="81" ht="15.75" customHeight="1">
      <c r="A81" s="121"/>
      <c r="B81" s="121"/>
      <c r="C81" s="121"/>
      <c r="D81" s="121"/>
      <c r="E81" s="121"/>
    </row>
    <row r="82" ht="15.75" customHeight="1">
      <c r="A82" s="121"/>
      <c r="B82" s="121"/>
      <c r="C82" s="121"/>
      <c r="D82" s="121"/>
      <c r="E82" s="121"/>
    </row>
    <row r="83" ht="15.75" customHeight="1">
      <c r="A83" s="121"/>
      <c r="B83" s="121"/>
      <c r="C83" s="121"/>
      <c r="D83" s="121"/>
      <c r="E83" s="121"/>
    </row>
    <row r="84" ht="15.75" customHeight="1">
      <c r="A84" s="121"/>
      <c r="B84" s="121"/>
      <c r="C84" s="121"/>
      <c r="D84" s="121"/>
      <c r="E84" s="121"/>
    </row>
    <row r="85" ht="15.75" customHeight="1">
      <c r="A85" s="121"/>
      <c r="B85" s="121"/>
      <c r="C85" s="121"/>
      <c r="D85" s="121"/>
      <c r="E85" s="121"/>
    </row>
    <row r="86" ht="15.75" customHeight="1">
      <c r="A86" s="121"/>
      <c r="B86" s="121"/>
      <c r="C86" s="121"/>
      <c r="D86" s="121"/>
      <c r="E86" s="121"/>
    </row>
    <row r="87" ht="15.75" customHeight="1">
      <c r="A87" s="121"/>
      <c r="B87" s="121"/>
      <c r="C87" s="121"/>
      <c r="D87" s="121"/>
      <c r="E87" s="121"/>
    </row>
    <row r="88" ht="15.75" customHeight="1">
      <c r="A88" s="121"/>
      <c r="B88" s="121"/>
      <c r="C88" s="121"/>
      <c r="D88" s="121"/>
      <c r="E88" s="121"/>
    </row>
    <row r="89" ht="15.75" customHeight="1">
      <c r="A89" s="121"/>
      <c r="B89" s="121"/>
      <c r="C89" s="121"/>
      <c r="D89" s="121"/>
      <c r="E89" s="121"/>
    </row>
    <row r="90" ht="15.75" customHeight="1">
      <c r="A90" s="121"/>
      <c r="B90" s="121"/>
      <c r="C90" s="121"/>
      <c r="D90" s="121"/>
      <c r="E90" s="121"/>
    </row>
    <row r="91" ht="15.75" customHeight="1">
      <c r="A91" s="121"/>
      <c r="B91" s="121"/>
      <c r="C91" s="121"/>
      <c r="D91" s="121"/>
      <c r="E91" s="121"/>
    </row>
    <row r="92" ht="15.75" customHeight="1">
      <c r="A92" s="121"/>
      <c r="B92" s="121"/>
      <c r="C92" s="121"/>
      <c r="D92" s="121"/>
      <c r="E92" s="121"/>
    </row>
    <row r="93" ht="15.75" customHeight="1">
      <c r="A93" s="121"/>
      <c r="B93" s="121"/>
      <c r="C93" s="121"/>
      <c r="D93" s="121"/>
      <c r="E93" s="121"/>
    </row>
    <row r="94" ht="15.75" customHeight="1">
      <c r="A94" s="121"/>
      <c r="B94" s="121"/>
      <c r="C94" s="121"/>
      <c r="D94" s="121"/>
      <c r="E94" s="121"/>
    </row>
    <row r="95" ht="15.75" customHeight="1">
      <c r="A95" s="121"/>
      <c r="B95" s="121"/>
      <c r="C95" s="121"/>
      <c r="D95" s="121"/>
      <c r="E95" s="121"/>
    </row>
    <row r="96" ht="15.75" customHeight="1">
      <c r="A96" s="121"/>
      <c r="B96" s="121"/>
      <c r="C96" s="121"/>
      <c r="D96" s="121"/>
      <c r="E96" s="121"/>
    </row>
    <row r="97" ht="15.75" customHeight="1">
      <c r="A97" s="121"/>
      <c r="B97" s="121"/>
      <c r="C97" s="121"/>
      <c r="D97" s="121"/>
      <c r="E97" s="121"/>
    </row>
    <row r="98" ht="15.75" customHeight="1">
      <c r="A98" s="121"/>
      <c r="B98" s="121"/>
      <c r="C98" s="121"/>
      <c r="D98" s="121"/>
      <c r="E98" s="121"/>
    </row>
    <row r="99" ht="15.75" customHeight="1">
      <c r="A99" s="121"/>
      <c r="B99" s="121"/>
      <c r="C99" s="121"/>
      <c r="D99" s="121"/>
      <c r="E99" s="121"/>
    </row>
    <row r="100" ht="15.75" customHeight="1">
      <c r="A100" s="121"/>
      <c r="B100" s="121"/>
      <c r="C100" s="121"/>
      <c r="D100" s="121"/>
      <c r="E100" s="121"/>
    </row>
    <row r="101" ht="15.75" customHeight="1">
      <c r="A101" s="121"/>
      <c r="B101" s="121"/>
      <c r="C101" s="121"/>
      <c r="D101" s="121"/>
      <c r="E101" s="121"/>
    </row>
    <row r="102" ht="15.75" customHeight="1">
      <c r="A102" s="121"/>
      <c r="B102" s="121"/>
      <c r="C102" s="121"/>
      <c r="D102" s="121"/>
      <c r="E102" s="121"/>
    </row>
    <row r="103" ht="15.75" customHeight="1">
      <c r="A103" s="121"/>
      <c r="B103" s="121"/>
      <c r="C103" s="121"/>
      <c r="D103" s="121"/>
      <c r="E103" s="121"/>
    </row>
    <row r="104" ht="15.75" customHeight="1">
      <c r="A104" s="121"/>
      <c r="B104" s="121"/>
      <c r="C104" s="121"/>
      <c r="D104" s="121"/>
      <c r="E104" s="121"/>
    </row>
    <row r="105" ht="15.75" customHeight="1">
      <c r="A105" s="121"/>
      <c r="B105" s="121"/>
      <c r="C105" s="121"/>
      <c r="D105" s="121"/>
      <c r="E105" s="121"/>
    </row>
    <row r="106" ht="15.75" customHeight="1">
      <c r="A106" s="121"/>
      <c r="B106" s="121"/>
      <c r="C106" s="121"/>
      <c r="D106" s="121"/>
      <c r="E106" s="121"/>
    </row>
    <row r="107" ht="15.75" customHeight="1">
      <c r="A107" s="121"/>
      <c r="B107" s="121"/>
      <c r="C107" s="121"/>
      <c r="D107" s="121"/>
      <c r="E107" s="121"/>
    </row>
    <row r="108" ht="15.75" customHeight="1">
      <c r="A108" s="121"/>
      <c r="B108" s="121"/>
      <c r="C108" s="121"/>
      <c r="D108" s="121"/>
      <c r="E108" s="121"/>
    </row>
    <row r="109" ht="15.75" customHeight="1">
      <c r="A109" s="121"/>
      <c r="B109" s="121"/>
      <c r="C109" s="121"/>
      <c r="D109" s="121"/>
      <c r="E109" s="121"/>
    </row>
    <row r="110" ht="15.75" customHeight="1">
      <c r="A110" s="121"/>
      <c r="B110" s="121"/>
      <c r="C110" s="121"/>
      <c r="D110" s="121"/>
      <c r="E110" s="121"/>
    </row>
    <row r="111" ht="15.75" customHeight="1">
      <c r="A111" s="121"/>
      <c r="B111" s="121"/>
      <c r="C111" s="121"/>
      <c r="D111" s="121"/>
      <c r="E111" s="121"/>
    </row>
    <row r="112" ht="15.75" customHeight="1">
      <c r="A112" s="121"/>
      <c r="B112" s="121"/>
      <c r="C112" s="121"/>
      <c r="D112" s="121"/>
      <c r="E112" s="121"/>
    </row>
    <row r="113" ht="15.75" customHeight="1">
      <c r="A113" s="121"/>
      <c r="B113" s="121"/>
      <c r="C113" s="121"/>
      <c r="D113" s="121"/>
      <c r="E113" s="121"/>
    </row>
    <row r="114" ht="15.75" customHeight="1">
      <c r="A114" s="121"/>
      <c r="B114" s="121"/>
      <c r="C114" s="121"/>
      <c r="D114" s="121"/>
      <c r="E114" s="121"/>
    </row>
    <row r="115" ht="15.75" customHeight="1">
      <c r="A115" s="121"/>
      <c r="B115" s="121"/>
      <c r="C115" s="121"/>
      <c r="D115" s="121"/>
      <c r="E115" s="121"/>
    </row>
    <row r="116" ht="15.75" customHeight="1">
      <c r="A116" s="121"/>
      <c r="B116" s="121"/>
      <c r="C116" s="121"/>
      <c r="D116" s="121"/>
      <c r="E116" s="121"/>
    </row>
    <row r="117" ht="15.75" customHeight="1">
      <c r="A117" s="121"/>
      <c r="B117" s="121"/>
      <c r="C117" s="121"/>
      <c r="D117" s="121"/>
      <c r="E117" s="121"/>
    </row>
    <row r="118" ht="15.75" customHeight="1">
      <c r="A118" s="121"/>
      <c r="B118" s="121"/>
      <c r="C118" s="121"/>
      <c r="D118" s="121"/>
      <c r="E118" s="121"/>
    </row>
    <row r="119" ht="15.75" customHeight="1">
      <c r="A119" s="121"/>
      <c r="B119" s="121"/>
      <c r="C119" s="121"/>
      <c r="D119" s="121"/>
      <c r="E119" s="121"/>
    </row>
    <row r="120" ht="15.75" customHeight="1">
      <c r="A120" s="121"/>
      <c r="B120" s="121"/>
      <c r="C120" s="121"/>
      <c r="D120" s="121"/>
      <c r="E120" s="121"/>
    </row>
    <row r="121" ht="15.75" customHeight="1">
      <c r="A121" s="121"/>
      <c r="B121" s="121"/>
      <c r="C121" s="121"/>
      <c r="D121" s="121"/>
      <c r="E121" s="121"/>
    </row>
    <row r="122" ht="15.75" customHeight="1">
      <c r="A122" s="121"/>
      <c r="B122" s="121"/>
      <c r="C122" s="121"/>
      <c r="D122" s="121"/>
      <c r="E122" s="121"/>
    </row>
    <row r="123" ht="15.75" customHeight="1">
      <c r="A123" s="121"/>
      <c r="B123" s="121"/>
      <c r="C123" s="121"/>
      <c r="D123" s="121"/>
      <c r="E123" s="121"/>
    </row>
    <row r="124" ht="15.75" customHeight="1">
      <c r="A124" s="121"/>
      <c r="B124" s="121"/>
      <c r="C124" s="121"/>
      <c r="D124" s="121"/>
      <c r="E124" s="121"/>
    </row>
    <row r="125" ht="15.75" customHeight="1">
      <c r="A125" s="121"/>
      <c r="B125" s="121"/>
      <c r="C125" s="121"/>
      <c r="D125" s="121"/>
      <c r="E125" s="121"/>
    </row>
    <row r="126" ht="15.75" customHeight="1">
      <c r="A126" s="121"/>
      <c r="B126" s="121"/>
      <c r="C126" s="121"/>
      <c r="D126" s="121"/>
      <c r="E126" s="121"/>
    </row>
    <row r="127" ht="15.75" customHeight="1">
      <c r="A127" s="121"/>
      <c r="B127" s="121"/>
      <c r="C127" s="121"/>
      <c r="D127" s="121"/>
      <c r="E127" s="121"/>
    </row>
    <row r="128" ht="15.75" customHeight="1">
      <c r="A128" s="121"/>
      <c r="B128" s="121"/>
      <c r="C128" s="121"/>
      <c r="D128" s="121"/>
      <c r="E128" s="121"/>
    </row>
    <row r="129" ht="15.75" customHeight="1">
      <c r="A129" s="121"/>
      <c r="B129" s="121"/>
      <c r="C129" s="121"/>
      <c r="D129" s="121"/>
      <c r="E129" s="121"/>
    </row>
    <row r="130" ht="15.75" customHeight="1">
      <c r="A130" s="121"/>
      <c r="B130" s="121"/>
      <c r="C130" s="121"/>
      <c r="D130" s="121"/>
      <c r="E130" s="121"/>
    </row>
    <row r="131" ht="15.75" customHeight="1">
      <c r="A131" s="121"/>
      <c r="B131" s="121"/>
      <c r="C131" s="121"/>
      <c r="D131" s="121"/>
      <c r="E131" s="121"/>
    </row>
    <row r="132" ht="15.75" customHeight="1">
      <c r="A132" s="121"/>
      <c r="B132" s="121"/>
      <c r="C132" s="121"/>
      <c r="D132" s="121"/>
      <c r="E132" s="121"/>
    </row>
    <row r="133" ht="15.75" customHeight="1">
      <c r="A133" s="121"/>
      <c r="B133" s="121"/>
      <c r="C133" s="121"/>
      <c r="D133" s="121"/>
      <c r="E133" s="121"/>
    </row>
    <row r="134" ht="15.75" customHeight="1">
      <c r="A134" s="121"/>
      <c r="B134" s="121"/>
      <c r="C134" s="121"/>
      <c r="D134" s="121"/>
      <c r="E134" s="121"/>
    </row>
    <row r="135" ht="15.75" customHeight="1">
      <c r="A135" s="121"/>
      <c r="B135" s="121"/>
      <c r="C135" s="121"/>
      <c r="D135" s="121"/>
      <c r="E135" s="121"/>
    </row>
    <row r="136" ht="15.75" customHeight="1">
      <c r="A136" s="121"/>
      <c r="B136" s="121"/>
      <c r="C136" s="121"/>
      <c r="D136" s="121"/>
      <c r="E136" s="121"/>
    </row>
    <row r="137" ht="15.75" customHeight="1">
      <c r="A137" s="121"/>
      <c r="B137" s="121"/>
      <c r="C137" s="121"/>
      <c r="D137" s="121"/>
      <c r="E137" s="121"/>
    </row>
    <row r="138" ht="15.75" customHeight="1">
      <c r="A138" s="121"/>
      <c r="B138" s="121"/>
      <c r="C138" s="121"/>
      <c r="D138" s="121"/>
      <c r="E138" s="121"/>
    </row>
    <row r="139" ht="15.75" customHeight="1">
      <c r="A139" s="121"/>
      <c r="B139" s="121"/>
      <c r="C139" s="121"/>
      <c r="D139" s="121"/>
      <c r="E139" s="121"/>
    </row>
    <row r="140" ht="15.75" customHeight="1">
      <c r="A140" s="121"/>
      <c r="B140" s="121"/>
      <c r="C140" s="121"/>
      <c r="D140" s="121"/>
      <c r="E140" s="121"/>
    </row>
    <row r="141" ht="15.75" customHeight="1">
      <c r="A141" s="121"/>
      <c r="B141" s="121"/>
      <c r="C141" s="121"/>
      <c r="D141" s="121"/>
      <c r="E141" s="121"/>
    </row>
    <row r="142" ht="15.75" customHeight="1">
      <c r="A142" s="121"/>
      <c r="B142" s="121"/>
      <c r="C142" s="121"/>
      <c r="D142" s="121"/>
      <c r="E142" s="121"/>
    </row>
    <row r="143" ht="15.75" customHeight="1">
      <c r="A143" s="121"/>
      <c r="B143" s="121"/>
      <c r="C143" s="121"/>
      <c r="D143" s="121"/>
      <c r="E143" s="121"/>
    </row>
    <row r="144" ht="15.75" customHeight="1">
      <c r="A144" s="121"/>
      <c r="B144" s="121"/>
      <c r="C144" s="121"/>
      <c r="D144" s="121"/>
      <c r="E144" s="121"/>
    </row>
    <row r="145" ht="15.75" customHeight="1">
      <c r="A145" s="121"/>
      <c r="B145" s="121"/>
      <c r="C145" s="121"/>
      <c r="D145" s="121"/>
      <c r="E145" s="121"/>
    </row>
    <row r="146" ht="15.75" customHeight="1">
      <c r="A146" s="121"/>
      <c r="B146" s="121"/>
      <c r="C146" s="121"/>
      <c r="D146" s="121"/>
      <c r="E146" s="121"/>
    </row>
    <row r="147" ht="15.75" customHeight="1">
      <c r="A147" s="121"/>
      <c r="B147" s="121"/>
      <c r="C147" s="121"/>
      <c r="D147" s="121"/>
      <c r="E147" s="121"/>
    </row>
    <row r="148" ht="15.75" customHeight="1">
      <c r="A148" s="121"/>
      <c r="B148" s="121"/>
      <c r="C148" s="121"/>
      <c r="D148" s="121"/>
      <c r="E148" s="121"/>
    </row>
    <row r="149" ht="15.75" customHeight="1">
      <c r="A149" s="121"/>
      <c r="B149" s="121"/>
      <c r="C149" s="121"/>
      <c r="D149" s="121"/>
      <c r="E149" s="121"/>
    </row>
    <row r="150" ht="15.75" customHeight="1">
      <c r="A150" s="121"/>
      <c r="B150" s="121"/>
      <c r="C150" s="121"/>
      <c r="D150" s="121"/>
      <c r="E150" s="121"/>
    </row>
    <row r="151" ht="15.75" customHeight="1">
      <c r="A151" s="121"/>
      <c r="B151" s="121"/>
      <c r="C151" s="121"/>
      <c r="D151" s="121"/>
      <c r="E151" s="121"/>
    </row>
    <row r="152" ht="15.75" customHeight="1">
      <c r="A152" s="121"/>
      <c r="B152" s="121"/>
      <c r="C152" s="121"/>
      <c r="D152" s="121"/>
      <c r="E152" s="121"/>
    </row>
    <row r="153" ht="15.75" customHeight="1">
      <c r="A153" s="121"/>
      <c r="B153" s="121"/>
      <c r="C153" s="121"/>
      <c r="D153" s="121"/>
      <c r="E153" s="121"/>
    </row>
    <row r="154" ht="15.75" customHeight="1">
      <c r="A154" s="121"/>
      <c r="B154" s="121"/>
      <c r="C154" s="121"/>
      <c r="D154" s="121"/>
      <c r="E154" s="121"/>
    </row>
    <row r="155" ht="15.75" customHeight="1">
      <c r="A155" s="121"/>
      <c r="B155" s="121"/>
      <c r="C155" s="121"/>
      <c r="D155" s="121"/>
      <c r="E155" s="121"/>
    </row>
    <row r="156" ht="15.75" customHeight="1">
      <c r="A156" s="121"/>
      <c r="B156" s="121"/>
      <c r="C156" s="121"/>
      <c r="D156" s="121"/>
      <c r="E156" s="121"/>
    </row>
    <row r="157" ht="15.75" customHeight="1">
      <c r="A157" s="121"/>
      <c r="B157" s="121"/>
      <c r="C157" s="121"/>
      <c r="D157" s="121"/>
      <c r="E157" s="121"/>
    </row>
    <row r="158" ht="15.75" customHeight="1">
      <c r="A158" s="121"/>
      <c r="B158" s="121"/>
      <c r="C158" s="121"/>
      <c r="D158" s="121"/>
      <c r="E158" s="121"/>
    </row>
    <row r="159" ht="15.75" customHeight="1">
      <c r="A159" s="121"/>
      <c r="B159" s="121"/>
      <c r="C159" s="121"/>
      <c r="D159" s="121"/>
      <c r="E159" s="121"/>
    </row>
    <row r="160" ht="15.75" customHeight="1">
      <c r="A160" s="121"/>
      <c r="B160" s="121"/>
      <c r="C160" s="121"/>
      <c r="D160" s="121"/>
      <c r="E160" s="121"/>
    </row>
    <row r="161" ht="15.75" customHeight="1">
      <c r="A161" s="121"/>
      <c r="B161" s="121"/>
      <c r="C161" s="121"/>
      <c r="D161" s="121"/>
      <c r="E161" s="121"/>
    </row>
    <row r="162" ht="15.75" customHeight="1">
      <c r="A162" s="121"/>
      <c r="B162" s="121"/>
      <c r="C162" s="121"/>
      <c r="D162" s="121"/>
      <c r="E162" s="121"/>
    </row>
    <row r="163" ht="15.75" customHeight="1">
      <c r="A163" s="121"/>
      <c r="B163" s="121"/>
      <c r="C163" s="121"/>
      <c r="D163" s="121"/>
      <c r="E163" s="121"/>
    </row>
    <row r="164" ht="15.75" customHeight="1">
      <c r="A164" s="121"/>
      <c r="B164" s="121"/>
      <c r="C164" s="121"/>
      <c r="D164" s="121"/>
      <c r="E164" s="121"/>
    </row>
    <row r="165" ht="15.75" customHeight="1">
      <c r="A165" s="121"/>
      <c r="B165" s="121"/>
      <c r="C165" s="121"/>
      <c r="D165" s="121"/>
      <c r="E165" s="121"/>
    </row>
    <row r="166" ht="15.75" customHeight="1">
      <c r="A166" s="121"/>
      <c r="B166" s="121"/>
      <c r="C166" s="121"/>
      <c r="D166" s="121"/>
      <c r="E166" s="121"/>
    </row>
    <row r="167" ht="15.75" customHeight="1">
      <c r="A167" s="121"/>
      <c r="B167" s="121"/>
      <c r="C167" s="121"/>
      <c r="D167" s="121"/>
      <c r="E167" s="121"/>
    </row>
    <row r="168" ht="15.75" customHeight="1">
      <c r="A168" s="121"/>
      <c r="B168" s="121"/>
      <c r="C168" s="121"/>
      <c r="D168" s="121"/>
      <c r="E168" s="121"/>
    </row>
    <row r="169" ht="15.75" customHeight="1">
      <c r="A169" s="121"/>
      <c r="B169" s="121"/>
      <c r="C169" s="121"/>
      <c r="D169" s="121"/>
      <c r="E169" s="121"/>
    </row>
    <row r="170" ht="15.75" customHeight="1">
      <c r="A170" s="121"/>
      <c r="B170" s="121"/>
      <c r="C170" s="121"/>
      <c r="D170" s="121"/>
      <c r="E170" s="121"/>
    </row>
    <row r="171" ht="15.75" customHeight="1">
      <c r="A171" s="121"/>
      <c r="B171" s="121"/>
      <c r="C171" s="121"/>
      <c r="D171" s="121"/>
      <c r="E171" s="121"/>
    </row>
    <row r="172" ht="15.75" customHeight="1">
      <c r="A172" s="121"/>
      <c r="B172" s="121"/>
      <c r="C172" s="121"/>
      <c r="D172" s="121"/>
      <c r="E172" s="121"/>
    </row>
    <row r="173" ht="15.75" customHeight="1">
      <c r="A173" s="121"/>
      <c r="B173" s="121"/>
      <c r="C173" s="121"/>
      <c r="D173" s="121"/>
      <c r="E173" s="121"/>
    </row>
    <row r="174" ht="15.75" customHeight="1">
      <c r="A174" s="121"/>
      <c r="B174" s="121"/>
      <c r="C174" s="121"/>
      <c r="D174" s="121"/>
      <c r="E174" s="121"/>
    </row>
    <row r="175" ht="15.75" customHeight="1">
      <c r="A175" s="121"/>
      <c r="B175" s="121"/>
      <c r="C175" s="121"/>
      <c r="D175" s="121"/>
      <c r="E175" s="121"/>
    </row>
    <row r="176" ht="15.75" customHeight="1">
      <c r="A176" s="121"/>
      <c r="B176" s="121"/>
      <c r="C176" s="121"/>
      <c r="D176" s="121"/>
      <c r="E176" s="121"/>
    </row>
    <row r="177" ht="15.75" customHeight="1">
      <c r="A177" s="121"/>
      <c r="B177" s="121"/>
      <c r="C177" s="121"/>
      <c r="D177" s="121"/>
      <c r="E177" s="121"/>
    </row>
    <row r="178" ht="15.75" customHeight="1">
      <c r="A178" s="121"/>
      <c r="B178" s="121"/>
      <c r="C178" s="121"/>
      <c r="D178" s="121"/>
      <c r="E178" s="121"/>
    </row>
    <row r="179" ht="15.75" customHeight="1">
      <c r="A179" s="121"/>
      <c r="B179" s="121"/>
      <c r="C179" s="121"/>
      <c r="D179" s="121"/>
      <c r="E179" s="121"/>
    </row>
    <row r="180" ht="15.75" customHeight="1">
      <c r="A180" s="121"/>
      <c r="B180" s="121"/>
      <c r="C180" s="121"/>
      <c r="D180" s="121"/>
      <c r="E180" s="121"/>
    </row>
    <row r="181" ht="15.75" customHeight="1">
      <c r="A181" s="121"/>
      <c r="B181" s="121"/>
      <c r="C181" s="121"/>
      <c r="D181" s="121"/>
      <c r="E181" s="121"/>
    </row>
    <row r="182" ht="15.75" customHeight="1">
      <c r="A182" s="121"/>
      <c r="B182" s="121"/>
      <c r="C182" s="121"/>
      <c r="D182" s="121"/>
      <c r="E182" s="121"/>
    </row>
    <row r="183" ht="15.75" customHeight="1">
      <c r="A183" s="121"/>
      <c r="B183" s="121"/>
      <c r="C183" s="121"/>
      <c r="D183" s="121"/>
      <c r="E183" s="121"/>
    </row>
    <row r="184" ht="15.75" customHeight="1">
      <c r="A184" s="121"/>
      <c r="B184" s="121"/>
      <c r="C184" s="121"/>
      <c r="D184" s="121"/>
      <c r="E184" s="121"/>
    </row>
    <row r="185" ht="15.75" customHeight="1">
      <c r="A185" s="121"/>
      <c r="B185" s="121"/>
      <c r="C185" s="121"/>
      <c r="D185" s="121"/>
      <c r="E185" s="121"/>
    </row>
    <row r="186" ht="15.75" customHeight="1">
      <c r="A186" s="121"/>
      <c r="B186" s="121"/>
      <c r="C186" s="121"/>
      <c r="D186" s="121"/>
      <c r="E186" s="121"/>
    </row>
    <row r="187" ht="15.75" customHeight="1">
      <c r="A187" s="121"/>
      <c r="B187" s="121"/>
      <c r="C187" s="121"/>
      <c r="D187" s="121"/>
      <c r="E187" s="121"/>
    </row>
    <row r="188" ht="15.75" customHeight="1">
      <c r="A188" s="121"/>
      <c r="B188" s="121"/>
      <c r="C188" s="121"/>
      <c r="D188" s="121"/>
      <c r="E188" s="121"/>
    </row>
    <row r="189" ht="15.75" customHeight="1">
      <c r="A189" s="121"/>
      <c r="B189" s="121"/>
      <c r="C189" s="121"/>
      <c r="D189" s="121"/>
      <c r="E189" s="121"/>
    </row>
    <row r="190" ht="15.75" customHeight="1">
      <c r="A190" s="121"/>
      <c r="B190" s="121"/>
      <c r="C190" s="121"/>
      <c r="D190" s="121"/>
      <c r="E190" s="121"/>
    </row>
    <row r="191" ht="15.75" customHeight="1">
      <c r="A191" s="121"/>
      <c r="B191" s="121"/>
      <c r="C191" s="121"/>
      <c r="D191" s="121"/>
      <c r="E191" s="121"/>
    </row>
    <row r="192" ht="15.75" customHeight="1">
      <c r="A192" s="121"/>
      <c r="B192" s="121"/>
      <c r="C192" s="121"/>
      <c r="D192" s="121"/>
      <c r="E192" s="121"/>
    </row>
    <row r="193" ht="15.75" customHeight="1">
      <c r="A193" s="121"/>
      <c r="B193" s="121"/>
      <c r="C193" s="121"/>
      <c r="D193" s="121"/>
      <c r="E193" s="121"/>
    </row>
    <row r="194" ht="15.75" customHeight="1">
      <c r="A194" s="121"/>
      <c r="B194" s="121"/>
      <c r="C194" s="121"/>
      <c r="D194" s="121"/>
      <c r="E194" s="121"/>
    </row>
    <row r="195" ht="15.75" customHeight="1">
      <c r="A195" s="121"/>
      <c r="B195" s="121"/>
      <c r="C195" s="121"/>
      <c r="D195" s="121"/>
      <c r="E195" s="121"/>
    </row>
    <row r="196" ht="15.75" customHeight="1">
      <c r="A196" s="121"/>
      <c r="B196" s="121"/>
      <c r="C196" s="121"/>
      <c r="D196" s="121"/>
      <c r="E196" s="121"/>
    </row>
    <row r="197" ht="15.75" customHeight="1">
      <c r="A197" s="121"/>
      <c r="B197" s="121"/>
      <c r="C197" s="121"/>
      <c r="D197" s="121"/>
      <c r="E197" s="121"/>
    </row>
    <row r="198" ht="15.75" customHeight="1">
      <c r="A198" s="121"/>
      <c r="B198" s="121"/>
      <c r="C198" s="121"/>
      <c r="D198" s="121"/>
      <c r="E198" s="121"/>
    </row>
    <row r="199" ht="15.75" customHeight="1">
      <c r="A199" s="121"/>
      <c r="B199" s="121"/>
      <c r="C199" s="121"/>
      <c r="D199" s="121"/>
      <c r="E199" s="121"/>
    </row>
    <row r="200" ht="15.75" customHeight="1">
      <c r="A200" s="121"/>
      <c r="B200" s="121"/>
      <c r="C200" s="121"/>
      <c r="D200" s="121"/>
      <c r="E200" s="121"/>
    </row>
    <row r="201" ht="15.75" customHeight="1">
      <c r="A201" s="121"/>
      <c r="B201" s="121"/>
      <c r="C201" s="121"/>
      <c r="D201" s="121"/>
      <c r="E201" s="121"/>
    </row>
    <row r="202" ht="15.75" customHeight="1">
      <c r="A202" s="121"/>
      <c r="B202" s="121"/>
      <c r="C202" s="121"/>
      <c r="D202" s="121"/>
      <c r="E202" s="121"/>
    </row>
    <row r="203" ht="15.75" customHeight="1">
      <c r="A203" s="121"/>
      <c r="B203" s="121"/>
      <c r="C203" s="121"/>
      <c r="D203" s="121"/>
      <c r="E203" s="121"/>
    </row>
    <row r="204" ht="15.75" customHeight="1">
      <c r="A204" s="121"/>
      <c r="B204" s="121"/>
      <c r="C204" s="121"/>
      <c r="D204" s="121"/>
      <c r="E204" s="121"/>
    </row>
    <row r="205" ht="15.75" customHeight="1">
      <c r="A205" s="121"/>
      <c r="B205" s="121"/>
      <c r="C205" s="121"/>
      <c r="D205" s="121"/>
      <c r="E205" s="121"/>
    </row>
    <row r="206" ht="15.75" customHeight="1">
      <c r="A206" s="121"/>
      <c r="B206" s="121"/>
      <c r="C206" s="121"/>
      <c r="D206" s="121"/>
      <c r="E206" s="121"/>
    </row>
    <row r="207" ht="15.75" customHeight="1">
      <c r="A207" s="121"/>
      <c r="B207" s="121"/>
      <c r="C207" s="121"/>
      <c r="D207" s="121"/>
      <c r="E207" s="121"/>
    </row>
    <row r="208" ht="15.75" customHeight="1">
      <c r="A208" s="121"/>
      <c r="B208" s="121"/>
      <c r="C208" s="121"/>
      <c r="D208" s="121"/>
      <c r="E208" s="121"/>
    </row>
    <row r="209" ht="15.75" customHeight="1">
      <c r="A209" s="121"/>
      <c r="B209" s="121"/>
      <c r="C209" s="121"/>
      <c r="D209" s="121"/>
      <c r="E209" s="121"/>
    </row>
    <row r="210" ht="15.75" customHeight="1">
      <c r="A210" s="121"/>
      <c r="B210" s="121"/>
      <c r="C210" s="121"/>
      <c r="D210" s="121"/>
      <c r="E210" s="121"/>
    </row>
    <row r="211" ht="15.75" customHeight="1">
      <c r="A211" s="121"/>
      <c r="B211" s="121"/>
      <c r="C211" s="121"/>
      <c r="D211" s="121"/>
      <c r="E211" s="121"/>
    </row>
    <row r="212" ht="15.75" customHeight="1">
      <c r="A212" s="121"/>
      <c r="B212" s="121"/>
      <c r="C212" s="121"/>
      <c r="D212" s="121"/>
      <c r="E212" s="121"/>
    </row>
    <row r="213" ht="15.75" customHeight="1">
      <c r="A213" s="121"/>
      <c r="B213" s="121"/>
      <c r="C213" s="121"/>
      <c r="D213" s="121"/>
      <c r="E213" s="121"/>
    </row>
    <row r="214" ht="15.75" customHeight="1">
      <c r="A214" s="121"/>
      <c r="B214" s="121"/>
      <c r="C214" s="121"/>
      <c r="D214" s="121"/>
      <c r="E214" s="121"/>
    </row>
    <row r="215" ht="15.75" customHeight="1">
      <c r="A215" s="121"/>
      <c r="B215" s="121"/>
      <c r="C215" s="121"/>
      <c r="D215" s="121"/>
      <c r="E215" s="121"/>
    </row>
    <row r="216" ht="15.75" customHeight="1">
      <c r="A216" s="121"/>
      <c r="B216" s="121"/>
      <c r="C216" s="121"/>
      <c r="D216" s="121"/>
      <c r="E216" s="121"/>
    </row>
    <row r="217" ht="15.75" customHeight="1">
      <c r="A217" s="121"/>
      <c r="B217" s="121"/>
      <c r="C217" s="121"/>
      <c r="D217" s="121"/>
      <c r="E217" s="121"/>
    </row>
    <row r="218" ht="15.75" customHeight="1">
      <c r="A218" s="121"/>
      <c r="B218" s="121"/>
      <c r="C218" s="121"/>
      <c r="D218" s="121"/>
      <c r="E218" s="121"/>
    </row>
    <row r="219" ht="15.75" customHeight="1">
      <c r="A219" s="121"/>
      <c r="B219" s="121"/>
      <c r="C219" s="121"/>
      <c r="D219" s="121"/>
      <c r="E219" s="121"/>
    </row>
    <row r="220" ht="15.75" customHeight="1">
      <c r="A220" s="121"/>
      <c r="B220" s="121"/>
      <c r="C220" s="121"/>
      <c r="D220" s="121"/>
      <c r="E220" s="121"/>
    </row>
    <row r="221" ht="15.75" customHeight="1">
      <c r="A221" s="121"/>
      <c r="B221" s="121"/>
      <c r="C221" s="121"/>
      <c r="D221" s="121"/>
      <c r="E221" s="121"/>
    </row>
    <row r="222" ht="15.75" customHeight="1">
      <c r="A222" s="121"/>
      <c r="B222" s="121"/>
      <c r="C222" s="121"/>
      <c r="D222" s="121"/>
      <c r="E222" s="121"/>
    </row>
    <row r="223" ht="15.75" customHeight="1">
      <c r="A223" s="121"/>
      <c r="B223" s="121"/>
      <c r="C223" s="121"/>
      <c r="D223" s="121"/>
      <c r="E223" s="121"/>
    </row>
    <row r="224" ht="15.75" customHeight="1">
      <c r="A224" s="121"/>
      <c r="B224" s="121"/>
      <c r="C224" s="121"/>
      <c r="D224" s="121"/>
      <c r="E224" s="121"/>
    </row>
    <row r="225" ht="15.75" customHeight="1">
      <c r="A225" s="121"/>
      <c r="B225" s="121"/>
      <c r="C225" s="121"/>
      <c r="D225" s="121"/>
      <c r="E225" s="121"/>
    </row>
    <row r="226" ht="15.75" customHeight="1">
      <c r="A226" s="121"/>
      <c r="B226" s="121"/>
      <c r="C226" s="121"/>
      <c r="D226" s="121"/>
      <c r="E226" s="121"/>
    </row>
    <row r="227" ht="15.75" customHeight="1">
      <c r="A227" s="121"/>
      <c r="B227" s="121"/>
      <c r="C227" s="121"/>
      <c r="D227" s="121"/>
      <c r="E227" s="121"/>
    </row>
    <row r="228" ht="15.75" customHeight="1">
      <c r="A228" s="121"/>
      <c r="B228" s="121"/>
      <c r="C228" s="121"/>
      <c r="D228" s="121"/>
      <c r="E228" s="121"/>
    </row>
    <row r="229" ht="15.75" customHeight="1">
      <c r="A229" s="121"/>
      <c r="B229" s="121"/>
      <c r="C229" s="121"/>
      <c r="D229" s="121"/>
      <c r="E229" s="121"/>
    </row>
    <row r="230" ht="15.75" customHeight="1">
      <c r="A230" s="121"/>
      <c r="B230" s="121"/>
      <c r="C230" s="121"/>
      <c r="D230" s="121"/>
      <c r="E230" s="121"/>
    </row>
    <row r="231" ht="15.75" customHeight="1">
      <c r="A231" s="121"/>
      <c r="B231" s="121"/>
      <c r="C231" s="121"/>
      <c r="D231" s="121"/>
      <c r="E231" s="121"/>
    </row>
    <row r="232" ht="15.75" customHeight="1">
      <c r="A232" s="121"/>
      <c r="B232" s="121"/>
      <c r="C232" s="121"/>
      <c r="D232" s="121"/>
      <c r="E232" s="121"/>
    </row>
    <row r="233" ht="15.75" customHeight="1">
      <c r="A233" s="121"/>
      <c r="B233" s="121"/>
      <c r="C233" s="121"/>
      <c r="D233" s="121"/>
      <c r="E233" s="121"/>
    </row>
    <row r="234" ht="15.75" customHeight="1">
      <c r="A234" s="121"/>
      <c r="B234" s="121"/>
      <c r="C234" s="121"/>
      <c r="D234" s="121"/>
      <c r="E234" s="121"/>
    </row>
    <row r="235" ht="15.75" customHeight="1">
      <c r="A235" s="121"/>
      <c r="B235" s="121"/>
      <c r="C235" s="121"/>
      <c r="D235" s="121"/>
      <c r="E235" s="121"/>
    </row>
    <row r="236" ht="15.75" customHeight="1">
      <c r="A236" s="121"/>
      <c r="B236" s="121"/>
      <c r="C236" s="121"/>
      <c r="D236" s="121"/>
      <c r="E236" s="121"/>
    </row>
    <row r="237" ht="15.75" customHeight="1">
      <c r="A237" s="121"/>
      <c r="B237" s="121"/>
      <c r="C237" s="121"/>
      <c r="D237" s="121"/>
      <c r="E237" s="121"/>
    </row>
    <row r="238" ht="15.75" customHeight="1">
      <c r="A238" s="121"/>
      <c r="B238" s="121"/>
      <c r="C238" s="121"/>
      <c r="D238" s="121"/>
      <c r="E238" s="121"/>
    </row>
    <row r="239" ht="15.75" customHeight="1">
      <c r="A239" s="121"/>
      <c r="B239" s="121"/>
      <c r="C239" s="121"/>
      <c r="D239" s="121"/>
      <c r="E239" s="121"/>
    </row>
    <row r="240" ht="15.75" customHeight="1">
      <c r="A240" s="121"/>
      <c r="B240" s="121"/>
      <c r="C240" s="121"/>
      <c r="D240" s="121"/>
      <c r="E240" s="121"/>
    </row>
    <row r="241" ht="15.75" customHeight="1">
      <c r="A241" s="121"/>
      <c r="B241" s="121"/>
      <c r="C241" s="121"/>
      <c r="D241" s="121"/>
      <c r="E241" s="121"/>
    </row>
    <row r="242" ht="15.75" customHeight="1">
      <c r="A242" s="121"/>
      <c r="B242" s="121"/>
      <c r="C242" s="121"/>
      <c r="D242" s="121"/>
      <c r="E242" s="121"/>
    </row>
    <row r="243" ht="15.75" customHeight="1">
      <c r="A243" s="121"/>
      <c r="B243" s="121"/>
      <c r="C243" s="121"/>
      <c r="D243" s="121"/>
      <c r="E243" s="121"/>
    </row>
    <row r="244" ht="15.75" customHeight="1">
      <c r="A244" s="121"/>
      <c r="B244" s="121"/>
      <c r="C244" s="121"/>
      <c r="D244" s="121"/>
      <c r="E244" s="121"/>
    </row>
    <row r="245" ht="15.75" customHeight="1">
      <c r="A245" s="121"/>
      <c r="B245" s="121"/>
      <c r="C245" s="121"/>
      <c r="D245" s="121"/>
      <c r="E245" s="121"/>
    </row>
    <row r="246" ht="15.75" customHeight="1">
      <c r="A246" s="121"/>
      <c r="B246" s="121"/>
      <c r="C246" s="121"/>
      <c r="D246" s="121"/>
      <c r="E246" s="121"/>
    </row>
    <row r="247" ht="15.75" customHeight="1">
      <c r="A247" s="121"/>
      <c r="B247" s="121"/>
      <c r="C247" s="121"/>
      <c r="D247" s="121"/>
      <c r="E247" s="121"/>
    </row>
    <row r="248" ht="15.75" customHeight="1">
      <c r="A248" s="121"/>
      <c r="B248" s="121"/>
      <c r="C248" s="121"/>
      <c r="D248" s="121"/>
      <c r="E248" s="121"/>
    </row>
    <row r="249" ht="15.75" customHeight="1">
      <c r="A249" s="121"/>
      <c r="B249" s="121"/>
      <c r="C249" s="121"/>
      <c r="D249" s="121"/>
      <c r="E249" s="121"/>
    </row>
    <row r="250" ht="15.75" customHeight="1">
      <c r="A250" s="121"/>
      <c r="B250" s="121"/>
      <c r="C250" s="121"/>
      <c r="D250" s="121"/>
      <c r="E250" s="121"/>
    </row>
    <row r="251" ht="15.75" customHeight="1">
      <c r="A251" s="121"/>
      <c r="B251" s="121"/>
      <c r="C251" s="121"/>
      <c r="D251" s="121"/>
      <c r="E251" s="121"/>
    </row>
    <row r="252" ht="15.75" customHeight="1">
      <c r="A252" s="121"/>
      <c r="B252" s="121"/>
      <c r="C252" s="121"/>
      <c r="D252" s="121"/>
      <c r="E252" s="121"/>
    </row>
    <row r="253" ht="15.75" customHeight="1">
      <c r="A253" s="121"/>
      <c r="B253" s="121"/>
      <c r="C253" s="121"/>
      <c r="D253" s="121"/>
      <c r="E253" s="121"/>
    </row>
    <row r="254" ht="15.75" customHeight="1">
      <c r="A254" s="121"/>
      <c r="B254" s="121"/>
      <c r="C254" s="121"/>
      <c r="D254" s="121"/>
      <c r="E254" s="121"/>
    </row>
    <row r="255" ht="15.75" customHeight="1">
      <c r="A255" s="121"/>
      <c r="B255" s="121"/>
      <c r="C255" s="121"/>
      <c r="D255" s="121"/>
      <c r="E255" s="121"/>
    </row>
    <row r="256" ht="15.75" customHeight="1">
      <c r="A256" s="121"/>
      <c r="B256" s="121"/>
      <c r="C256" s="121"/>
      <c r="D256" s="121"/>
      <c r="E256" s="121"/>
    </row>
    <row r="257" ht="15.75" customHeight="1">
      <c r="A257" s="121"/>
      <c r="B257" s="121"/>
      <c r="C257" s="121"/>
      <c r="D257" s="121"/>
      <c r="E257" s="121"/>
    </row>
    <row r="258" ht="15.75" customHeight="1">
      <c r="A258" s="121"/>
      <c r="B258" s="121"/>
      <c r="C258" s="121"/>
      <c r="D258" s="121"/>
      <c r="E258" s="121"/>
    </row>
    <row r="259" ht="15.75" customHeight="1">
      <c r="A259" s="121"/>
      <c r="B259" s="121"/>
      <c r="C259" s="121"/>
      <c r="D259" s="121"/>
      <c r="E259" s="121"/>
    </row>
    <row r="260" ht="15.75" customHeight="1">
      <c r="A260" s="121"/>
      <c r="B260" s="121"/>
      <c r="C260" s="121"/>
      <c r="D260" s="121"/>
      <c r="E260" s="121"/>
    </row>
    <row r="261" ht="15.75" customHeight="1">
      <c r="A261" s="121"/>
      <c r="B261" s="121"/>
      <c r="C261" s="121"/>
      <c r="D261" s="121"/>
      <c r="E261" s="121"/>
    </row>
    <row r="262" ht="15.75" customHeight="1">
      <c r="A262" s="121"/>
      <c r="B262" s="121"/>
      <c r="C262" s="121"/>
      <c r="D262" s="121"/>
      <c r="E262" s="121"/>
    </row>
    <row r="263" ht="15.75" customHeight="1">
      <c r="A263" s="121"/>
      <c r="B263" s="121"/>
      <c r="C263" s="121"/>
      <c r="D263" s="121"/>
      <c r="E263" s="121"/>
    </row>
    <row r="264" ht="15.75" customHeight="1">
      <c r="A264" s="121"/>
      <c r="B264" s="121"/>
      <c r="C264" s="121"/>
      <c r="D264" s="121"/>
      <c r="E264" s="121"/>
    </row>
    <row r="265" ht="15.75" customHeight="1">
      <c r="A265" s="121"/>
      <c r="B265" s="121"/>
      <c r="C265" s="121"/>
      <c r="D265" s="121"/>
      <c r="E265" s="121"/>
    </row>
    <row r="266" ht="15.75" customHeight="1">
      <c r="A266" s="121"/>
      <c r="B266" s="121"/>
      <c r="C266" s="121"/>
      <c r="D266" s="121"/>
      <c r="E266" s="121"/>
    </row>
    <row r="267" ht="15.75" customHeight="1">
      <c r="A267" s="121"/>
      <c r="B267" s="121"/>
      <c r="C267" s="121"/>
      <c r="D267" s="121"/>
      <c r="E267" s="121"/>
    </row>
    <row r="268" ht="15.75" customHeight="1">
      <c r="A268" s="121"/>
      <c r="B268" s="121"/>
      <c r="C268" s="121"/>
      <c r="D268" s="121"/>
      <c r="E268" s="121"/>
    </row>
    <row r="269" ht="15.75" customHeight="1">
      <c r="A269" s="121"/>
      <c r="B269" s="121"/>
      <c r="C269" s="121"/>
      <c r="D269" s="121"/>
      <c r="E269" s="121"/>
    </row>
    <row r="270" ht="15.75" customHeight="1">
      <c r="A270" s="121"/>
      <c r="B270" s="121"/>
      <c r="C270" s="121"/>
      <c r="D270" s="121"/>
      <c r="E270" s="121"/>
    </row>
    <row r="271" ht="15.75" customHeight="1">
      <c r="A271" s="121"/>
      <c r="B271" s="121"/>
      <c r="C271" s="121"/>
      <c r="D271" s="121"/>
      <c r="E271" s="121"/>
    </row>
    <row r="272" ht="15.75" customHeight="1">
      <c r="A272" s="121"/>
      <c r="B272" s="121"/>
      <c r="C272" s="121"/>
      <c r="D272" s="121"/>
      <c r="E272" s="121"/>
    </row>
    <row r="273" ht="15.75" customHeight="1">
      <c r="A273" s="121"/>
      <c r="B273" s="121"/>
      <c r="C273" s="121"/>
      <c r="D273" s="121"/>
      <c r="E273" s="121"/>
    </row>
    <row r="274" ht="15.75" customHeight="1">
      <c r="A274" s="121"/>
      <c r="B274" s="121"/>
      <c r="C274" s="121"/>
      <c r="D274" s="121"/>
      <c r="E274" s="121"/>
    </row>
    <row r="275" ht="15.75" customHeight="1">
      <c r="A275" s="121"/>
      <c r="B275" s="121"/>
      <c r="C275" s="121"/>
      <c r="D275" s="121"/>
      <c r="E275" s="121"/>
    </row>
    <row r="276" ht="15.75" customHeight="1">
      <c r="A276" s="121"/>
      <c r="B276" s="121"/>
      <c r="C276" s="121"/>
      <c r="D276" s="121"/>
      <c r="E276" s="121"/>
    </row>
    <row r="277" ht="15.75" customHeight="1">
      <c r="A277" s="121"/>
      <c r="B277" s="121"/>
      <c r="C277" s="121"/>
      <c r="D277" s="121"/>
      <c r="E277" s="121"/>
    </row>
    <row r="278" ht="15.75" customHeight="1">
      <c r="A278" s="121"/>
      <c r="B278" s="121"/>
      <c r="C278" s="121"/>
      <c r="D278" s="121"/>
      <c r="E278" s="121"/>
    </row>
    <row r="279" ht="15.75" customHeight="1">
      <c r="A279" s="121"/>
      <c r="B279" s="121"/>
      <c r="C279" s="121"/>
      <c r="D279" s="121"/>
      <c r="E279" s="121"/>
    </row>
    <row r="280" ht="15.75" customHeight="1">
      <c r="A280" s="121"/>
      <c r="B280" s="121"/>
      <c r="C280" s="121"/>
      <c r="D280" s="121"/>
      <c r="E280" s="121"/>
    </row>
    <row r="281" ht="15.75" customHeight="1">
      <c r="A281" s="121"/>
      <c r="B281" s="121"/>
      <c r="C281" s="121"/>
      <c r="D281" s="121"/>
      <c r="E281" s="121"/>
    </row>
    <row r="282" ht="15.75" customHeight="1">
      <c r="A282" s="121"/>
      <c r="B282" s="121"/>
      <c r="C282" s="121"/>
      <c r="D282" s="121"/>
      <c r="E282" s="121"/>
    </row>
    <row r="283" ht="15.75" customHeight="1">
      <c r="A283" s="121"/>
      <c r="B283" s="121"/>
      <c r="C283" s="121"/>
      <c r="D283" s="121"/>
      <c r="E283" s="121"/>
    </row>
    <row r="284" ht="15.75" customHeight="1">
      <c r="A284" s="121"/>
      <c r="B284" s="121"/>
      <c r="C284" s="121"/>
      <c r="D284" s="121"/>
      <c r="E284" s="121"/>
    </row>
    <row r="285" ht="15.75" customHeight="1">
      <c r="A285" s="121"/>
      <c r="B285" s="121"/>
      <c r="C285" s="121"/>
      <c r="D285" s="121"/>
      <c r="E285" s="121"/>
    </row>
    <row r="286" ht="15.75" customHeight="1">
      <c r="A286" s="121"/>
      <c r="B286" s="121"/>
      <c r="C286" s="121"/>
      <c r="D286" s="121"/>
      <c r="E286" s="121"/>
    </row>
    <row r="287" ht="15.75" customHeight="1">
      <c r="A287" s="121"/>
      <c r="B287" s="121"/>
      <c r="C287" s="121"/>
      <c r="D287" s="121"/>
      <c r="E287" s="121"/>
    </row>
    <row r="288" ht="15.75" customHeight="1">
      <c r="A288" s="121"/>
      <c r="B288" s="121"/>
      <c r="C288" s="121"/>
      <c r="D288" s="121"/>
      <c r="E288" s="121"/>
    </row>
    <row r="289" ht="15.75" customHeight="1">
      <c r="A289" s="121"/>
      <c r="B289" s="121"/>
      <c r="C289" s="121"/>
      <c r="D289" s="121"/>
      <c r="E289" s="121"/>
    </row>
    <row r="290" ht="15.75" customHeight="1">
      <c r="A290" s="121"/>
      <c r="B290" s="121"/>
      <c r="C290" s="121"/>
      <c r="D290" s="121"/>
      <c r="E290" s="121"/>
    </row>
    <row r="291" ht="15.75" customHeight="1">
      <c r="A291" s="121"/>
      <c r="B291" s="121"/>
      <c r="C291" s="121"/>
      <c r="D291" s="121"/>
      <c r="E291" s="121"/>
    </row>
    <row r="292" ht="15.75" customHeight="1">
      <c r="A292" s="121"/>
      <c r="B292" s="121"/>
      <c r="C292" s="121"/>
      <c r="D292" s="121"/>
      <c r="E292" s="121"/>
    </row>
    <row r="293" ht="15.75" customHeight="1">
      <c r="A293" s="121"/>
      <c r="B293" s="121"/>
      <c r="C293" s="121"/>
      <c r="D293" s="121"/>
      <c r="E293" s="121"/>
    </row>
    <row r="294" ht="15.75" customHeight="1">
      <c r="A294" s="121"/>
      <c r="B294" s="121"/>
      <c r="C294" s="121"/>
      <c r="D294" s="121"/>
      <c r="E294" s="121"/>
    </row>
    <row r="295" ht="15.75" customHeight="1">
      <c r="A295" s="121"/>
      <c r="B295" s="121"/>
      <c r="C295" s="121"/>
      <c r="D295" s="121"/>
      <c r="E295" s="121"/>
    </row>
    <row r="296" ht="15.75" customHeight="1">
      <c r="A296" s="121"/>
      <c r="B296" s="121"/>
      <c r="C296" s="121"/>
      <c r="D296" s="121"/>
      <c r="E296" s="121"/>
    </row>
    <row r="297" ht="15.75" customHeight="1">
      <c r="A297" s="121"/>
      <c r="B297" s="121"/>
      <c r="C297" s="121"/>
      <c r="D297" s="121"/>
      <c r="E297" s="121"/>
    </row>
    <row r="298" ht="15.75" customHeight="1">
      <c r="A298" s="121"/>
      <c r="B298" s="121"/>
      <c r="C298" s="121"/>
      <c r="D298" s="121"/>
      <c r="E298" s="121"/>
    </row>
    <row r="299" ht="15.75" customHeight="1">
      <c r="A299" s="121"/>
      <c r="B299" s="121"/>
      <c r="C299" s="121"/>
      <c r="D299" s="121"/>
      <c r="E299" s="121"/>
    </row>
    <row r="300" ht="15.75" customHeight="1">
      <c r="A300" s="121"/>
      <c r="B300" s="121"/>
      <c r="C300" s="121"/>
      <c r="D300" s="121"/>
      <c r="E300" s="121"/>
    </row>
    <row r="301" ht="15.75" customHeight="1">
      <c r="A301" s="121"/>
      <c r="B301" s="121"/>
      <c r="C301" s="121"/>
      <c r="D301" s="121"/>
      <c r="E301" s="121"/>
    </row>
    <row r="302" ht="15.75" customHeight="1">
      <c r="A302" s="121"/>
      <c r="B302" s="121"/>
      <c r="C302" s="121"/>
      <c r="D302" s="121"/>
      <c r="E302" s="121"/>
    </row>
    <row r="303" ht="15.75" customHeight="1">
      <c r="A303" s="121"/>
      <c r="B303" s="121"/>
      <c r="C303" s="121"/>
      <c r="D303" s="121"/>
      <c r="E303" s="121"/>
    </row>
    <row r="304" ht="15.75" customHeight="1">
      <c r="A304" s="121"/>
      <c r="B304" s="121"/>
      <c r="C304" s="121"/>
      <c r="D304" s="121"/>
      <c r="E304" s="121"/>
    </row>
    <row r="305" ht="15.75" customHeight="1">
      <c r="A305" s="121"/>
      <c r="B305" s="121"/>
      <c r="C305" s="121"/>
      <c r="D305" s="121"/>
      <c r="E305" s="121"/>
    </row>
    <row r="306" ht="15.75" customHeight="1">
      <c r="A306" s="121"/>
      <c r="B306" s="121"/>
      <c r="C306" s="121"/>
      <c r="D306" s="121"/>
      <c r="E306" s="121"/>
    </row>
    <row r="307" ht="15.75" customHeight="1">
      <c r="A307" s="121"/>
      <c r="B307" s="121"/>
      <c r="C307" s="121"/>
      <c r="D307" s="121"/>
      <c r="E307" s="121"/>
    </row>
    <row r="308" ht="15.75" customHeight="1">
      <c r="A308" s="121"/>
      <c r="B308" s="121"/>
      <c r="C308" s="121"/>
      <c r="D308" s="121"/>
      <c r="E308" s="121"/>
    </row>
    <row r="309" ht="15.75" customHeight="1">
      <c r="A309" s="121"/>
      <c r="B309" s="121"/>
      <c r="C309" s="121"/>
      <c r="D309" s="121"/>
      <c r="E309" s="121"/>
    </row>
    <row r="310" ht="15.75" customHeight="1">
      <c r="A310" s="121"/>
      <c r="B310" s="121"/>
      <c r="C310" s="121"/>
      <c r="D310" s="121"/>
      <c r="E310" s="121"/>
    </row>
    <row r="311" ht="15.75" customHeight="1">
      <c r="A311" s="121"/>
      <c r="B311" s="121"/>
      <c r="C311" s="121"/>
      <c r="D311" s="121"/>
      <c r="E311" s="121"/>
    </row>
    <row r="312" ht="15.75" customHeight="1">
      <c r="A312" s="121"/>
      <c r="B312" s="121"/>
      <c r="C312" s="121"/>
      <c r="D312" s="121"/>
      <c r="E312" s="121"/>
    </row>
    <row r="313" ht="15.75" customHeight="1">
      <c r="A313" s="121"/>
      <c r="B313" s="121"/>
      <c r="C313" s="121"/>
      <c r="D313" s="121"/>
      <c r="E313" s="121"/>
    </row>
    <row r="314" ht="15.75" customHeight="1">
      <c r="A314" s="121"/>
      <c r="B314" s="121"/>
      <c r="C314" s="121"/>
      <c r="D314" s="121"/>
      <c r="E314" s="121"/>
    </row>
    <row r="315" ht="15.75" customHeight="1">
      <c r="A315" s="121"/>
      <c r="B315" s="121"/>
      <c r="C315" s="121"/>
      <c r="D315" s="121"/>
      <c r="E315" s="121"/>
    </row>
    <row r="316" ht="15.75" customHeight="1">
      <c r="A316" s="121"/>
      <c r="B316" s="121"/>
      <c r="C316" s="121"/>
      <c r="D316" s="121"/>
      <c r="E316" s="121"/>
    </row>
    <row r="317" ht="15.75" customHeight="1">
      <c r="A317" s="121"/>
      <c r="B317" s="121"/>
      <c r="C317" s="121"/>
      <c r="D317" s="121"/>
      <c r="E317" s="121"/>
    </row>
    <row r="318" ht="15.75" customHeight="1">
      <c r="A318" s="121"/>
      <c r="B318" s="121"/>
      <c r="C318" s="121"/>
      <c r="D318" s="121"/>
      <c r="E318" s="121"/>
    </row>
    <row r="319" ht="15.75" customHeight="1">
      <c r="A319" s="121"/>
      <c r="B319" s="121"/>
      <c r="C319" s="121"/>
      <c r="D319" s="121"/>
      <c r="E319" s="121"/>
    </row>
    <row r="320" ht="15.75" customHeight="1">
      <c r="A320" s="121"/>
      <c r="B320" s="121"/>
      <c r="C320" s="121"/>
      <c r="D320" s="121"/>
      <c r="E320" s="121"/>
    </row>
    <row r="321" ht="15.75" customHeight="1">
      <c r="A321" s="121"/>
      <c r="B321" s="121"/>
      <c r="C321" s="121"/>
      <c r="D321" s="121"/>
      <c r="E321" s="121"/>
    </row>
    <row r="322" ht="15.75" customHeight="1">
      <c r="A322" s="121"/>
      <c r="B322" s="121"/>
      <c r="C322" s="121"/>
      <c r="D322" s="121"/>
      <c r="E322" s="121"/>
    </row>
    <row r="323" ht="15.75" customHeight="1">
      <c r="A323" s="121"/>
      <c r="B323" s="121"/>
      <c r="C323" s="121"/>
      <c r="D323" s="121"/>
      <c r="E323" s="121"/>
    </row>
    <row r="324" ht="15.75" customHeight="1">
      <c r="A324" s="121"/>
      <c r="B324" s="121"/>
      <c r="C324" s="121"/>
      <c r="D324" s="121"/>
      <c r="E324" s="121"/>
    </row>
    <row r="325" ht="15.75" customHeight="1">
      <c r="A325" s="121"/>
      <c r="B325" s="121"/>
      <c r="C325" s="121"/>
      <c r="D325" s="121"/>
      <c r="E325" s="121"/>
    </row>
    <row r="326" ht="15.75" customHeight="1">
      <c r="A326" s="121"/>
      <c r="B326" s="121"/>
      <c r="C326" s="121"/>
      <c r="D326" s="121"/>
      <c r="E326" s="121"/>
    </row>
    <row r="327" ht="15.75" customHeight="1">
      <c r="A327" s="121"/>
      <c r="B327" s="121"/>
      <c r="C327" s="121"/>
      <c r="D327" s="121"/>
      <c r="E327" s="121"/>
    </row>
    <row r="328" ht="15.75" customHeight="1">
      <c r="A328" s="121"/>
      <c r="B328" s="121"/>
      <c r="C328" s="121"/>
      <c r="D328" s="121"/>
      <c r="E328" s="121"/>
    </row>
    <row r="329" ht="15.75" customHeight="1">
      <c r="A329" s="121"/>
      <c r="B329" s="121"/>
      <c r="C329" s="121"/>
      <c r="D329" s="121"/>
      <c r="E329" s="121"/>
    </row>
    <row r="330" ht="15.75" customHeight="1">
      <c r="A330" s="121"/>
      <c r="B330" s="121"/>
      <c r="C330" s="121"/>
      <c r="D330" s="121"/>
      <c r="E330" s="121"/>
    </row>
    <row r="331" ht="15.75" customHeight="1">
      <c r="A331" s="121"/>
      <c r="B331" s="121"/>
      <c r="C331" s="121"/>
      <c r="D331" s="121"/>
      <c r="E331" s="121"/>
    </row>
    <row r="332" ht="15.75" customHeight="1">
      <c r="A332" s="121"/>
      <c r="B332" s="121"/>
      <c r="C332" s="121"/>
      <c r="D332" s="121"/>
      <c r="E332" s="121"/>
    </row>
    <row r="333" ht="15.75" customHeight="1">
      <c r="A333" s="121"/>
      <c r="B333" s="121"/>
      <c r="C333" s="121"/>
      <c r="D333" s="121"/>
      <c r="E333" s="121"/>
    </row>
    <row r="334" ht="15.75" customHeight="1">
      <c r="A334" s="121"/>
      <c r="B334" s="121"/>
      <c r="C334" s="121"/>
      <c r="D334" s="121"/>
      <c r="E334" s="121"/>
    </row>
    <row r="335" ht="15.75" customHeight="1">
      <c r="A335" s="121"/>
      <c r="B335" s="121"/>
      <c r="C335" s="121"/>
      <c r="D335" s="121"/>
      <c r="E335" s="121"/>
    </row>
    <row r="336" ht="15.75" customHeight="1">
      <c r="A336" s="121"/>
      <c r="B336" s="121"/>
      <c r="C336" s="121"/>
      <c r="D336" s="121"/>
      <c r="E336" s="121"/>
    </row>
    <row r="337" ht="15.75" customHeight="1">
      <c r="A337" s="121"/>
      <c r="B337" s="121"/>
      <c r="C337" s="121"/>
      <c r="D337" s="121"/>
      <c r="E337" s="121"/>
    </row>
    <row r="338" ht="15.75" customHeight="1">
      <c r="A338" s="121"/>
      <c r="B338" s="121"/>
      <c r="C338" s="121"/>
      <c r="D338" s="121"/>
      <c r="E338" s="121"/>
    </row>
    <row r="339" ht="15.75" customHeight="1">
      <c r="A339" s="121"/>
      <c r="B339" s="121"/>
      <c r="C339" s="121"/>
      <c r="D339" s="121"/>
      <c r="E339" s="121"/>
    </row>
    <row r="340" ht="15.75" customHeight="1">
      <c r="A340" s="121"/>
      <c r="B340" s="121"/>
      <c r="C340" s="121"/>
      <c r="D340" s="121"/>
      <c r="E340" s="121"/>
    </row>
    <row r="341" ht="15.75" customHeight="1">
      <c r="A341" s="121"/>
      <c r="B341" s="121"/>
      <c r="C341" s="121"/>
      <c r="D341" s="121"/>
      <c r="E341" s="121"/>
    </row>
    <row r="342" ht="15.75" customHeight="1">
      <c r="A342" s="121"/>
      <c r="B342" s="121"/>
      <c r="C342" s="121"/>
      <c r="D342" s="121"/>
      <c r="E342" s="121"/>
    </row>
    <row r="343" ht="15.75" customHeight="1">
      <c r="A343" s="121"/>
      <c r="B343" s="121"/>
      <c r="C343" s="121"/>
      <c r="D343" s="121"/>
      <c r="E343" s="121"/>
    </row>
    <row r="344" ht="15.75" customHeight="1">
      <c r="A344" s="121"/>
      <c r="B344" s="121"/>
      <c r="C344" s="121"/>
      <c r="D344" s="121"/>
      <c r="E344" s="121"/>
    </row>
    <row r="345" ht="15.75" customHeight="1">
      <c r="A345" s="121"/>
      <c r="B345" s="121"/>
      <c r="C345" s="121"/>
      <c r="D345" s="121"/>
      <c r="E345" s="121"/>
    </row>
    <row r="346" ht="15.75" customHeight="1">
      <c r="A346" s="121"/>
      <c r="B346" s="121"/>
      <c r="C346" s="121"/>
      <c r="D346" s="121"/>
      <c r="E346" s="121"/>
    </row>
    <row r="347" ht="15.75" customHeight="1">
      <c r="A347" s="121"/>
      <c r="B347" s="121"/>
      <c r="C347" s="121"/>
      <c r="D347" s="121"/>
      <c r="E347" s="121"/>
    </row>
    <row r="348" ht="15.75" customHeight="1">
      <c r="A348" s="121"/>
      <c r="B348" s="121"/>
      <c r="C348" s="121"/>
      <c r="D348" s="121"/>
      <c r="E348" s="121"/>
    </row>
    <row r="349" ht="15.75" customHeight="1">
      <c r="A349" s="121"/>
      <c r="B349" s="121"/>
      <c r="C349" s="121"/>
      <c r="D349" s="121"/>
      <c r="E349" s="121"/>
    </row>
    <row r="350" ht="15.75" customHeight="1">
      <c r="A350" s="121"/>
      <c r="B350" s="121"/>
      <c r="C350" s="121"/>
      <c r="D350" s="121"/>
      <c r="E350" s="121"/>
    </row>
    <row r="351" ht="15.75" customHeight="1">
      <c r="A351" s="121"/>
      <c r="B351" s="121"/>
      <c r="C351" s="121"/>
      <c r="D351" s="121"/>
      <c r="E351" s="121"/>
    </row>
    <row r="352" ht="15.75" customHeight="1">
      <c r="A352" s="121"/>
      <c r="B352" s="121"/>
      <c r="C352" s="121"/>
      <c r="D352" s="121"/>
      <c r="E352" s="121"/>
    </row>
    <row r="353" ht="15.75" customHeight="1">
      <c r="A353" s="121"/>
      <c r="B353" s="121"/>
      <c r="C353" s="121"/>
      <c r="D353" s="121"/>
      <c r="E353" s="121"/>
    </row>
    <row r="354" ht="15.75" customHeight="1">
      <c r="A354" s="121"/>
      <c r="B354" s="121"/>
      <c r="C354" s="121"/>
      <c r="D354" s="121"/>
      <c r="E354" s="121"/>
    </row>
    <row r="355" ht="15.75" customHeight="1">
      <c r="A355" s="121"/>
      <c r="B355" s="121"/>
      <c r="C355" s="121"/>
      <c r="D355" s="121"/>
      <c r="E355" s="121"/>
    </row>
    <row r="356" ht="15.75" customHeight="1">
      <c r="A356" s="121"/>
      <c r="B356" s="121"/>
      <c r="C356" s="121"/>
      <c r="D356" s="121"/>
      <c r="E356" s="121"/>
    </row>
    <row r="357" ht="15.75" customHeight="1">
      <c r="A357" s="121"/>
      <c r="B357" s="121"/>
      <c r="C357" s="121"/>
      <c r="D357" s="121"/>
      <c r="E357" s="121"/>
    </row>
    <row r="358" ht="15.75" customHeight="1">
      <c r="A358" s="121"/>
      <c r="B358" s="121"/>
      <c r="C358" s="121"/>
      <c r="D358" s="121"/>
      <c r="E358" s="121"/>
    </row>
    <row r="359" ht="15.75" customHeight="1">
      <c r="A359" s="121"/>
      <c r="B359" s="121"/>
      <c r="C359" s="121"/>
      <c r="D359" s="121"/>
      <c r="E359" s="121"/>
    </row>
    <row r="360" ht="15.75" customHeight="1">
      <c r="A360" s="121"/>
      <c r="B360" s="121"/>
      <c r="C360" s="121"/>
      <c r="D360" s="121"/>
      <c r="E360" s="121"/>
    </row>
    <row r="361" ht="15.75" customHeight="1">
      <c r="A361" s="121"/>
      <c r="B361" s="121"/>
      <c r="C361" s="121"/>
      <c r="D361" s="121"/>
      <c r="E361" s="121"/>
    </row>
    <row r="362" ht="15.75" customHeight="1">
      <c r="A362" s="121"/>
      <c r="B362" s="121"/>
      <c r="C362" s="121"/>
      <c r="D362" s="121"/>
      <c r="E362" s="121"/>
    </row>
    <row r="363" ht="15.75" customHeight="1">
      <c r="A363" s="121"/>
      <c r="B363" s="121"/>
      <c r="C363" s="121"/>
      <c r="D363" s="121"/>
      <c r="E363" s="121"/>
    </row>
    <row r="364" ht="15.75" customHeight="1">
      <c r="A364" s="121"/>
      <c r="B364" s="121"/>
      <c r="C364" s="121"/>
      <c r="D364" s="121"/>
      <c r="E364" s="121"/>
    </row>
    <row r="365" ht="15.75" customHeight="1">
      <c r="A365" s="121"/>
      <c r="B365" s="121"/>
      <c r="C365" s="121"/>
      <c r="D365" s="121"/>
      <c r="E365" s="121"/>
    </row>
    <row r="366" ht="15.75" customHeight="1">
      <c r="A366" s="121"/>
      <c r="B366" s="121"/>
      <c r="C366" s="121"/>
      <c r="D366" s="121"/>
      <c r="E366" s="121"/>
    </row>
    <row r="367" ht="15.75" customHeight="1">
      <c r="A367" s="121"/>
      <c r="B367" s="121"/>
      <c r="C367" s="121"/>
      <c r="D367" s="121"/>
      <c r="E367" s="121"/>
    </row>
    <row r="368" ht="15.75" customHeight="1">
      <c r="A368" s="121"/>
      <c r="B368" s="121"/>
      <c r="C368" s="121"/>
      <c r="D368" s="121"/>
      <c r="E368" s="121"/>
    </row>
    <row r="369" ht="15.75" customHeight="1">
      <c r="A369" s="121"/>
      <c r="B369" s="121"/>
      <c r="C369" s="121"/>
      <c r="D369" s="121"/>
      <c r="E369" s="121"/>
    </row>
    <row r="370" ht="15.75" customHeight="1">
      <c r="A370" s="121"/>
      <c r="B370" s="121"/>
      <c r="C370" s="121"/>
      <c r="D370" s="121"/>
      <c r="E370" s="121"/>
    </row>
    <row r="371" ht="15.75" customHeight="1">
      <c r="A371" s="121"/>
      <c r="B371" s="121"/>
      <c r="C371" s="121"/>
      <c r="D371" s="121"/>
      <c r="E371" s="121"/>
    </row>
    <row r="372" ht="15.75" customHeight="1">
      <c r="A372" s="121"/>
      <c r="B372" s="121"/>
      <c r="C372" s="121"/>
      <c r="D372" s="121"/>
      <c r="E372" s="121"/>
    </row>
    <row r="373" ht="15.75" customHeight="1">
      <c r="A373" s="121"/>
      <c r="B373" s="121"/>
      <c r="C373" s="121"/>
      <c r="D373" s="121"/>
      <c r="E373" s="121"/>
    </row>
    <row r="374" ht="15.75" customHeight="1">
      <c r="A374" s="121"/>
      <c r="B374" s="121"/>
      <c r="C374" s="121"/>
      <c r="D374" s="121"/>
      <c r="E374" s="121"/>
    </row>
    <row r="375" ht="15.75" customHeight="1">
      <c r="A375" s="121"/>
      <c r="B375" s="121"/>
      <c r="C375" s="121"/>
      <c r="D375" s="121"/>
      <c r="E375" s="121"/>
    </row>
    <row r="376" ht="15.75" customHeight="1">
      <c r="A376" s="121"/>
      <c r="B376" s="121"/>
      <c r="C376" s="121"/>
      <c r="D376" s="121"/>
      <c r="E376" s="121"/>
    </row>
    <row r="377" ht="15.75" customHeight="1">
      <c r="A377" s="121"/>
      <c r="B377" s="121"/>
      <c r="C377" s="121"/>
      <c r="D377" s="121"/>
      <c r="E377" s="121"/>
    </row>
    <row r="378" ht="15.75" customHeight="1">
      <c r="A378" s="121"/>
      <c r="B378" s="121"/>
      <c r="C378" s="121"/>
      <c r="D378" s="121"/>
      <c r="E378" s="121"/>
    </row>
    <row r="379" ht="15.75" customHeight="1">
      <c r="A379" s="121"/>
      <c r="B379" s="121"/>
      <c r="C379" s="121"/>
      <c r="D379" s="121"/>
      <c r="E379" s="121"/>
    </row>
    <row r="380" ht="15.75" customHeight="1">
      <c r="A380" s="121"/>
      <c r="B380" s="121"/>
      <c r="C380" s="121"/>
      <c r="D380" s="121"/>
      <c r="E380" s="121"/>
    </row>
    <row r="381" ht="15.75" customHeight="1">
      <c r="A381" s="121"/>
      <c r="B381" s="121"/>
      <c r="C381" s="121"/>
      <c r="D381" s="121"/>
      <c r="E381" s="121"/>
    </row>
    <row r="382" ht="15.75" customHeight="1">
      <c r="A382" s="121"/>
      <c r="B382" s="121"/>
      <c r="C382" s="121"/>
      <c r="D382" s="121"/>
      <c r="E382" s="121"/>
    </row>
    <row r="383" ht="15.75" customHeight="1">
      <c r="A383" s="121"/>
      <c r="B383" s="121"/>
      <c r="C383" s="121"/>
      <c r="D383" s="121"/>
      <c r="E383" s="121"/>
    </row>
    <row r="384" ht="15.75" customHeight="1">
      <c r="A384" s="121"/>
      <c r="B384" s="121"/>
      <c r="C384" s="121"/>
      <c r="D384" s="121"/>
      <c r="E384" s="121"/>
    </row>
    <row r="385" ht="15.75" customHeight="1">
      <c r="A385" s="121"/>
      <c r="B385" s="121"/>
      <c r="C385" s="121"/>
      <c r="D385" s="121"/>
      <c r="E385" s="121"/>
    </row>
    <row r="386" ht="15.75" customHeight="1">
      <c r="A386" s="121"/>
      <c r="B386" s="121"/>
      <c r="C386" s="121"/>
      <c r="D386" s="121"/>
      <c r="E386" s="121"/>
    </row>
    <row r="387" ht="15.75" customHeight="1">
      <c r="A387" s="121"/>
      <c r="B387" s="121"/>
      <c r="C387" s="121"/>
      <c r="D387" s="121"/>
      <c r="E387" s="121"/>
    </row>
    <row r="388" ht="15.75" customHeight="1">
      <c r="A388" s="121"/>
      <c r="B388" s="121"/>
      <c r="C388" s="121"/>
      <c r="D388" s="121"/>
      <c r="E388" s="121"/>
    </row>
    <row r="389" ht="15.75" customHeight="1">
      <c r="A389" s="121"/>
      <c r="B389" s="121"/>
      <c r="C389" s="121"/>
      <c r="D389" s="121"/>
      <c r="E389" s="121"/>
    </row>
    <row r="390" ht="15.75" customHeight="1">
      <c r="A390" s="121"/>
      <c r="B390" s="121"/>
      <c r="C390" s="121"/>
      <c r="D390" s="121"/>
      <c r="E390" s="121"/>
    </row>
    <row r="391" ht="15.75" customHeight="1">
      <c r="A391" s="121"/>
      <c r="B391" s="121"/>
      <c r="C391" s="121"/>
      <c r="D391" s="121"/>
      <c r="E391" s="121"/>
    </row>
    <row r="392" ht="15.75" customHeight="1">
      <c r="A392" s="121"/>
      <c r="B392" s="121"/>
      <c r="C392" s="121"/>
      <c r="D392" s="121"/>
      <c r="E392" s="121"/>
    </row>
    <row r="393" ht="15.75" customHeight="1">
      <c r="A393" s="121"/>
      <c r="B393" s="121"/>
      <c r="C393" s="121"/>
      <c r="D393" s="121"/>
      <c r="E393" s="121"/>
    </row>
    <row r="394" ht="15.75" customHeight="1">
      <c r="A394" s="121"/>
      <c r="B394" s="121"/>
      <c r="C394" s="121"/>
      <c r="D394" s="121"/>
      <c r="E394" s="121"/>
    </row>
    <row r="395" ht="15.75" customHeight="1">
      <c r="A395" s="121"/>
      <c r="B395" s="121"/>
      <c r="C395" s="121"/>
      <c r="D395" s="121"/>
      <c r="E395" s="121"/>
    </row>
    <row r="396" ht="15.75" customHeight="1">
      <c r="A396" s="121"/>
      <c r="B396" s="121"/>
      <c r="C396" s="121"/>
      <c r="D396" s="121"/>
      <c r="E396" s="121"/>
    </row>
    <row r="397" ht="15.75" customHeight="1">
      <c r="A397" s="121"/>
      <c r="B397" s="121"/>
      <c r="C397" s="121"/>
      <c r="D397" s="121"/>
      <c r="E397" s="121"/>
    </row>
    <row r="398" ht="15.75" customHeight="1">
      <c r="A398" s="121"/>
      <c r="B398" s="121"/>
      <c r="C398" s="121"/>
      <c r="D398" s="121"/>
      <c r="E398" s="121"/>
    </row>
    <row r="399" ht="15.75" customHeight="1">
      <c r="A399" s="121"/>
      <c r="B399" s="121"/>
      <c r="C399" s="121"/>
      <c r="D399" s="121"/>
      <c r="E399" s="121"/>
    </row>
    <row r="400" ht="15.75" customHeight="1">
      <c r="A400" s="121"/>
      <c r="B400" s="121"/>
      <c r="C400" s="121"/>
      <c r="D400" s="121"/>
      <c r="E400" s="121"/>
    </row>
    <row r="401" ht="15.75" customHeight="1">
      <c r="A401" s="121"/>
      <c r="B401" s="121"/>
      <c r="C401" s="121"/>
      <c r="D401" s="121"/>
      <c r="E401" s="121"/>
    </row>
    <row r="402" ht="15.75" customHeight="1">
      <c r="A402" s="121"/>
      <c r="B402" s="121"/>
      <c r="C402" s="121"/>
      <c r="D402" s="121"/>
      <c r="E402" s="121"/>
    </row>
    <row r="403" ht="15.75" customHeight="1">
      <c r="A403" s="121"/>
      <c r="B403" s="121"/>
      <c r="C403" s="121"/>
      <c r="D403" s="121"/>
      <c r="E403" s="121"/>
    </row>
    <row r="404" ht="15.75" customHeight="1">
      <c r="A404" s="121"/>
      <c r="B404" s="121"/>
      <c r="C404" s="121"/>
      <c r="D404" s="121"/>
      <c r="E404" s="121"/>
    </row>
    <row r="405" ht="15.75" customHeight="1">
      <c r="A405" s="121"/>
      <c r="B405" s="121"/>
      <c r="C405" s="121"/>
      <c r="D405" s="121"/>
      <c r="E405" s="121"/>
    </row>
    <row r="406" ht="15.75" customHeight="1">
      <c r="A406" s="121"/>
      <c r="B406" s="121"/>
      <c r="C406" s="121"/>
      <c r="D406" s="121"/>
      <c r="E406" s="121"/>
    </row>
    <row r="407" ht="15.75" customHeight="1">
      <c r="A407" s="121"/>
      <c r="B407" s="121"/>
      <c r="C407" s="121"/>
      <c r="D407" s="121"/>
      <c r="E407" s="121"/>
    </row>
    <row r="408" ht="15.75" customHeight="1">
      <c r="A408" s="121"/>
      <c r="B408" s="121"/>
      <c r="C408" s="121"/>
      <c r="D408" s="121"/>
      <c r="E408" s="121"/>
    </row>
    <row r="409" ht="15.75" customHeight="1">
      <c r="A409" s="121"/>
      <c r="B409" s="121"/>
      <c r="C409" s="121"/>
      <c r="D409" s="121"/>
      <c r="E409" s="121"/>
    </row>
    <row r="410" ht="15.75" customHeight="1">
      <c r="A410" s="121"/>
      <c r="B410" s="121"/>
      <c r="C410" s="121"/>
      <c r="D410" s="121"/>
      <c r="E410" s="121"/>
    </row>
    <row r="411" ht="15.75" customHeight="1">
      <c r="A411" s="121"/>
      <c r="B411" s="121"/>
      <c r="C411" s="121"/>
      <c r="D411" s="121"/>
      <c r="E411" s="121"/>
    </row>
    <row r="412" ht="15.75" customHeight="1">
      <c r="A412" s="121"/>
      <c r="B412" s="121"/>
      <c r="C412" s="121"/>
      <c r="D412" s="121"/>
      <c r="E412" s="121"/>
    </row>
    <row r="413" ht="15.75" customHeight="1">
      <c r="A413" s="121"/>
      <c r="B413" s="121"/>
      <c r="C413" s="121"/>
      <c r="D413" s="121"/>
      <c r="E413" s="121"/>
    </row>
    <row r="414" ht="15.75" customHeight="1">
      <c r="A414" s="121"/>
      <c r="B414" s="121"/>
      <c r="C414" s="121"/>
      <c r="D414" s="121"/>
      <c r="E414" s="121"/>
    </row>
    <row r="415" ht="15.75" customHeight="1">
      <c r="A415" s="121"/>
      <c r="B415" s="121"/>
      <c r="C415" s="121"/>
      <c r="D415" s="121"/>
      <c r="E415" s="121"/>
    </row>
    <row r="416" ht="15.75" customHeight="1">
      <c r="A416" s="121"/>
      <c r="B416" s="121"/>
      <c r="C416" s="121"/>
      <c r="D416" s="121"/>
      <c r="E416" s="121"/>
    </row>
    <row r="417" ht="15.75" customHeight="1">
      <c r="A417" s="121"/>
      <c r="B417" s="121"/>
      <c r="C417" s="121"/>
      <c r="D417" s="121"/>
      <c r="E417" s="121"/>
    </row>
    <row r="418" ht="15.75" customHeight="1">
      <c r="A418" s="121"/>
      <c r="B418" s="121"/>
      <c r="C418" s="121"/>
      <c r="D418" s="121"/>
      <c r="E418" s="121"/>
    </row>
    <row r="419" ht="15.75" customHeight="1">
      <c r="A419" s="121"/>
      <c r="B419" s="121"/>
      <c r="C419" s="121"/>
      <c r="D419" s="121"/>
      <c r="E419" s="121"/>
    </row>
    <row r="420" ht="15.75" customHeight="1">
      <c r="A420" s="121"/>
      <c r="B420" s="121"/>
      <c r="C420" s="121"/>
      <c r="D420" s="121"/>
      <c r="E420" s="121"/>
    </row>
    <row r="421" ht="15.75" customHeight="1">
      <c r="A421" s="121"/>
      <c r="B421" s="121"/>
      <c r="C421" s="121"/>
      <c r="D421" s="121"/>
      <c r="E421" s="121"/>
    </row>
    <row r="422" ht="15.75" customHeight="1">
      <c r="A422" s="121"/>
      <c r="B422" s="121"/>
      <c r="C422" s="121"/>
      <c r="D422" s="121"/>
      <c r="E422" s="121"/>
    </row>
    <row r="423" ht="15.75" customHeight="1">
      <c r="A423" s="121"/>
      <c r="B423" s="121"/>
      <c r="C423" s="121"/>
      <c r="D423" s="121"/>
      <c r="E423" s="121"/>
    </row>
    <row r="424" ht="15.75" customHeight="1">
      <c r="A424" s="121"/>
      <c r="B424" s="121"/>
      <c r="C424" s="121"/>
      <c r="D424" s="121"/>
      <c r="E424" s="121"/>
    </row>
    <row r="425" ht="15.75" customHeight="1">
      <c r="A425" s="121"/>
      <c r="B425" s="121"/>
      <c r="C425" s="121"/>
      <c r="D425" s="121"/>
      <c r="E425" s="121"/>
    </row>
    <row r="426" ht="15.75" customHeight="1">
      <c r="A426" s="121"/>
      <c r="B426" s="121"/>
      <c r="C426" s="121"/>
      <c r="D426" s="121"/>
      <c r="E426" s="121"/>
    </row>
    <row r="427" ht="15.75" customHeight="1">
      <c r="A427" s="121"/>
      <c r="B427" s="121"/>
      <c r="C427" s="121"/>
      <c r="D427" s="121"/>
      <c r="E427" s="121"/>
    </row>
    <row r="428" ht="15.75" customHeight="1">
      <c r="A428" s="121"/>
      <c r="B428" s="121"/>
      <c r="C428" s="121"/>
      <c r="D428" s="121"/>
      <c r="E428" s="121"/>
    </row>
    <row r="429" ht="15.75" customHeight="1">
      <c r="A429" s="121"/>
      <c r="B429" s="121"/>
      <c r="C429" s="121"/>
      <c r="D429" s="121"/>
      <c r="E429" s="121"/>
    </row>
    <row r="430" ht="15.75" customHeight="1">
      <c r="A430" s="121"/>
      <c r="B430" s="121"/>
      <c r="C430" s="121"/>
      <c r="D430" s="121"/>
      <c r="E430" s="121"/>
    </row>
    <row r="431" ht="15.75" customHeight="1">
      <c r="A431" s="121"/>
      <c r="B431" s="121"/>
      <c r="C431" s="121"/>
      <c r="D431" s="121"/>
      <c r="E431" s="121"/>
    </row>
    <row r="432" ht="15.75" customHeight="1">
      <c r="A432" s="121"/>
      <c r="B432" s="121"/>
      <c r="C432" s="121"/>
      <c r="D432" s="121"/>
      <c r="E432" s="121"/>
    </row>
    <row r="433" ht="15.75" customHeight="1">
      <c r="A433" s="121"/>
      <c r="B433" s="121"/>
      <c r="C433" s="121"/>
      <c r="D433" s="121"/>
      <c r="E433" s="121"/>
    </row>
    <row r="434" ht="15.75" customHeight="1">
      <c r="A434" s="121"/>
      <c r="B434" s="121"/>
      <c r="C434" s="121"/>
      <c r="D434" s="121"/>
      <c r="E434" s="121"/>
    </row>
    <row r="435" ht="15.75" customHeight="1">
      <c r="A435" s="121"/>
      <c r="B435" s="121"/>
      <c r="C435" s="121"/>
      <c r="D435" s="121"/>
      <c r="E435" s="121"/>
    </row>
    <row r="436" ht="15.75" customHeight="1">
      <c r="A436" s="121"/>
      <c r="B436" s="121"/>
      <c r="C436" s="121"/>
      <c r="D436" s="121"/>
      <c r="E436" s="121"/>
    </row>
    <row r="437" ht="15.75" customHeight="1">
      <c r="A437" s="121"/>
      <c r="B437" s="121"/>
      <c r="C437" s="121"/>
      <c r="D437" s="121"/>
      <c r="E437" s="121"/>
    </row>
    <row r="438" ht="15.75" customHeight="1">
      <c r="A438" s="121"/>
      <c r="B438" s="121"/>
      <c r="C438" s="121"/>
      <c r="D438" s="121"/>
      <c r="E438" s="121"/>
    </row>
    <row r="439" ht="15.75" customHeight="1">
      <c r="A439" s="121"/>
      <c r="B439" s="121"/>
      <c r="C439" s="121"/>
      <c r="D439" s="121"/>
      <c r="E439" s="121"/>
    </row>
    <row r="440" ht="15.75" customHeight="1">
      <c r="A440" s="121"/>
      <c r="B440" s="121"/>
      <c r="C440" s="121"/>
      <c r="D440" s="121"/>
      <c r="E440" s="121"/>
    </row>
    <row r="441" ht="15.75" customHeight="1">
      <c r="A441" s="121"/>
      <c r="B441" s="121"/>
      <c r="C441" s="121"/>
      <c r="D441" s="121"/>
      <c r="E441" s="121"/>
    </row>
    <row r="442" ht="15.75" customHeight="1">
      <c r="A442" s="121"/>
      <c r="B442" s="121"/>
      <c r="C442" s="121"/>
      <c r="D442" s="121"/>
      <c r="E442" s="121"/>
    </row>
    <row r="443" ht="15.75" customHeight="1">
      <c r="A443" s="121"/>
      <c r="B443" s="121"/>
      <c r="C443" s="121"/>
      <c r="D443" s="121"/>
      <c r="E443" s="121"/>
    </row>
    <row r="444" ht="15.75" customHeight="1">
      <c r="A444" s="121"/>
      <c r="B444" s="121"/>
      <c r="C444" s="121"/>
      <c r="D444" s="121"/>
      <c r="E444" s="121"/>
    </row>
    <row r="445" ht="15.75" customHeight="1">
      <c r="A445" s="121"/>
      <c r="B445" s="121"/>
      <c r="C445" s="121"/>
      <c r="D445" s="121"/>
      <c r="E445" s="121"/>
    </row>
    <row r="446" ht="15.75" customHeight="1">
      <c r="A446" s="121"/>
      <c r="B446" s="121"/>
      <c r="C446" s="121"/>
      <c r="D446" s="121"/>
      <c r="E446" s="121"/>
    </row>
    <row r="447" ht="15.75" customHeight="1">
      <c r="A447" s="121"/>
      <c r="B447" s="121"/>
      <c r="C447" s="121"/>
      <c r="D447" s="121"/>
      <c r="E447" s="121"/>
    </row>
    <row r="448" ht="15.75" customHeight="1">
      <c r="A448" s="121"/>
      <c r="B448" s="121"/>
      <c r="C448" s="121"/>
      <c r="D448" s="121"/>
      <c r="E448" s="121"/>
    </row>
    <row r="449" ht="15.75" customHeight="1">
      <c r="A449" s="121"/>
      <c r="B449" s="121"/>
      <c r="C449" s="121"/>
      <c r="D449" s="121"/>
      <c r="E449" s="121"/>
    </row>
    <row r="450" ht="15.75" customHeight="1">
      <c r="A450" s="121"/>
      <c r="B450" s="121"/>
      <c r="C450" s="121"/>
      <c r="D450" s="121"/>
      <c r="E450" s="121"/>
    </row>
    <row r="451" ht="15.75" customHeight="1">
      <c r="A451" s="121"/>
      <c r="B451" s="121"/>
      <c r="C451" s="121"/>
      <c r="D451" s="121"/>
      <c r="E451" s="121"/>
    </row>
    <row r="452" ht="15.75" customHeight="1">
      <c r="A452" s="121"/>
      <c r="B452" s="121"/>
      <c r="C452" s="121"/>
      <c r="D452" s="121"/>
      <c r="E452" s="121"/>
    </row>
    <row r="453" ht="15.75" customHeight="1">
      <c r="A453" s="121"/>
      <c r="B453" s="121"/>
      <c r="C453" s="121"/>
      <c r="D453" s="121"/>
      <c r="E453" s="121"/>
    </row>
    <row r="454" ht="15.75" customHeight="1">
      <c r="A454" s="121"/>
      <c r="B454" s="121"/>
      <c r="C454" s="121"/>
      <c r="D454" s="121"/>
      <c r="E454" s="121"/>
    </row>
    <row r="455" ht="15.75" customHeight="1">
      <c r="A455" s="121"/>
      <c r="B455" s="121"/>
      <c r="C455" s="121"/>
      <c r="D455" s="121"/>
      <c r="E455" s="121"/>
    </row>
    <row r="456" ht="15.75" customHeight="1">
      <c r="A456" s="121"/>
      <c r="B456" s="121"/>
      <c r="C456" s="121"/>
      <c r="D456" s="121"/>
      <c r="E456" s="121"/>
    </row>
    <row r="457" ht="15.75" customHeight="1">
      <c r="A457" s="121"/>
      <c r="B457" s="121"/>
      <c r="C457" s="121"/>
      <c r="D457" s="121"/>
      <c r="E457" s="121"/>
    </row>
    <row r="458" ht="15.75" customHeight="1">
      <c r="A458" s="121"/>
      <c r="B458" s="121"/>
      <c r="C458" s="121"/>
      <c r="D458" s="121"/>
      <c r="E458" s="121"/>
    </row>
    <row r="459" ht="15.75" customHeight="1">
      <c r="A459" s="121"/>
      <c r="B459" s="121"/>
      <c r="C459" s="121"/>
      <c r="D459" s="121"/>
      <c r="E459" s="121"/>
    </row>
    <row r="460" ht="15.75" customHeight="1">
      <c r="A460" s="121"/>
      <c r="B460" s="121"/>
      <c r="C460" s="121"/>
      <c r="D460" s="121"/>
      <c r="E460" s="121"/>
    </row>
    <row r="461" ht="15.75" customHeight="1">
      <c r="A461" s="121"/>
      <c r="B461" s="121"/>
      <c r="C461" s="121"/>
      <c r="D461" s="121"/>
      <c r="E461" s="121"/>
    </row>
    <row r="462" ht="15.75" customHeight="1">
      <c r="A462" s="121"/>
      <c r="B462" s="121"/>
      <c r="C462" s="121"/>
      <c r="D462" s="121"/>
      <c r="E462" s="121"/>
    </row>
    <row r="463" ht="15.75" customHeight="1">
      <c r="A463" s="121"/>
      <c r="B463" s="121"/>
      <c r="C463" s="121"/>
      <c r="D463" s="121"/>
      <c r="E463" s="121"/>
    </row>
    <row r="464" ht="15.75" customHeight="1">
      <c r="A464" s="121"/>
      <c r="B464" s="121"/>
      <c r="C464" s="121"/>
      <c r="D464" s="121"/>
      <c r="E464" s="121"/>
    </row>
    <row r="465" ht="15.75" customHeight="1">
      <c r="A465" s="121"/>
      <c r="B465" s="121"/>
      <c r="C465" s="121"/>
      <c r="D465" s="121"/>
      <c r="E465" s="121"/>
    </row>
    <row r="466" ht="15.75" customHeight="1">
      <c r="A466" s="121"/>
      <c r="B466" s="121"/>
      <c r="C466" s="121"/>
      <c r="D466" s="121"/>
      <c r="E466" s="121"/>
    </row>
    <row r="467" ht="15.75" customHeight="1">
      <c r="A467" s="121"/>
      <c r="B467" s="121"/>
      <c r="C467" s="121"/>
      <c r="D467" s="121"/>
      <c r="E467" s="121"/>
    </row>
    <row r="468" ht="15.75" customHeight="1">
      <c r="A468" s="121"/>
      <c r="B468" s="121"/>
      <c r="C468" s="121"/>
      <c r="D468" s="121"/>
      <c r="E468" s="121"/>
    </row>
    <row r="469" ht="15.75" customHeight="1">
      <c r="A469" s="121"/>
      <c r="B469" s="121"/>
      <c r="C469" s="121"/>
      <c r="D469" s="121"/>
      <c r="E469" s="121"/>
    </row>
    <row r="470" ht="15.75" customHeight="1">
      <c r="A470" s="121"/>
      <c r="B470" s="121"/>
      <c r="C470" s="121"/>
      <c r="D470" s="121"/>
      <c r="E470" s="121"/>
    </row>
    <row r="471" ht="15.75" customHeight="1">
      <c r="A471" s="121"/>
      <c r="B471" s="121"/>
      <c r="C471" s="121"/>
      <c r="D471" s="121"/>
      <c r="E471" s="121"/>
    </row>
    <row r="472" ht="15.75" customHeight="1">
      <c r="A472" s="121"/>
      <c r="B472" s="121"/>
      <c r="C472" s="121"/>
      <c r="D472" s="121"/>
      <c r="E472" s="121"/>
    </row>
    <row r="473" ht="15.75" customHeight="1">
      <c r="A473" s="121"/>
      <c r="B473" s="121"/>
      <c r="C473" s="121"/>
      <c r="D473" s="121"/>
      <c r="E473" s="121"/>
    </row>
    <row r="474" ht="15.75" customHeight="1">
      <c r="A474" s="121"/>
      <c r="B474" s="121"/>
      <c r="C474" s="121"/>
      <c r="D474" s="121"/>
      <c r="E474" s="121"/>
    </row>
    <row r="475" ht="15.75" customHeight="1">
      <c r="A475" s="121"/>
      <c r="B475" s="121"/>
      <c r="C475" s="121"/>
      <c r="D475" s="121"/>
      <c r="E475" s="121"/>
    </row>
    <row r="476" ht="15.75" customHeight="1">
      <c r="A476" s="121"/>
      <c r="B476" s="121"/>
      <c r="C476" s="121"/>
      <c r="D476" s="121"/>
      <c r="E476" s="121"/>
    </row>
    <row r="477" ht="15.75" customHeight="1">
      <c r="A477" s="121"/>
      <c r="B477" s="121"/>
      <c r="C477" s="121"/>
      <c r="D477" s="121"/>
      <c r="E477" s="121"/>
    </row>
    <row r="478" ht="15.75" customHeight="1">
      <c r="A478" s="121"/>
      <c r="B478" s="121"/>
      <c r="C478" s="121"/>
      <c r="D478" s="121"/>
      <c r="E478" s="121"/>
    </row>
    <row r="479" ht="15.75" customHeight="1">
      <c r="A479" s="121"/>
      <c r="B479" s="121"/>
      <c r="C479" s="121"/>
      <c r="D479" s="121"/>
      <c r="E479" s="121"/>
    </row>
    <row r="480" ht="15.75" customHeight="1">
      <c r="A480" s="121"/>
      <c r="B480" s="121"/>
      <c r="C480" s="121"/>
      <c r="D480" s="121"/>
      <c r="E480" s="121"/>
    </row>
    <row r="481" ht="15.75" customHeight="1">
      <c r="A481" s="121"/>
      <c r="B481" s="121"/>
      <c r="C481" s="121"/>
      <c r="D481" s="121"/>
      <c r="E481" s="121"/>
    </row>
    <row r="482" ht="15.75" customHeight="1">
      <c r="A482" s="121"/>
      <c r="B482" s="121"/>
      <c r="C482" s="121"/>
      <c r="D482" s="121"/>
      <c r="E482" s="121"/>
    </row>
    <row r="483" ht="15.75" customHeight="1">
      <c r="A483" s="121"/>
      <c r="B483" s="121"/>
      <c r="C483" s="121"/>
      <c r="D483" s="121"/>
      <c r="E483" s="121"/>
    </row>
    <row r="484" ht="15.75" customHeight="1">
      <c r="A484" s="121"/>
      <c r="B484" s="121"/>
      <c r="C484" s="121"/>
      <c r="D484" s="121"/>
      <c r="E484" s="121"/>
    </row>
    <row r="485" ht="15.75" customHeight="1">
      <c r="A485" s="121"/>
      <c r="B485" s="121"/>
      <c r="C485" s="121"/>
      <c r="D485" s="121"/>
      <c r="E485" s="121"/>
    </row>
    <row r="486" ht="15.75" customHeight="1">
      <c r="A486" s="121"/>
      <c r="B486" s="121"/>
      <c r="C486" s="121"/>
      <c r="D486" s="121"/>
      <c r="E486" s="121"/>
    </row>
    <row r="487" ht="15.75" customHeight="1">
      <c r="A487" s="121"/>
      <c r="B487" s="121"/>
      <c r="C487" s="121"/>
      <c r="D487" s="121"/>
      <c r="E487" s="121"/>
    </row>
    <row r="488" ht="15.75" customHeight="1">
      <c r="A488" s="121"/>
      <c r="B488" s="121"/>
      <c r="C488" s="121"/>
      <c r="D488" s="121"/>
      <c r="E488" s="121"/>
    </row>
    <row r="489" ht="15.75" customHeight="1">
      <c r="A489" s="121"/>
      <c r="B489" s="121"/>
      <c r="C489" s="121"/>
      <c r="D489" s="121"/>
      <c r="E489" s="121"/>
    </row>
    <row r="490" ht="15.75" customHeight="1">
      <c r="A490" s="121"/>
      <c r="B490" s="121"/>
      <c r="C490" s="121"/>
      <c r="D490" s="121"/>
      <c r="E490" s="121"/>
    </row>
    <row r="491" ht="15.75" customHeight="1">
      <c r="A491" s="121"/>
      <c r="B491" s="121"/>
      <c r="C491" s="121"/>
      <c r="D491" s="121"/>
      <c r="E491" s="121"/>
    </row>
    <row r="492" ht="15.75" customHeight="1">
      <c r="A492" s="121"/>
      <c r="B492" s="121"/>
      <c r="C492" s="121"/>
      <c r="D492" s="121"/>
      <c r="E492" s="121"/>
    </row>
    <row r="493" ht="15.75" customHeight="1">
      <c r="A493" s="121"/>
      <c r="B493" s="121"/>
      <c r="C493" s="121"/>
      <c r="D493" s="121"/>
      <c r="E493" s="121"/>
    </row>
    <row r="494" ht="15.75" customHeight="1">
      <c r="A494" s="121"/>
      <c r="B494" s="121"/>
      <c r="C494" s="121"/>
      <c r="D494" s="121"/>
      <c r="E494" s="121"/>
    </row>
    <row r="495" ht="15.75" customHeight="1">
      <c r="A495" s="121"/>
      <c r="B495" s="121"/>
      <c r="C495" s="121"/>
      <c r="D495" s="121"/>
      <c r="E495" s="121"/>
    </row>
    <row r="496" ht="15.75" customHeight="1">
      <c r="A496" s="121"/>
      <c r="B496" s="121"/>
      <c r="C496" s="121"/>
      <c r="D496" s="121"/>
      <c r="E496" s="121"/>
    </row>
    <row r="497" ht="15.75" customHeight="1">
      <c r="A497" s="121"/>
      <c r="B497" s="121"/>
      <c r="C497" s="121"/>
      <c r="D497" s="121"/>
      <c r="E497" s="121"/>
    </row>
    <row r="498" ht="15.75" customHeight="1">
      <c r="A498" s="121"/>
      <c r="B498" s="121"/>
      <c r="C498" s="121"/>
      <c r="D498" s="121"/>
      <c r="E498" s="121"/>
    </row>
    <row r="499" ht="15.75" customHeight="1">
      <c r="A499" s="121"/>
      <c r="B499" s="121"/>
      <c r="C499" s="121"/>
      <c r="D499" s="121"/>
      <c r="E499" s="121"/>
    </row>
    <row r="500" ht="15.75" customHeight="1">
      <c r="A500" s="121"/>
      <c r="B500" s="121"/>
      <c r="C500" s="121"/>
      <c r="D500" s="121"/>
      <c r="E500" s="121"/>
    </row>
    <row r="501" ht="15.75" customHeight="1">
      <c r="A501" s="121"/>
      <c r="B501" s="121"/>
      <c r="C501" s="121"/>
      <c r="D501" s="121"/>
      <c r="E501" s="121"/>
    </row>
    <row r="502" ht="15.75" customHeight="1">
      <c r="A502" s="121"/>
      <c r="B502" s="121"/>
      <c r="C502" s="121"/>
      <c r="D502" s="121"/>
      <c r="E502" s="121"/>
    </row>
    <row r="503" ht="15.75" customHeight="1">
      <c r="A503" s="121"/>
      <c r="B503" s="121"/>
      <c r="C503" s="121"/>
      <c r="D503" s="121"/>
      <c r="E503" s="121"/>
    </row>
    <row r="504" ht="15.75" customHeight="1">
      <c r="A504" s="121"/>
      <c r="B504" s="121"/>
      <c r="C504" s="121"/>
      <c r="D504" s="121"/>
      <c r="E504" s="121"/>
    </row>
    <row r="505" ht="15.75" customHeight="1">
      <c r="A505" s="121"/>
      <c r="B505" s="121"/>
      <c r="C505" s="121"/>
      <c r="D505" s="121"/>
      <c r="E505" s="121"/>
    </row>
    <row r="506" ht="15.75" customHeight="1">
      <c r="A506" s="121"/>
      <c r="B506" s="121"/>
      <c r="C506" s="121"/>
      <c r="D506" s="121"/>
      <c r="E506" s="121"/>
    </row>
    <row r="507" ht="15.75" customHeight="1">
      <c r="A507" s="121"/>
      <c r="B507" s="121"/>
      <c r="C507" s="121"/>
      <c r="D507" s="121"/>
      <c r="E507" s="121"/>
    </row>
    <row r="508" ht="15.75" customHeight="1">
      <c r="A508" s="121"/>
      <c r="B508" s="121"/>
      <c r="C508" s="121"/>
      <c r="D508" s="121"/>
      <c r="E508" s="121"/>
    </row>
    <row r="509" ht="15.75" customHeight="1">
      <c r="A509" s="121"/>
      <c r="B509" s="121"/>
      <c r="C509" s="121"/>
      <c r="D509" s="121"/>
      <c r="E509" s="121"/>
    </row>
    <row r="510" ht="15.75" customHeight="1">
      <c r="A510" s="121"/>
      <c r="B510" s="121"/>
      <c r="C510" s="121"/>
      <c r="D510" s="121"/>
      <c r="E510" s="121"/>
    </row>
    <row r="511" ht="15.75" customHeight="1">
      <c r="A511" s="121"/>
      <c r="B511" s="121"/>
      <c r="C511" s="121"/>
      <c r="D511" s="121"/>
      <c r="E511" s="121"/>
    </row>
    <row r="512" ht="15.75" customHeight="1">
      <c r="A512" s="121"/>
      <c r="B512" s="121"/>
      <c r="C512" s="121"/>
      <c r="D512" s="121"/>
      <c r="E512" s="121"/>
    </row>
    <row r="513" ht="15.75" customHeight="1">
      <c r="A513" s="121"/>
      <c r="B513" s="121"/>
      <c r="C513" s="121"/>
      <c r="D513" s="121"/>
      <c r="E513" s="121"/>
    </row>
    <row r="514" ht="15.75" customHeight="1">
      <c r="A514" s="121"/>
      <c r="B514" s="121"/>
      <c r="C514" s="121"/>
      <c r="D514" s="121"/>
      <c r="E514" s="121"/>
    </row>
    <row r="515" ht="15.75" customHeight="1">
      <c r="A515" s="121"/>
      <c r="B515" s="121"/>
      <c r="C515" s="121"/>
      <c r="D515" s="121"/>
      <c r="E515" s="121"/>
    </row>
    <row r="516" ht="15.75" customHeight="1">
      <c r="A516" s="121"/>
      <c r="B516" s="121"/>
      <c r="C516" s="121"/>
      <c r="D516" s="121"/>
      <c r="E516" s="121"/>
    </row>
    <row r="517" ht="15.75" customHeight="1">
      <c r="A517" s="121"/>
      <c r="B517" s="121"/>
      <c r="C517" s="121"/>
      <c r="D517" s="121"/>
      <c r="E517" s="121"/>
    </row>
    <row r="518" ht="15.75" customHeight="1">
      <c r="A518" s="121"/>
      <c r="B518" s="121"/>
      <c r="C518" s="121"/>
      <c r="D518" s="121"/>
      <c r="E518" s="121"/>
    </row>
    <row r="519" ht="15.75" customHeight="1">
      <c r="A519" s="121"/>
      <c r="B519" s="121"/>
      <c r="C519" s="121"/>
      <c r="D519" s="121"/>
      <c r="E519" s="121"/>
    </row>
    <row r="520" ht="15.75" customHeight="1">
      <c r="A520" s="121"/>
      <c r="B520" s="121"/>
      <c r="C520" s="121"/>
      <c r="D520" s="121"/>
      <c r="E520" s="121"/>
    </row>
    <row r="521" ht="15.75" customHeight="1">
      <c r="A521" s="121"/>
      <c r="B521" s="121"/>
      <c r="C521" s="121"/>
      <c r="D521" s="121"/>
      <c r="E521" s="121"/>
    </row>
    <row r="522" ht="15.75" customHeight="1">
      <c r="A522" s="121"/>
      <c r="B522" s="121"/>
      <c r="C522" s="121"/>
      <c r="D522" s="121"/>
      <c r="E522" s="121"/>
    </row>
    <row r="523" ht="15.75" customHeight="1">
      <c r="A523" s="121"/>
      <c r="B523" s="121"/>
      <c r="C523" s="121"/>
      <c r="D523" s="121"/>
      <c r="E523" s="121"/>
    </row>
    <row r="524" ht="15.75" customHeight="1">
      <c r="A524" s="121"/>
      <c r="B524" s="121"/>
      <c r="C524" s="121"/>
      <c r="D524" s="121"/>
      <c r="E524" s="121"/>
    </row>
    <row r="525" ht="15.75" customHeight="1">
      <c r="A525" s="121"/>
      <c r="B525" s="121"/>
      <c r="C525" s="121"/>
      <c r="D525" s="121"/>
      <c r="E525" s="121"/>
    </row>
    <row r="526" ht="15.75" customHeight="1">
      <c r="A526" s="121"/>
      <c r="B526" s="121"/>
      <c r="C526" s="121"/>
      <c r="D526" s="121"/>
      <c r="E526" s="121"/>
    </row>
    <row r="527" ht="15.75" customHeight="1">
      <c r="A527" s="121"/>
      <c r="B527" s="121"/>
      <c r="C527" s="121"/>
      <c r="D527" s="121"/>
      <c r="E527" s="121"/>
    </row>
    <row r="528" ht="15.75" customHeight="1">
      <c r="A528" s="121"/>
      <c r="B528" s="121"/>
      <c r="C528" s="121"/>
      <c r="D528" s="121"/>
      <c r="E528" s="121"/>
    </row>
    <row r="529" ht="15.75" customHeight="1">
      <c r="A529" s="121"/>
      <c r="B529" s="121"/>
      <c r="C529" s="121"/>
      <c r="D529" s="121"/>
      <c r="E529" s="121"/>
    </row>
    <row r="530" ht="15.75" customHeight="1">
      <c r="A530" s="121"/>
      <c r="B530" s="121"/>
      <c r="C530" s="121"/>
      <c r="D530" s="121"/>
      <c r="E530" s="121"/>
    </row>
    <row r="531" ht="15.75" customHeight="1">
      <c r="A531" s="121"/>
      <c r="B531" s="121"/>
      <c r="C531" s="121"/>
      <c r="D531" s="121"/>
      <c r="E531" s="121"/>
    </row>
    <row r="532" ht="15.75" customHeight="1">
      <c r="A532" s="121"/>
      <c r="B532" s="121"/>
      <c r="C532" s="121"/>
      <c r="D532" s="121"/>
      <c r="E532" s="121"/>
    </row>
    <row r="533" ht="15.75" customHeight="1">
      <c r="A533" s="121"/>
      <c r="B533" s="121"/>
      <c r="C533" s="121"/>
      <c r="D533" s="121"/>
      <c r="E533" s="121"/>
    </row>
    <row r="534" ht="15.75" customHeight="1">
      <c r="A534" s="121"/>
      <c r="B534" s="121"/>
      <c r="C534" s="121"/>
      <c r="D534" s="121"/>
      <c r="E534" s="121"/>
    </row>
    <row r="535" ht="15.75" customHeight="1">
      <c r="A535" s="121"/>
      <c r="B535" s="121"/>
      <c r="C535" s="121"/>
      <c r="D535" s="121"/>
      <c r="E535" s="121"/>
    </row>
    <row r="536" ht="15.75" customHeight="1">
      <c r="A536" s="121"/>
      <c r="B536" s="121"/>
      <c r="C536" s="121"/>
      <c r="D536" s="121"/>
      <c r="E536" s="121"/>
    </row>
    <row r="537" ht="15.75" customHeight="1">
      <c r="A537" s="121"/>
      <c r="B537" s="121"/>
      <c r="C537" s="121"/>
      <c r="D537" s="121"/>
      <c r="E537" s="121"/>
    </row>
    <row r="538" ht="15.75" customHeight="1">
      <c r="A538" s="121"/>
      <c r="B538" s="121"/>
      <c r="C538" s="121"/>
      <c r="D538" s="121"/>
      <c r="E538" s="121"/>
    </row>
    <row r="539" ht="15.75" customHeight="1">
      <c r="A539" s="121"/>
      <c r="B539" s="121"/>
      <c r="C539" s="121"/>
      <c r="D539" s="121"/>
      <c r="E539" s="121"/>
    </row>
    <row r="540" ht="15.75" customHeight="1">
      <c r="A540" s="121"/>
      <c r="B540" s="121"/>
      <c r="C540" s="121"/>
      <c r="D540" s="121"/>
      <c r="E540" s="121"/>
    </row>
    <row r="541" ht="15.75" customHeight="1">
      <c r="A541" s="121"/>
      <c r="B541" s="121"/>
      <c r="C541" s="121"/>
      <c r="D541" s="121"/>
      <c r="E541" s="121"/>
    </row>
    <row r="542" ht="15.75" customHeight="1">
      <c r="A542" s="121"/>
      <c r="B542" s="121"/>
      <c r="C542" s="121"/>
      <c r="D542" s="121"/>
      <c r="E542" s="121"/>
    </row>
    <row r="543" ht="15.75" customHeight="1">
      <c r="A543" s="121"/>
      <c r="B543" s="121"/>
      <c r="C543" s="121"/>
      <c r="D543" s="121"/>
      <c r="E543" s="121"/>
    </row>
    <row r="544" ht="15.75" customHeight="1">
      <c r="A544" s="121"/>
      <c r="B544" s="121"/>
      <c r="C544" s="121"/>
      <c r="D544" s="121"/>
      <c r="E544" s="121"/>
    </row>
    <row r="545" ht="15.75" customHeight="1">
      <c r="A545" s="121"/>
      <c r="B545" s="121"/>
      <c r="C545" s="121"/>
      <c r="D545" s="121"/>
      <c r="E545" s="121"/>
    </row>
    <row r="546" ht="15.75" customHeight="1">
      <c r="A546" s="121"/>
      <c r="B546" s="121"/>
      <c r="C546" s="121"/>
      <c r="D546" s="121"/>
      <c r="E546" s="121"/>
    </row>
    <row r="547" ht="15.75" customHeight="1">
      <c r="A547" s="121"/>
      <c r="B547" s="121"/>
      <c r="C547" s="121"/>
      <c r="D547" s="121"/>
      <c r="E547" s="121"/>
    </row>
    <row r="548" ht="15.75" customHeight="1">
      <c r="A548" s="121"/>
      <c r="B548" s="121"/>
      <c r="C548" s="121"/>
      <c r="D548" s="121"/>
      <c r="E548" s="121"/>
    </row>
    <row r="549" ht="15.75" customHeight="1">
      <c r="A549" s="121"/>
      <c r="B549" s="121"/>
      <c r="C549" s="121"/>
      <c r="D549" s="121"/>
      <c r="E549" s="121"/>
    </row>
    <row r="550" ht="15.75" customHeight="1">
      <c r="A550" s="121"/>
      <c r="B550" s="121"/>
      <c r="C550" s="121"/>
      <c r="D550" s="121"/>
      <c r="E550" s="121"/>
    </row>
    <row r="551" ht="15.75" customHeight="1">
      <c r="A551" s="121"/>
      <c r="B551" s="121"/>
      <c r="C551" s="121"/>
      <c r="D551" s="121"/>
      <c r="E551" s="121"/>
    </row>
    <row r="552" ht="15.75" customHeight="1">
      <c r="A552" s="121"/>
      <c r="B552" s="121"/>
      <c r="C552" s="121"/>
      <c r="D552" s="121"/>
      <c r="E552" s="121"/>
    </row>
    <row r="553" ht="15.75" customHeight="1">
      <c r="A553" s="121"/>
      <c r="B553" s="121"/>
      <c r="C553" s="121"/>
      <c r="D553" s="121"/>
      <c r="E553" s="121"/>
    </row>
    <row r="554" ht="15.75" customHeight="1">
      <c r="A554" s="121"/>
      <c r="B554" s="121"/>
      <c r="C554" s="121"/>
      <c r="D554" s="121"/>
      <c r="E554" s="121"/>
    </row>
    <row r="555" ht="15.75" customHeight="1">
      <c r="A555" s="121"/>
      <c r="B555" s="121"/>
      <c r="C555" s="121"/>
      <c r="D555" s="121"/>
      <c r="E555" s="121"/>
    </row>
    <row r="556" ht="15.75" customHeight="1">
      <c r="A556" s="121"/>
      <c r="B556" s="121"/>
      <c r="C556" s="121"/>
      <c r="D556" s="121"/>
      <c r="E556" s="121"/>
    </row>
    <row r="557" ht="15.75" customHeight="1">
      <c r="A557" s="121"/>
      <c r="B557" s="121"/>
      <c r="C557" s="121"/>
      <c r="D557" s="121"/>
      <c r="E557" s="121"/>
    </row>
    <row r="558" ht="15.75" customHeight="1">
      <c r="A558" s="121"/>
      <c r="B558" s="121"/>
      <c r="C558" s="121"/>
      <c r="D558" s="121"/>
      <c r="E558" s="121"/>
    </row>
    <row r="559" ht="15.75" customHeight="1">
      <c r="A559" s="121"/>
      <c r="B559" s="121"/>
      <c r="C559" s="121"/>
      <c r="D559" s="121"/>
      <c r="E559" s="121"/>
    </row>
    <row r="560" ht="15.75" customHeight="1">
      <c r="A560" s="121"/>
      <c r="B560" s="121"/>
      <c r="C560" s="121"/>
      <c r="D560" s="121"/>
      <c r="E560" s="121"/>
    </row>
    <row r="561" ht="15.75" customHeight="1">
      <c r="A561" s="121"/>
      <c r="B561" s="121"/>
      <c r="C561" s="121"/>
      <c r="D561" s="121"/>
      <c r="E561" s="121"/>
    </row>
    <row r="562" ht="15.75" customHeight="1">
      <c r="A562" s="121"/>
      <c r="B562" s="121"/>
      <c r="C562" s="121"/>
      <c r="D562" s="121"/>
      <c r="E562" s="121"/>
    </row>
    <row r="563" ht="15.75" customHeight="1">
      <c r="A563" s="121"/>
      <c r="B563" s="121"/>
      <c r="C563" s="121"/>
      <c r="D563" s="121"/>
      <c r="E563" s="121"/>
    </row>
    <row r="564" ht="15.75" customHeight="1">
      <c r="A564" s="121"/>
      <c r="B564" s="121"/>
      <c r="C564" s="121"/>
      <c r="D564" s="121"/>
      <c r="E564" s="121"/>
    </row>
    <row r="565" ht="15.75" customHeight="1">
      <c r="A565" s="121"/>
      <c r="B565" s="121"/>
      <c r="C565" s="121"/>
      <c r="D565" s="121"/>
      <c r="E565" s="121"/>
    </row>
    <row r="566" ht="15.75" customHeight="1">
      <c r="A566" s="121"/>
      <c r="B566" s="121"/>
      <c r="C566" s="121"/>
      <c r="D566" s="121"/>
      <c r="E566" s="121"/>
    </row>
    <row r="567" ht="15.75" customHeight="1">
      <c r="A567" s="121"/>
      <c r="B567" s="121"/>
      <c r="C567" s="121"/>
      <c r="D567" s="121"/>
      <c r="E567" s="121"/>
    </row>
    <row r="568" ht="15.75" customHeight="1">
      <c r="A568" s="121"/>
      <c r="B568" s="121"/>
      <c r="C568" s="121"/>
      <c r="D568" s="121"/>
      <c r="E568" s="121"/>
    </row>
    <row r="569" ht="15.75" customHeight="1">
      <c r="A569" s="121"/>
      <c r="B569" s="121"/>
      <c r="C569" s="121"/>
      <c r="D569" s="121"/>
      <c r="E569" s="121"/>
    </row>
    <row r="570" ht="15.75" customHeight="1">
      <c r="A570" s="121"/>
      <c r="B570" s="121"/>
      <c r="C570" s="121"/>
      <c r="D570" s="121"/>
      <c r="E570" s="121"/>
    </row>
    <row r="571" ht="15.75" customHeight="1">
      <c r="A571" s="121"/>
      <c r="B571" s="121"/>
      <c r="C571" s="121"/>
      <c r="D571" s="121"/>
      <c r="E571" s="121"/>
    </row>
    <row r="572" ht="15.75" customHeight="1">
      <c r="A572" s="121"/>
      <c r="B572" s="121"/>
      <c r="C572" s="121"/>
      <c r="D572" s="121"/>
      <c r="E572" s="121"/>
    </row>
    <row r="573" ht="15.75" customHeight="1">
      <c r="A573" s="121"/>
      <c r="B573" s="121"/>
      <c r="C573" s="121"/>
      <c r="D573" s="121"/>
      <c r="E573" s="121"/>
    </row>
    <row r="574" ht="15.75" customHeight="1">
      <c r="A574" s="121"/>
      <c r="B574" s="121"/>
      <c r="C574" s="121"/>
      <c r="D574" s="121"/>
      <c r="E574" s="121"/>
    </row>
    <row r="575" ht="15.75" customHeight="1">
      <c r="A575" s="121"/>
      <c r="B575" s="121"/>
      <c r="C575" s="121"/>
      <c r="D575" s="121"/>
      <c r="E575" s="121"/>
    </row>
    <row r="576" ht="15.75" customHeight="1">
      <c r="A576" s="121"/>
      <c r="B576" s="121"/>
      <c r="C576" s="121"/>
      <c r="D576" s="121"/>
      <c r="E576" s="121"/>
    </row>
    <row r="577" ht="15.75" customHeight="1">
      <c r="A577" s="121"/>
      <c r="B577" s="121"/>
      <c r="C577" s="121"/>
      <c r="D577" s="121"/>
      <c r="E577" s="121"/>
    </row>
    <row r="578" ht="15.75" customHeight="1">
      <c r="A578" s="121"/>
      <c r="B578" s="121"/>
      <c r="C578" s="121"/>
      <c r="D578" s="121"/>
      <c r="E578" s="121"/>
    </row>
    <row r="579" ht="15.75" customHeight="1">
      <c r="A579" s="121"/>
      <c r="B579" s="121"/>
      <c r="C579" s="121"/>
      <c r="D579" s="121"/>
      <c r="E579" s="121"/>
    </row>
    <row r="580" ht="15.75" customHeight="1">
      <c r="A580" s="121"/>
      <c r="B580" s="121"/>
      <c r="C580" s="121"/>
      <c r="D580" s="121"/>
      <c r="E580" s="121"/>
    </row>
    <row r="581" ht="15.75" customHeight="1">
      <c r="A581" s="121"/>
      <c r="B581" s="121"/>
      <c r="C581" s="121"/>
      <c r="D581" s="121"/>
      <c r="E581" s="121"/>
    </row>
    <row r="582" ht="15.75" customHeight="1">
      <c r="A582" s="121"/>
      <c r="B582" s="121"/>
      <c r="C582" s="121"/>
      <c r="D582" s="121"/>
      <c r="E582" s="121"/>
    </row>
    <row r="583" ht="15.75" customHeight="1">
      <c r="A583" s="121"/>
      <c r="B583" s="121"/>
      <c r="C583" s="121"/>
      <c r="D583" s="121"/>
      <c r="E583" s="121"/>
    </row>
    <row r="584" ht="15.75" customHeight="1">
      <c r="A584" s="121"/>
      <c r="B584" s="121"/>
      <c r="C584" s="121"/>
      <c r="D584" s="121"/>
      <c r="E584" s="121"/>
    </row>
    <row r="585" ht="15.75" customHeight="1">
      <c r="A585" s="121"/>
      <c r="B585" s="121"/>
      <c r="C585" s="121"/>
      <c r="D585" s="121"/>
      <c r="E585" s="121"/>
    </row>
    <row r="586" ht="15.75" customHeight="1">
      <c r="A586" s="121"/>
      <c r="B586" s="121"/>
      <c r="C586" s="121"/>
      <c r="D586" s="121"/>
      <c r="E586" s="121"/>
    </row>
    <row r="587" ht="15.75" customHeight="1">
      <c r="A587" s="121"/>
      <c r="B587" s="121"/>
      <c r="C587" s="121"/>
      <c r="D587" s="121"/>
      <c r="E587" s="121"/>
    </row>
    <row r="588" ht="15.75" customHeight="1">
      <c r="A588" s="121"/>
      <c r="B588" s="121"/>
      <c r="C588" s="121"/>
      <c r="D588" s="121"/>
      <c r="E588" s="121"/>
    </row>
    <row r="589" ht="15.75" customHeight="1">
      <c r="A589" s="121"/>
      <c r="B589" s="121"/>
      <c r="C589" s="121"/>
      <c r="D589" s="121"/>
      <c r="E589" s="121"/>
    </row>
    <row r="590" ht="15.75" customHeight="1">
      <c r="A590" s="121"/>
      <c r="B590" s="121"/>
      <c r="C590" s="121"/>
      <c r="D590" s="121"/>
      <c r="E590" s="121"/>
    </row>
    <row r="591" ht="15.75" customHeight="1">
      <c r="A591" s="121"/>
      <c r="B591" s="121"/>
      <c r="C591" s="121"/>
      <c r="D591" s="121"/>
      <c r="E591" s="121"/>
    </row>
    <row r="592" ht="15.75" customHeight="1">
      <c r="A592" s="121"/>
      <c r="B592" s="121"/>
      <c r="C592" s="121"/>
      <c r="D592" s="121"/>
      <c r="E592" s="121"/>
    </row>
    <row r="593" ht="15.75" customHeight="1">
      <c r="A593" s="121"/>
      <c r="B593" s="121"/>
      <c r="C593" s="121"/>
      <c r="D593" s="121"/>
      <c r="E593" s="121"/>
    </row>
    <row r="594" ht="15.75" customHeight="1">
      <c r="A594" s="121"/>
      <c r="B594" s="121"/>
      <c r="C594" s="121"/>
      <c r="D594" s="121"/>
      <c r="E594" s="121"/>
    </row>
    <row r="595" ht="15.75" customHeight="1">
      <c r="A595" s="121"/>
      <c r="B595" s="121"/>
      <c r="C595" s="121"/>
      <c r="D595" s="121"/>
      <c r="E595" s="121"/>
    </row>
    <row r="596" ht="15.75" customHeight="1">
      <c r="A596" s="121"/>
      <c r="B596" s="121"/>
      <c r="C596" s="121"/>
      <c r="D596" s="121"/>
      <c r="E596" s="121"/>
    </row>
    <row r="597" ht="15.75" customHeight="1">
      <c r="A597" s="121"/>
      <c r="B597" s="121"/>
      <c r="C597" s="121"/>
      <c r="D597" s="121"/>
      <c r="E597" s="121"/>
    </row>
    <row r="598" ht="15.75" customHeight="1">
      <c r="A598" s="121"/>
      <c r="B598" s="121"/>
      <c r="C598" s="121"/>
      <c r="D598" s="121"/>
      <c r="E598" s="121"/>
    </row>
    <row r="599" ht="15.75" customHeight="1">
      <c r="A599" s="121"/>
      <c r="B599" s="121"/>
      <c r="C599" s="121"/>
      <c r="D599" s="121"/>
      <c r="E599" s="121"/>
    </row>
    <row r="600" ht="15.75" customHeight="1">
      <c r="A600" s="121"/>
      <c r="B600" s="121"/>
      <c r="C600" s="121"/>
      <c r="D600" s="121"/>
      <c r="E600" s="121"/>
    </row>
    <row r="601" ht="15.75" customHeight="1">
      <c r="A601" s="121"/>
      <c r="B601" s="121"/>
      <c r="C601" s="121"/>
      <c r="D601" s="121"/>
      <c r="E601" s="121"/>
    </row>
    <row r="602" ht="15.75" customHeight="1">
      <c r="A602" s="121"/>
      <c r="B602" s="121"/>
      <c r="C602" s="121"/>
      <c r="D602" s="121"/>
      <c r="E602" s="121"/>
    </row>
    <row r="603" ht="15.75" customHeight="1">
      <c r="A603" s="121"/>
      <c r="B603" s="121"/>
      <c r="C603" s="121"/>
      <c r="D603" s="121"/>
      <c r="E603" s="121"/>
    </row>
    <row r="604" ht="15.75" customHeight="1">
      <c r="A604" s="121"/>
      <c r="B604" s="121"/>
      <c r="C604" s="121"/>
      <c r="D604" s="121"/>
      <c r="E604" s="121"/>
    </row>
    <row r="605" ht="15.75" customHeight="1">
      <c r="A605" s="121"/>
      <c r="B605" s="121"/>
      <c r="C605" s="121"/>
      <c r="D605" s="121"/>
      <c r="E605" s="121"/>
    </row>
    <row r="606" ht="15.75" customHeight="1">
      <c r="A606" s="121"/>
      <c r="B606" s="121"/>
      <c r="C606" s="121"/>
      <c r="D606" s="121"/>
      <c r="E606" s="121"/>
    </row>
    <row r="607" ht="15.75" customHeight="1">
      <c r="A607" s="121"/>
      <c r="B607" s="121"/>
      <c r="C607" s="121"/>
      <c r="D607" s="121"/>
      <c r="E607" s="121"/>
    </row>
    <row r="608" ht="15.75" customHeight="1">
      <c r="A608" s="121"/>
      <c r="B608" s="121"/>
      <c r="C608" s="121"/>
      <c r="D608" s="121"/>
      <c r="E608" s="121"/>
    </row>
    <row r="609" ht="15.75" customHeight="1">
      <c r="A609" s="121"/>
      <c r="B609" s="121"/>
      <c r="C609" s="121"/>
      <c r="D609" s="121"/>
      <c r="E609" s="121"/>
    </row>
    <row r="610" ht="15.75" customHeight="1">
      <c r="A610" s="121"/>
      <c r="B610" s="121"/>
      <c r="C610" s="121"/>
      <c r="D610" s="121"/>
      <c r="E610" s="121"/>
    </row>
    <row r="611" ht="15.75" customHeight="1">
      <c r="A611" s="121"/>
      <c r="B611" s="121"/>
      <c r="C611" s="121"/>
      <c r="D611" s="121"/>
      <c r="E611" s="121"/>
    </row>
    <row r="612" ht="15.75" customHeight="1">
      <c r="A612" s="121"/>
      <c r="B612" s="121"/>
      <c r="C612" s="121"/>
      <c r="D612" s="121"/>
      <c r="E612" s="121"/>
    </row>
    <row r="613" ht="15.75" customHeight="1">
      <c r="A613" s="121"/>
      <c r="B613" s="121"/>
      <c r="C613" s="121"/>
      <c r="D613" s="121"/>
      <c r="E613" s="121"/>
    </row>
    <row r="614" ht="15.75" customHeight="1">
      <c r="A614" s="121"/>
      <c r="B614" s="121"/>
      <c r="C614" s="121"/>
      <c r="D614" s="121"/>
      <c r="E614" s="121"/>
    </row>
    <row r="615" ht="15.75" customHeight="1">
      <c r="A615" s="121"/>
      <c r="B615" s="121"/>
      <c r="C615" s="121"/>
      <c r="D615" s="121"/>
      <c r="E615" s="121"/>
    </row>
    <row r="616" ht="15.75" customHeight="1">
      <c r="A616" s="121"/>
      <c r="B616" s="121"/>
      <c r="C616" s="121"/>
      <c r="D616" s="121"/>
      <c r="E616" s="121"/>
    </row>
    <row r="617" ht="15.75" customHeight="1">
      <c r="A617" s="121"/>
      <c r="B617" s="121"/>
      <c r="C617" s="121"/>
      <c r="D617" s="121"/>
      <c r="E617" s="121"/>
    </row>
    <row r="618" ht="15.75" customHeight="1">
      <c r="A618" s="121"/>
      <c r="B618" s="121"/>
      <c r="C618" s="121"/>
      <c r="D618" s="121"/>
      <c r="E618" s="121"/>
    </row>
    <row r="619" ht="15.75" customHeight="1">
      <c r="A619" s="121"/>
      <c r="B619" s="121"/>
      <c r="C619" s="121"/>
      <c r="D619" s="121"/>
      <c r="E619" s="121"/>
    </row>
    <row r="620" ht="15.75" customHeight="1">
      <c r="A620" s="121"/>
      <c r="B620" s="121"/>
      <c r="C620" s="121"/>
      <c r="D620" s="121"/>
      <c r="E620" s="121"/>
    </row>
    <row r="621" ht="15.75" customHeight="1">
      <c r="A621" s="121"/>
      <c r="B621" s="121"/>
      <c r="C621" s="121"/>
      <c r="D621" s="121"/>
      <c r="E621" s="121"/>
    </row>
    <row r="622" ht="15.75" customHeight="1">
      <c r="A622" s="121"/>
      <c r="B622" s="121"/>
      <c r="C622" s="121"/>
      <c r="D622" s="121"/>
      <c r="E622" s="121"/>
    </row>
    <row r="623" ht="15.75" customHeight="1">
      <c r="A623" s="121"/>
      <c r="B623" s="121"/>
      <c r="C623" s="121"/>
      <c r="D623" s="121"/>
      <c r="E623" s="121"/>
    </row>
    <row r="624" ht="15.75" customHeight="1">
      <c r="A624" s="121"/>
      <c r="B624" s="121"/>
      <c r="C624" s="121"/>
      <c r="D624" s="121"/>
      <c r="E624" s="121"/>
    </row>
    <row r="625" ht="15.75" customHeight="1">
      <c r="A625" s="121"/>
      <c r="B625" s="121"/>
      <c r="C625" s="121"/>
      <c r="D625" s="121"/>
      <c r="E625" s="121"/>
    </row>
    <row r="626" ht="15.75" customHeight="1">
      <c r="A626" s="121"/>
      <c r="B626" s="121"/>
      <c r="C626" s="121"/>
      <c r="D626" s="121"/>
      <c r="E626" s="121"/>
    </row>
    <row r="627" ht="15.75" customHeight="1">
      <c r="A627" s="121"/>
      <c r="B627" s="121"/>
      <c r="C627" s="121"/>
      <c r="D627" s="121"/>
      <c r="E627" s="121"/>
    </row>
    <row r="628" ht="15.75" customHeight="1">
      <c r="A628" s="121"/>
      <c r="B628" s="121"/>
      <c r="C628" s="121"/>
      <c r="D628" s="121"/>
      <c r="E628" s="121"/>
    </row>
    <row r="629" ht="15.75" customHeight="1">
      <c r="A629" s="121"/>
      <c r="B629" s="121"/>
      <c r="C629" s="121"/>
      <c r="D629" s="121"/>
      <c r="E629" s="121"/>
    </row>
    <row r="630" ht="15.75" customHeight="1">
      <c r="A630" s="121"/>
      <c r="B630" s="121"/>
      <c r="C630" s="121"/>
      <c r="D630" s="121"/>
      <c r="E630" s="121"/>
    </row>
    <row r="631" ht="15.75" customHeight="1">
      <c r="A631" s="121"/>
      <c r="B631" s="121"/>
      <c r="C631" s="121"/>
      <c r="D631" s="121"/>
      <c r="E631" s="121"/>
    </row>
    <row r="632" ht="15.75" customHeight="1">
      <c r="A632" s="121"/>
      <c r="B632" s="121"/>
      <c r="C632" s="121"/>
      <c r="D632" s="121"/>
      <c r="E632" s="121"/>
    </row>
    <row r="633" ht="15.75" customHeight="1">
      <c r="A633" s="121"/>
      <c r="B633" s="121"/>
      <c r="C633" s="121"/>
      <c r="D633" s="121"/>
      <c r="E633" s="121"/>
    </row>
    <row r="634" ht="15.75" customHeight="1">
      <c r="A634" s="121"/>
      <c r="B634" s="121"/>
      <c r="C634" s="121"/>
      <c r="D634" s="121"/>
      <c r="E634" s="121"/>
    </row>
    <row r="635" ht="15.75" customHeight="1">
      <c r="A635" s="121"/>
      <c r="B635" s="121"/>
      <c r="C635" s="121"/>
      <c r="D635" s="121"/>
      <c r="E635" s="121"/>
    </row>
    <row r="636" ht="15.75" customHeight="1">
      <c r="A636" s="121"/>
      <c r="B636" s="121"/>
      <c r="C636" s="121"/>
      <c r="D636" s="121"/>
      <c r="E636" s="121"/>
    </row>
    <row r="637" ht="15.75" customHeight="1">
      <c r="A637" s="121"/>
      <c r="B637" s="121"/>
      <c r="C637" s="121"/>
      <c r="D637" s="121"/>
      <c r="E637" s="121"/>
    </row>
    <row r="638" ht="15.75" customHeight="1">
      <c r="A638" s="121"/>
      <c r="B638" s="121"/>
      <c r="C638" s="121"/>
      <c r="D638" s="121"/>
      <c r="E638" s="121"/>
    </row>
    <row r="639" ht="15.75" customHeight="1">
      <c r="A639" s="121"/>
      <c r="B639" s="121"/>
      <c r="C639" s="121"/>
      <c r="D639" s="121"/>
      <c r="E639" s="121"/>
    </row>
    <row r="640" ht="15.75" customHeight="1">
      <c r="A640" s="121"/>
      <c r="B640" s="121"/>
      <c r="C640" s="121"/>
      <c r="D640" s="121"/>
      <c r="E640" s="121"/>
    </row>
    <row r="641" ht="15.75" customHeight="1">
      <c r="A641" s="121"/>
      <c r="B641" s="121"/>
      <c r="C641" s="121"/>
      <c r="D641" s="121"/>
      <c r="E641" s="121"/>
    </row>
    <row r="642" ht="15.75" customHeight="1">
      <c r="A642" s="121"/>
      <c r="B642" s="121"/>
      <c r="C642" s="121"/>
      <c r="D642" s="121"/>
      <c r="E642" s="121"/>
    </row>
    <row r="643" ht="15.75" customHeight="1">
      <c r="A643" s="121"/>
      <c r="B643" s="121"/>
      <c r="C643" s="121"/>
      <c r="D643" s="121"/>
      <c r="E643" s="121"/>
    </row>
    <row r="644" ht="15.75" customHeight="1">
      <c r="A644" s="121"/>
      <c r="B644" s="121"/>
      <c r="C644" s="121"/>
      <c r="D644" s="121"/>
      <c r="E644" s="121"/>
    </row>
    <row r="645" ht="15.75" customHeight="1">
      <c r="A645" s="121"/>
      <c r="B645" s="121"/>
      <c r="C645" s="121"/>
      <c r="D645" s="121"/>
      <c r="E645" s="121"/>
    </row>
    <row r="646" ht="15.75" customHeight="1">
      <c r="A646" s="121"/>
      <c r="B646" s="121"/>
      <c r="C646" s="121"/>
      <c r="D646" s="121"/>
      <c r="E646" s="121"/>
    </row>
    <row r="647" ht="15.75" customHeight="1">
      <c r="A647" s="121"/>
      <c r="B647" s="121"/>
      <c r="C647" s="121"/>
      <c r="D647" s="121"/>
      <c r="E647" s="121"/>
    </row>
    <row r="648" ht="15.75" customHeight="1">
      <c r="A648" s="121"/>
      <c r="B648" s="121"/>
      <c r="C648" s="121"/>
      <c r="D648" s="121"/>
      <c r="E648" s="121"/>
    </row>
    <row r="649" ht="15.75" customHeight="1">
      <c r="A649" s="121"/>
      <c r="B649" s="121"/>
      <c r="C649" s="121"/>
      <c r="D649" s="121"/>
      <c r="E649" s="121"/>
    </row>
    <row r="650" ht="15.75" customHeight="1">
      <c r="A650" s="121"/>
      <c r="B650" s="121"/>
      <c r="C650" s="121"/>
      <c r="D650" s="121"/>
      <c r="E650" s="121"/>
    </row>
    <row r="651" ht="15.75" customHeight="1">
      <c r="A651" s="121"/>
      <c r="B651" s="121"/>
      <c r="C651" s="121"/>
      <c r="D651" s="121"/>
      <c r="E651" s="121"/>
    </row>
    <row r="652" ht="15.75" customHeight="1">
      <c r="A652" s="121"/>
      <c r="B652" s="121"/>
      <c r="C652" s="121"/>
      <c r="D652" s="121"/>
      <c r="E652" s="121"/>
    </row>
    <row r="653" ht="15.75" customHeight="1">
      <c r="A653" s="121"/>
      <c r="B653" s="121"/>
      <c r="C653" s="121"/>
      <c r="D653" s="121"/>
      <c r="E653" s="121"/>
    </row>
    <row r="654" ht="15.75" customHeight="1">
      <c r="A654" s="121"/>
      <c r="B654" s="121"/>
      <c r="C654" s="121"/>
      <c r="D654" s="121"/>
      <c r="E654" s="121"/>
    </row>
    <row r="655" ht="15.75" customHeight="1">
      <c r="A655" s="121"/>
      <c r="B655" s="121"/>
      <c r="C655" s="121"/>
      <c r="D655" s="121"/>
      <c r="E655" s="121"/>
    </row>
    <row r="656" ht="15.75" customHeight="1">
      <c r="A656" s="121"/>
      <c r="B656" s="121"/>
      <c r="C656" s="121"/>
      <c r="D656" s="121"/>
      <c r="E656" s="121"/>
    </row>
    <row r="657" ht="15.75" customHeight="1">
      <c r="A657" s="121"/>
      <c r="B657" s="121"/>
      <c r="C657" s="121"/>
      <c r="D657" s="121"/>
      <c r="E657" s="121"/>
    </row>
    <row r="658" ht="15.75" customHeight="1">
      <c r="A658" s="121"/>
      <c r="B658" s="121"/>
      <c r="C658" s="121"/>
      <c r="D658" s="121"/>
      <c r="E658" s="121"/>
    </row>
    <row r="659" ht="15.75" customHeight="1">
      <c r="A659" s="121"/>
      <c r="B659" s="121"/>
      <c r="C659" s="121"/>
      <c r="D659" s="121"/>
      <c r="E659" s="121"/>
    </row>
    <row r="660" ht="15.75" customHeight="1">
      <c r="A660" s="121"/>
      <c r="B660" s="121"/>
      <c r="C660" s="121"/>
      <c r="D660" s="121"/>
      <c r="E660" s="121"/>
    </row>
    <row r="661" ht="15.75" customHeight="1">
      <c r="A661" s="121"/>
      <c r="B661" s="121"/>
      <c r="C661" s="121"/>
      <c r="D661" s="121"/>
      <c r="E661" s="121"/>
    </row>
    <row r="662" ht="15.75" customHeight="1">
      <c r="A662" s="121"/>
      <c r="B662" s="121"/>
      <c r="C662" s="121"/>
      <c r="D662" s="121"/>
      <c r="E662" s="121"/>
    </row>
    <row r="663" ht="15.75" customHeight="1">
      <c r="A663" s="121"/>
      <c r="B663" s="121"/>
      <c r="C663" s="121"/>
      <c r="D663" s="121"/>
      <c r="E663" s="121"/>
    </row>
    <row r="664" ht="15.75" customHeight="1">
      <c r="A664" s="121"/>
      <c r="B664" s="121"/>
      <c r="C664" s="121"/>
      <c r="D664" s="121"/>
      <c r="E664" s="121"/>
    </row>
    <row r="665" ht="15.75" customHeight="1">
      <c r="A665" s="121"/>
      <c r="B665" s="121"/>
      <c r="C665" s="121"/>
      <c r="D665" s="121"/>
      <c r="E665" s="121"/>
    </row>
    <row r="666" ht="15.75" customHeight="1">
      <c r="A666" s="121"/>
      <c r="B666" s="121"/>
      <c r="C666" s="121"/>
      <c r="D666" s="121"/>
      <c r="E666" s="121"/>
    </row>
    <row r="667" ht="15.75" customHeight="1">
      <c r="A667" s="121"/>
      <c r="B667" s="121"/>
      <c r="C667" s="121"/>
      <c r="D667" s="121"/>
      <c r="E667" s="121"/>
    </row>
    <row r="668" ht="15.75" customHeight="1">
      <c r="A668" s="121"/>
      <c r="B668" s="121"/>
      <c r="C668" s="121"/>
      <c r="D668" s="121"/>
      <c r="E668" s="121"/>
    </row>
    <row r="669" ht="15.75" customHeight="1">
      <c r="A669" s="121"/>
      <c r="B669" s="121"/>
      <c r="C669" s="121"/>
      <c r="D669" s="121"/>
      <c r="E669" s="121"/>
    </row>
    <row r="670" ht="15.75" customHeight="1">
      <c r="A670" s="121"/>
      <c r="B670" s="121"/>
      <c r="C670" s="121"/>
      <c r="D670" s="121"/>
      <c r="E670" s="121"/>
    </row>
    <row r="671" ht="15.75" customHeight="1">
      <c r="A671" s="121"/>
      <c r="B671" s="121"/>
      <c r="C671" s="121"/>
      <c r="D671" s="121"/>
      <c r="E671" s="121"/>
    </row>
    <row r="672" ht="15.75" customHeight="1">
      <c r="A672" s="121"/>
      <c r="B672" s="121"/>
      <c r="C672" s="121"/>
      <c r="D672" s="121"/>
      <c r="E672" s="121"/>
    </row>
    <row r="673" ht="15.75" customHeight="1">
      <c r="A673" s="121"/>
      <c r="B673" s="121"/>
      <c r="C673" s="121"/>
      <c r="D673" s="121"/>
      <c r="E673" s="121"/>
    </row>
    <row r="674" ht="15.75" customHeight="1">
      <c r="A674" s="121"/>
      <c r="B674" s="121"/>
      <c r="C674" s="121"/>
      <c r="D674" s="121"/>
      <c r="E674" s="121"/>
    </row>
    <row r="675" ht="15.75" customHeight="1">
      <c r="A675" s="121"/>
      <c r="B675" s="121"/>
      <c r="C675" s="121"/>
      <c r="D675" s="121"/>
      <c r="E675" s="121"/>
    </row>
    <row r="676" ht="15.75" customHeight="1">
      <c r="A676" s="121"/>
      <c r="B676" s="121"/>
      <c r="C676" s="121"/>
      <c r="D676" s="121"/>
      <c r="E676" s="121"/>
    </row>
    <row r="677" ht="15.75" customHeight="1">
      <c r="A677" s="121"/>
      <c r="B677" s="121"/>
      <c r="C677" s="121"/>
      <c r="D677" s="121"/>
      <c r="E677" s="121"/>
    </row>
    <row r="678" ht="15.75" customHeight="1">
      <c r="A678" s="121"/>
      <c r="B678" s="121"/>
      <c r="C678" s="121"/>
      <c r="D678" s="121"/>
      <c r="E678" s="121"/>
    </row>
    <row r="679" ht="15.75" customHeight="1">
      <c r="A679" s="121"/>
      <c r="B679" s="121"/>
      <c r="C679" s="121"/>
      <c r="D679" s="121"/>
      <c r="E679" s="121"/>
    </row>
    <row r="680" ht="15.75" customHeight="1">
      <c r="A680" s="121"/>
      <c r="B680" s="121"/>
      <c r="C680" s="121"/>
      <c r="D680" s="121"/>
      <c r="E680" s="121"/>
    </row>
    <row r="681" ht="15.75" customHeight="1">
      <c r="A681" s="121"/>
      <c r="B681" s="121"/>
      <c r="C681" s="121"/>
      <c r="D681" s="121"/>
      <c r="E681" s="121"/>
    </row>
    <row r="682" ht="15.75" customHeight="1">
      <c r="A682" s="121"/>
      <c r="B682" s="121"/>
      <c r="C682" s="121"/>
      <c r="D682" s="121"/>
      <c r="E682" s="121"/>
    </row>
    <row r="683" ht="15.75" customHeight="1">
      <c r="A683" s="121"/>
      <c r="B683" s="121"/>
      <c r="C683" s="121"/>
      <c r="D683" s="121"/>
      <c r="E683" s="121"/>
    </row>
    <row r="684" ht="15.75" customHeight="1">
      <c r="A684" s="121"/>
      <c r="B684" s="121"/>
      <c r="C684" s="121"/>
      <c r="D684" s="121"/>
      <c r="E684" s="121"/>
    </row>
    <row r="685" ht="15.75" customHeight="1">
      <c r="A685" s="121"/>
      <c r="B685" s="121"/>
      <c r="C685" s="121"/>
      <c r="D685" s="121"/>
      <c r="E685" s="121"/>
    </row>
    <row r="686" ht="15.75" customHeight="1">
      <c r="A686" s="121"/>
      <c r="B686" s="121"/>
      <c r="C686" s="121"/>
      <c r="D686" s="121"/>
      <c r="E686" s="121"/>
    </row>
    <row r="687" ht="15.75" customHeight="1">
      <c r="A687" s="121"/>
      <c r="B687" s="121"/>
      <c r="C687" s="121"/>
      <c r="D687" s="121"/>
      <c r="E687" s="121"/>
    </row>
    <row r="688" ht="15.75" customHeight="1">
      <c r="A688" s="121"/>
      <c r="B688" s="121"/>
      <c r="C688" s="121"/>
      <c r="D688" s="121"/>
      <c r="E688" s="121"/>
    </row>
    <row r="689" ht="15.75" customHeight="1">
      <c r="A689" s="121"/>
      <c r="B689" s="121"/>
      <c r="C689" s="121"/>
      <c r="D689" s="121"/>
      <c r="E689" s="121"/>
    </row>
    <row r="690" ht="15.75" customHeight="1">
      <c r="A690" s="121"/>
      <c r="B690" s="121"/>
      <c r="C690" s="121"/>
      <c r="D690" s="121"/>
      <c r="E690" s="121"/>
    </row>
    <row r="691" ht="15.75" customHeight="1">
      <c r="A691" s="121"/>
      <c r="B691" s="121"/>
      <c r="C691" s="121"/>
      <c r="D691" s="121"/>
      <c r="E691" s="121"/>
    </row>
    <row r="692" ht="15.75" customHeight="1">
      <c r="A692" s="121"/>
      <c r="B692" s="121"/>
      <c r="C692" s="121"/>
      <c r="D692" s="121"/>
      <c r="E692" s="121"/>
    </row>
    <row r="693" ht="15.75" customHeight="1">
      <c r="A693" s="121"/>
      <c r="B693" s="121"/>
      <c r="C693" s="121"/>
      <c r="D693" s="121"/>
      <c r="E693" s="121"/>
    </row>
    <row r="694" ht="15.75" customHeight="1">
      <c r="A694" s="121"/>
      <c r="B694" s="121"/>
      <c r="C694" s="121"/>
      <c r="D694" s="121"/>
      <c r="E694" s="121"/>
    </row>
    <row r="695" ht="15.75" customHeight="1">
      <c r="A695" s="121"/>
      <c r="B695" s="121"/>
      <c r="C695" s="121"/>
      <c r="D695" s="121"/>
      <c r="E695" s="121"/>
    </row>
    <row r="696" ht="15.75" customHeight="1">
      <c r="A696" s="121"/>
      <c r="B696" s="121"/>
      <c r="C696" s="121"/>
      <c r="D696" s="121"/>
      <c r="E696" s="121"/>
    </row>
    <row r="697" ht="15.75" customHeight="1">
      <c r="A697" s="121"/>
      <c r="B697" s="121"/>
      <c r="C697" s="121"/>
      <c r="D697" s="121"/>
      <c r="E697" s="121"/>
    </row>
    <row r="698" ht="15.75" customHeight="1">
      <c r="A698" s="121"/>
      <c r="B698" s="121"/>
      <c r="C698" s="121"/>
      <c r="D698" s="121"/>
      <c r="E698" s="121"/>
    </row>
    <row r="699" ht="15.75" customHeight="1">
      <c r="A699" s="121"/>
      <c r="B699" s="121"/>
      <c r="C699" s="121"/>
      <c r="D699" s="121"/>
      <c r="E699" s="121"/>
    </row>
    <row r="700" ht="15.75" customHeight="1">
      <c r="A700" s="121"/>
      <c r="B700" s="121"/>
      <c r="C700" s="121"/>
      <c r="D700" s="121"/>
      <c r="E700" s="121"/>
    </row>
    <row r="701" ht="15.75" customHeight="1">
      <c r="A701" s="121"/>
      <c r="B701" s="121"/>
      <c r="C701" s="121"/>
      <c r="D701" s="121"/>
      <c r="E701" s="121"/>
    </row>
    <row r="702" ht="15.75" customHeight="1">
      <c r="A702" s="121"/>
      <c r="B702" s="121"/>
      <c r="C702" s="121"/>
      <c r="D702" s="121"/>
      <c r="E702" s="121"/>
    </row>
    <row r="703" ht="15.75" customHeight="1">
      <c r="A703" s="121"/>
      <c r="B703" s="121"/>
      <c r="C703" s="121"/>
      <c r="D703" s="121"/>
      <c r="E703" s="121"/>
    </row>
    <row r="704" ht="15.75" customHeight="1">
      <c r="A704" s="121"/>
      <c r="B704" s="121"/>
      <c r="C704" s="121"/>
      <c r="D704" s="121"/>
      <c r="E704" s="121"/>
    </row>
    <row r="705" ht="15.75" customHeight="1">
      <c r="A705" s="121"/>
      <c r="B705" s="121"/>
      <c r="C705" s="121"/>
      <c r="D705" s="121"/>
      <c r="E705" s="121"/>
    </row>
    <row r="706" ht="15.75" customHeight="1">
      <c r="A706" s="121"/>
      <c r="B706" s="121"/>
      <c r="C706" s="121"/>
      <c r="D706" s="121"/>
      <c r="E706" s="121"/>
    </row>
    <row r="707" ht="15.75" customHeight="1">
      <c r="A707" s="121"/>
      <c r="B707" s="121"/>
      <c r="C707" s="121"/>
      <c r="D707" s="121"/>
      <c r="E707" s="121"/>
    </row>
    <row r="708" ht="15.75" customHeight="1">
      <c r="A708" s="121"/>
      <c r="B708" s="121"/>
      <c r="C708" s="121"/>
      <c r="D708" s="121"/>
      <c r="E708" s="121"/>
    </row>
    <row r="709" ht="15.75" customHeight="1">
      <c r="A709" s="121"/>
      <c r="B709" s="121"/>
      <c r="C709" s="121"/>
      <c r="D709" s="121"/>
      <c r="E709" s="121"/>
    </row>
    <row r="710" ht="15.75" customHeight="1">
      <c r="A710" s="121"/>
      <c r="B710" s="121"/>
      <c r="C710" s="121"/>
      <c r="D710" s="121"/>
      <c r="E710" s="121"/>
    </row>
    <row r="711" ht="15.75" customHeight="1">
      <c r="A711" s="121"/>
      <c r="B711" s="121"/>
      <c r="C711" s="121"/>
      <c r="D711" s="121"/>
      <c r="E711" s="121"/>
    </row>
    <row r="712" ht="15.75" customHeight="1">
      <c r="A712" s="121"/>
      <c r="B712" s="121"/>
      <c r="C712" s="121"/>
      <c r="D712" s="121"/>
      <c r="E712" s="121"/>
    </row>
    <row r="713" ht="15.75" customHeight="1">
      <c r="A713" s="121"/>
      <c r="B713" s="121"/>
      <c r="C713" s="121"/>
      <c r="D713" s="121"/>
      <c r="E713" s="121"/>
    </row>
    <row r="714" ht="15.75" customHeight="1">
      <c r="A714" s="121"/>
      <c r="B714" s="121"/>
      <c r="C714" s="121"/>
      <c r="D714" s="121"/>
      <c r="E714" s="121"/>
    </row>
    <row r="715" ht="15.75" customHeight="1">
      <c r="A715" s="121"/>
      <c r="B715" s="121"/>
      <c r="C715" s="121"/>
      <c r="D715" s="121"/>
      <c r="E715" s="121"/>
    </row>
    <row r="716" ht="15.75" customHeight="1">
      <c r="A716" s="121"/>
      <c r="B716" s="121"/>
      <c r="C716" s="121"/>
      <c r="D716" s="121"/>
      <c r="E716" s="121"/>
    </row>
    <row r="717" ht="15.75" customHeight="1">
      <c r="A717" s="121"/>
      <c r="B717" s="121"/>
      <c r="C717" s="121"/>
      <c r="D717" s="121"/>
      <c r="E717" s="121"/>
    </row>
    <row r="718" ht="15.75" customHeight="1">
      <c r="A718" s="121"/>
      <c r="B718" s="121"/>
      <c r="C718" s="121"/>
      <c r="D718" s="121"/>
      <c r="E718" s="121"/>
    </row>
    <row r="719" ht="15.75" customHeight="1">
      <c r="A719" s="121"/>
      <c r="B719" s="121"/>
      <c r="C719" s="121"/>
      <c r="D719" s="121"/>
      <c r="E719" s="121"/>
    </row>
    <row r="720" ht="15.75" customHeight="1">
      <c r="A720" s="121"/>
      <c r="B720" s="121"/>
      <c r="C720" s="121"/>
      <c r="D720" s="121"/>
      <c r="E720" s="121"/>
    </row>
    <row r="721" ht="15.75" customHeight="1">
      <c r="A721" s="121"/>
      <c r="B721" s="121"/>
      <c r="C721" s="121"/>
      <c r="D721" s="121"/>
      <c r="E721" s="121"/>
    </row>
    <row r="722" ht="15.75" customHeight="1">
      <c r="A722" s="121"/>
      <c r="B722" s="121"/>
      <c r="C722" s="121"/>
      <c r="D722" s="121"/>
      <c r="E722" s="121"/>
    </row>
    <row r="723" ht="15.75" customHeight="1">
      <c r="A723" s="121"/>
      <c r="B723" s="121"/>
      <c r="C723" s="121"/>
      <c r="D723" s="121"/>
      <c r="E723" s="121"/>
    </row>
    <row r="724" ht="15.75" customHeight="1">
      <c r="A724" s="121"/>
      <c r="B724" s="121"/>
      <c r="C724" s="121"/>
      <c r="D724" s="121"/>
      <c r="E724" s="121"/>
    </row>
    <row r="725" ht="15.75" customHeight="1">
      <c r="A725" s="121"/>
      <c r="B725" s="121"/>
      <c r="C725" s="121"/>
      <c r="D725" s="121"/>
      <c r="E725" s="121"/>
    </row>
    <row r="726" ht="15.75" customHeight="1">
      <c r="A726" s="121"/>
      <c r="B726" s="121"/>
      <c r="C726" s="121"/>
      <c r="D726" s="121"/>
      <c r="E726" s="121"/>
    </row>
    <row r="727" ht="15.75" customHeight="1">
      <c r="A727" s="121"/>
      <c r="B727" s="121"/>
      <c r="C727" s="121"/>
      <c r="D727" s="121"/>
      <c r="E727" s="121"/>
    </row>
    <row r="728" ht="15.75" customHeight="1">
      <c r="A728" s="121"/>
      <c r="B728" s="121"/>
      <c r="C728" s="121"/>
      <c r="D728" s="121"/>
      <c r="E728" s="121"/>
    </row>
    <row r="729" ht="15.75" customHeight="1">
      <c r="A729" s="121"/>
      <c r="B729" s="121"/>
      <c r="C729" s="121"/>
      <c r="D729" s="121"/>
      <c r="E729" s="121"/>
    </row>
    <row r="730" ht="15.75" customHeight="1">
      <c r="A730" s="121"/>
      <c r="B730" s="121"/>
      <c r="C730" s="121"/>
      <c r="D730" s="121"/>
      <c r="E730" s="121"/>
    </row>
    <row r="731" ht="15.75" customHeight="1">
      <c r="A731" s="121"/>
      <c r="B731" s="121"/>
      <c r="C731" s="121"/>
      <c r="D731" s="121"/>
      <c r="E731" s="121"/>
    </row>
    <row r="732" ht="15.75" customHeight="1">
      <c r="A732" s="121"/>
      <c r="B732" s="121"/>
      <c r="C732" s="121"/>
      <c r="D732" s="121"/>
      <c r="E732" s="121"/>
    </row>
    <row r="733" ht="15.75" customHeight="1">
      <c r="A733" s="121"/>
      <c r="B733" s="121"/>
      <c r="C733" s="121"/>
      <c r="D733" s="121"/>
      <c r="E733" s="121"/>
    </row>
    <row r="734" ht="15.75" customHeight="1">
      <c r="A734" s="121"/>
      <c r="B734" s="121"/>
      <c r="C734" s="121"/>
      <c r="D734" s="121"/>
      <c r="E734" s="121"/>
    </row>
    <row r="735" ht="15.75" customHeight="1">
      <c r="A735" s="121"/>
      <c r="B735" s="121"/>
      <c r="C735" s="121"/>
      <c r="D735" s="121"/>
      <c r="E735" s="121"/>
    </row>
    <row r="736" ht="15.75" customHeight="1">
      <c r="A736" s="121"/>
      <c r="B736" s="121"/>
      <c r="C736" s="121"/>
      <c r="D736" s="121"/>
      <c r="E736" s="121"/>
    </row>
    <row r="737" ht="15.75" customHeight="1">
      <c r="A737" s="121"/>
      <c r="B737" s="121"/>
      <c r="C737" s="121"/>
      <c r="D737" s="121"/>
      <c r="E737" s="121"/>
    </row>
    <row r="738" ht="15.75" customHeight="1">
      <c r="A738" s="121"/>
      <c r="B738" s="121"/>
      <c r="C738" s="121"/>
      <c r="D738" s="121"/>
      <c r="E738" s="121"/>
    </row>
    <row r="739" ht="15.75" customHeight="1">
      <c r="A739" s="121"/>
      <c r="B739" s="121"/>
      <c r="C739" s="121"/>
      <c r="D739" s="121"/>
      <c r="E739" s="121"/>
    </row>
    <row r="740" ht="15.75" customHeight="1">
      <c r="A740" s="121"/>
      <c r="B740" s="121"/>
      <c r="C740" s="121"/>
      <c r="D740" s="121"/>
      <c r="E740" s="121"/>
    </row>
    <row r="741" ht="15.75" customHeight="1">
      <c r="A741" s="121"/>
      <c r="B741" s="121"/>
      <c r="C741" s="121"/>
      <c r="D741" s="121"/>
      <c r="E741" s="121"/>
    </row>
    <row r="742" ht="15.75" customHeight="1">
      <c r="A742" s="121"/>
      <c r="B742" s="121"/>
      <c r="C742" s="121"/>
      <c r="D742" s="121"/>
      <c r="E742" s="121"/>
    </row>
    <row r="743" ht="15.75" customHeight="1">
      <c r="A743" s="121"/>
      <c r="B743" s="121"/>
      <c r="C743" s="121"/>
      <c r="D743" s="121"/>
      <c r="E743" s="121"/>
    </row>
    <row r="744" ht="15.75" customHeight="1">
      <c r="A744" s="121"/>
      <c r="B744" s="121"/>
      <c r="C744" s="121"/>
      <c r="D744" s="121"/>
      <c r="E744" s="121"/>
    </row>
    <row r="745" ht="15.75" customHeight="1">
      <c r="A745" s="121"/>
      <c r="B745" s="121"/>
      <c r="C745" s="121"/>
      <c r="D745" s="121"/>
      <c r="E745" s="121"/>
    </row>
    <row r="746" ht="15.75" customHeight="1">
      <c r="A746" s="121"/>
      <c r="B746" s="121"/>
      <c r="C746" s="121"/>
      <c r="D746" s="121"/>
      <c r="E746" s="121"/>
    </row>
    <row r="747" ht="15.75" customHeight="1">
      <c r="A747" s="121"/>
      <c r="B747" s="121"/>
      <c r="C747" s="121"/>
      <c r="D747" s="121"/>
      <c r="E747" s="121"/>
    </row>
    <row r="748" ht="15.75" customHeight="1">
      <c r="A748" s="121"/>
      <c r="B748" s="121"/>
      <c r="C748" s="121"/>
      <c r="D748" s="121"/>
      <c r="E748" s="121"/>
    </row>
    <row r="749" ht="15.75" customHeight="1">
      <c r="A749" s="121"/>
      <c r="B749" s="121"/>
      <c r="C749" s="121"/>
      <c r="D749" s="121"/>
      <c r="E749" s="121"/>
    </row>
    <row r="750" ht="15.75" customHeight="1">
      <c r="A750" s="121"/>
      <c r="B750" s="121"/>
      <c r="C750" s="121"/>
      <c r="D750" s="121"/>
      <c r="E750" s="121"/>
    </row>
    <row r="751" ht="15.75" customHeight="1">
      <c r="A751" s="121"/>
      <c r="B751" s="121"/>
      <c r="C751" s="121"/>
      <c r="D751" s="121"/>
      <c r="E751" s="121"/>
    </row>
    <row r="752" ht="15.75" customHeight="1">
      <c r="A752" s="121"/>
      <c r="B752" s="121"/>
      <c r="C752" s="121"/>
      <c r="D752" s="121"/>
      <c r="E752" s="121"/>
    </row>
    <row r="753" ht="15.75" customHeight="1">
      <c r="A753" s="121"/>
      <c r="B753" s="121"/>
      <c r="C753" s="121"/>
      <c r="D753" s="121"/>
      <c r="E753" s="121"/>
    </row>
    <row r="754" ht="15.75" customHeight="1">
      <c r="A754" s="121"/>
      <c r="B754" s="121"/>
      <c r="C754" s="121"/>
      <c r="D754" s="121"/>
      <c r="E754" s="121"/>
    </row>
    <row r="755" ht="15.75" customHeight="1">
      <c r="A755" s="121"/>
      <c r="B755" s="121"/>
      <c r="C755" s="121"/>
      <c r="D755" s="121"/>
      <c r="E755" s="121"/>
    </row>
    <row r="756" ht="15.75" customHeight="1">
      <c r="A756" s="121"/>
      <c r="B756" s="121"/>
      <c r="C756" s="121"/>
      <c r="D756" s="121"/>
      <c r="E756" s="121"/>
    </row>
    <row r="757" ht="15.75" customHeight="1">
      <c r="A757" s="121"/>
      <c r="B757" s="121"/>
      <c r="C757" s="121"/>
      <c r="D757" s="121"/>
      <c r="E757" s="121"/>
    </row>
    <row r="758" ht="15.75" customHeight="1">
      <c r="A758" s="121"/>
      <c r="B758" s="121"/>
      <c r="C758" s="121"/>
      <c r="D758" s="121"/>
      <c r="E758" s="121"/>
    </row>
    <row r="759" ht="15.75" customHeight="1">
      <c r="A759" s="121"/>
      <c r="B759" s="121"/>
      <c r="C759" s="121"/>
      <c r="D759" s="121"/>
      <c r="E759" s="121"/>
    </row>
    <row r="760" ht="15.75" customHeight="1">
      <c r="A760" s="121"/>
      <c r="B760" s="121"/>
      <c r="C760" s="121"/>
      <c r="D760" s="121"/>
      <c r="E760" s="121"/>
    </row>
    <row r="761" ht="15.75" customHeight="1">
      <c r="A761" s="121"/>
      <c r="B761" s="121"/>
      <c r="C761" s="121"/>
      <c r="D761" s="121"/>
      <c r="E761" s="121"/>
    </row>
    <row r="762" ht="15.75" customHeight="1">
      <c r="A762" s="121"/>
      <c r="B762" s="121"/>
      <c r="C762" s="121"/>
      <c r="D762" s="121"/>
      <c r="E762" s="121"/>
    </row>
    <row r="763" ht="15.75" customHeight="1">
      <c r="A763" s="121"/>
      <c r="B763" s="121"/>
      <c r="C763" s="121"/>
      <c r="D763" s="121"/>
      <c r="E763" s="121"/>
    </row>
    <row r="764" ht="15.75" customHeight="1">
      <c r="A764" s="121"/>
      <c r="B764" s="121"/>
      <c r="C764" s="121"/>
      <c r="D764" s="121"/>
      <c r="E764" s="121"/>
    </row>
    <row r="765" ht="15.75" customHeight="1">
      <c r="A765" s="121"/>
      <c r="B765" s="121"/>
      <c r="C765" s="121"/>
      <c r="D765" s="121"/>
      <c r="E765" s="121"/>
    </row>
    <row r="766" ht="15.75" customHeight="1">
      <c r="A766" s="121"/>
      <c r="B766" s="121"/>
      <c r="C766" s="121"/>
      <c r="D766" s="121"/>
      <c r="E766" s="121"/>
    </row>
    <row r="767" ht="15.75" customHeight="1">
      <c r="A767" s="121"/>
      <c r="B767" s="121"/>
      <c r="C767" s="121"/>
      <c r="D767" s="121"/>
      <c r="E767" s="121"/>
    </row>
    <row r="768" ht="15.75" customHeight="1">
      <c r="A768" s="121"/>
      <c r="B768" s="121"/>
      <c r="C768" s="121"/>
      <c r="D768" s="121"/>
      <c r="E768" s="121"/>
    </row>
    <row r="769" ht="15.75" customHeight="1">
      <c r="A769" s="121"/>
      <c r="B769" s="121"/>
      <c r="C769" s="121"/>
      <c r="D769" s="121"/>
      <c r="E769" s="121"/>
    </row>
    <row r="770" ht="15.75" customHeight="1">
      <c r="A770" s="121"/>
      <c r="B770" s="121"/>
      <c r="C770" s="121"/>
      <c r="D770" s="121"/>
      <c r="E770" s="121"/>
    </row>
    <row r="771" ht="15.75" customHeight="1">
      <c r="A771" s="121"/>
      <c r="B771" s="121"/>
      <c r="C771" s="121"/>
      <c r="D771" s="121"/>
      <c r="E771" s="121"/>
    </row>
    <row r="772" ht="15.75" customHeight="1">
      <c r="A772" s="121"/>
      <c r="B772" s="121"/>
      <c r="C772" s="121"/>
      <c r="D772" s="121"/>
      <c r="E772" s="121"/>
    </row>
    <row r="773" ht="15.75" customHeight="1">
      <c r="A773" s="121"/>
      <c r="B773" s="121"/>
      <c r="C773" s="121"/>
      <c r="D773" s="121"/>
      <c r="E773" s="121"/>
    </row>
    <row r="774" ht="15.75" customHeight="1">
      <c r="A774" s="121"/>
      <c r="B774" s="121"/>
      <c r="C774" s="121"/>
      <c r="D774" s="121"/>
      <c r="E774" s="121"/>
    </row>
    <row r="775" ht="15.75" customHeight="1">
      <c r="A775" s="121"/>
      <c r="B775" s="121"/>
      <c r="C775" s="121"/>
      <c r="D775" s="121"/>
      <c r="E775" s="121"/>
    </row>
    <row r="776" ht="15.75" customHeight="1">
      <c r="A776" s="121"/>
      <c r="B776" s="121"/>
      <c r="C776" s="121"/>
      <c r="D776" s="121"/>
      <c r="E776" s="121"/>
    </row>
    <row r="777" ht="15.75" customHeight="1">
      <c r="A777" s="121"/>
      <c r="B777" s="121"/>
      <c r="C777" s="121"/>
      <c r="D777" s="121"/>
      <c r="E777" s="121"/>
    </row>
    <row r="778" ht="15.75" customHeight="1">
      <c r="A778" s="121"/>
      <c r="B778" s="121"/>
      <c r="C778" s="121"/>
      <c r="D778" s="121"/>
      <c r="E778" s="121"/>
    </row>
    <row r="779" ht="15.75" customHeight="1">
      <c r="A779" s="121"/>
      <c r="B779" s="121"/>
      <c r="C779" s="121"/>
      <c r="D779" s="121"/>
      <c r="E779" s="121"/>
    </row>
    <row r="780" ht="15.75" customHeight="1">
      <c r="A780" s="121"/>
      <c r="B780" s="121"/>
      <c r="C780" s="121"/>
      <c r="D780" s="121"/>
      <c r="E780" s="121"/>
    </row>
    <row r="781" ht="15.75" customHeight="1">
      <c r="A781" s="121"/>
      <c r="B781" s="121"/>
      <c r="C781" s="121"/>
      <c r="D781" s="121"/>
      <c r="E781" s="121"/>
    </row>
    <row r="782" ht="15.75" customHeight="1">
      <c r="A782" s="121"/>
      <c r="B782" s="121"/>
      <c r="C782" s="121"/>
      <c r="D782" s="121"/>
      <c r="E782" s="121"/>
    </row>
    <row r="783" ht="15.75" customHeight="1">
      <c r="A783" s="121"/>
      <c r="B783" s="121"/>
      <c r="C783" s="121"/>
      <c r="D783" s="121"/>
      <c r="E783" s="121"/>
    </row>
    <row r="784" ht="15.75" customHeight="1">
      <c r="A784" s="121"/>
      <c r="B784" s="121"/>
      <c r="C784" s="121"/>
      <c r="D784" s="121"/>
      <c r="E784" s="121"/>
    </row>
    <row r="785" ht="15.75" customHeight="1">
      <c r="A785" s="121"/>
      <c r="B785" s="121"/>
      <c r="C785" s="121"/>
      <c r="D785" s="121"/>
      <c r="E785" s="121"/>
    </row>
    <row r="786" ht="15.75" customHeight="1">
      <c r="A786" s="121"/>
      <c r="B786" s="121"/>
      <c r="C786" s="121"/>
      <c r="D786" s="121"/>
      <c r="E786" s="121"/>
    </row>
    <row r="787" ht="15.75" customHeight="1">
      <c r="A787" s="121"/>
      <c r="B787" s="121"/>
      <c r="C787" s="121"/>
      <c r="D787" s="121"/>
      <c r="E787" s="121"/>
    </row>
    <row r="788" ht="15.75" customHeight="1">
      <c r="A788" s="121"/>
      <c r="B788" s="121"/>
      <c r="C788" s="121"/>
      <c r="D788" s="121"/>
      <c r="E788" s="121"/>
    </row>
    <row r="789" ht="15.75" customHeight="1">
      <c r="A789" s="121"/>
      <c r="B789" s="121"/>
      <c r="C789" s="121"/>
      <c r="D789" s="121"/>
      <c r="E789" s="121"/>
    </row>
    <row r="790" ht="15.75" customHeight="1">
      <c r="A790" s="121"/>
      <c r="B790" s="121"/>
      <c r="C790" s="121"/>
      <c r="D790" s="121"/>
      <c r="E790" s="121"/>
    </row>
    <row r="791" ht="15.75" customHeight="1">
      <c r="A791" s="121"/>
      <c r="B791" s="121"/>
      <c r="C791" s="121"/>
      <c r="D791" s="121"/>
      <c r="E791" s="121"/>
    </row>
    <row r="792" ht="15.75" customHeight="1">
      <c r="A792" s="121"/>
      <c r="B792" s="121"/>
      <c r="C792" s="121"/>
      <c r="D792" s="121"/>
      <c r="E792" s="121"/>
    </row>
    <row r="793" ht="15.75" customHeight="1">
      <c r="A793" s="121"/>
      <c r="B793" s="121"/>
      <c r="C793" s="121"/>
      <c r="D793" s="121"/>
      <c r="E793" s="121"/>
    </row>
    <row r="794" ht="15.75" customHeight="1">
      <c r="A794" s="121"/>
      <c r="B794" s="121"/>
      <c r="C794" s="121"/>
      <c r="D794" s="121"/>
      <c r="E794" s="121"/>
    </row>
    <row r="795" ht="15.75" customHeight="1">
      <c r="A795" s="121"/>
      <c r="B795" s="121"/>
      <c r="C795" s="121"/>
      <c r="D795" s="121"/>
      <c r="E795" s="121"/>
    </row>
    <row r="796" ht="15.75" customHeight="1">
      <c r="A796" s="121"/>
      <c r="B796" s="121"/>
      <c r="C796" s="121"/>
      <c r="D796" s="121"/>
      <c r="E796" s="121"/>
    </row>
    <row r="797" ht="15.75" customHeight="1">
      <c r="A797" s="121"/>
      <c r="B797" s="121"/>
      <c r="C797" s="121"/>
      <c r="D797" s="121"/>
      <c r="E797" s="121"/>
    </row>
    <row r="798" ht="15.75" customHeight="1">
      <c r="A798" s="121"/>
      <c r="B798" s="121"/>
      <c r="C798" s="121"/>
      <c r="D798" s="121"/>
      <c r="E798" s="121"/>
    </row>
    <row r="799" ht="15.75" customHeight="1">
      <c r="A799" s="121"/>
      <c r="B799" s="121"/>
      <c r="C799" s="121"/>
      <c r="D799" s="121"/>
      <c r="E799" s="121"/>
    </row>
    <row r="800" ht="15.75" customHeight="1">
      <c r="A800" s="121"/>
      <c r="B800" s="121"/>
      <c r="C800" s="121"/>
      <c r="D800" s="121"/>
      <c r="E800" s="121"/>
    </row>
    <row r="801" ht="15.75" customHeight="1">
      <c r="A801" s="121"/>
      <c r="B801" s="121"/>
      <c r="C801" s="121"/>
      <c r="D801" s="121"/>
      <c r="E801" s="121"/>
    </row>
    <row r="802" ht="15.75" customHeight="1">
      <c r="A802" s="121"/>
      <c r="B802" s="121"/>
      <c r="C802" s="121"/>
      <c r="D802" s="121"/>
      <c r="E802" s="121"/>
    </row>
    <row r="803" ht="15.75" customHeight="1">
      <c r="A803" s="121"/>
      <c r="B803" s="121"/>
      <c r="C803" s="121"/>
      <c r="D803" s="121"/>
      <c r="E803" s="121"/>
    </row>
    <row r="804" ht="15.75" customHeight="1">
      <c r="A804" s="121"/>
      <c r="B804" s="121"/>
      <c r="C804" s="121"/>
      <c r="D804" s="121"/>
      <c r="E804" s="121"/>
    </row>
    <row r="805" ht="15.75" customHeight="1">
      <c r="A805" s="121"/>
      <c r="B805" s="121"/>
      <c r="C805" s="121"/>
      <c r="D805" s="121"/>
      <c r="E805" s="121"/>
    </row>
    <row r="806" ht="15.75" customHeight="1">
      <c r="A806" s="121"/>
      <c r="B806" s="121"/>
      <c r="C806" s="121"/>
      <c r="D806" s="121"/>
      <c r="E806" s="121"/>
    </row>
    <row r="807" ht="15.75" customHeight="1">
      <c r="A807" s="121"/>
      <c r="B807" s="121"/>
      <c r="C807" s="121"/>
      <c r="D807" s="121"/>
      <c r="E807" s="121"/>
    </row>
    <row r="808" ht="15.75" customHeight="1">
      <c r="A808" s="121"/>
      <c r="B808" s="121"/>
      <c r="C808" s="121"/>
      <c r="D808" s="121"/>
      <c r="E808" s="121"/>
    </row>
    <row r="809" ht="15.75" customHeight="1">
      <c r="A809" s="121"/>
      <c r="B809" s="121"/>
      <c r="C809" s="121"/>
      <c r="D809" s="121"/>
      <c r="E809" s="121"/>
    </row>
    <row r="810" ht="15.75" customHeight="1">
      <c r="A810" s="121"/>
      <c r="B810" s="121"/>
      <c r="C810" s="121"/>
      <c r="D810" s="121"/>
      <c r="E810" s="121"/>
    </row>
    <row r="811" ht="15.75" customHeight="1">
      <c r="A811" s="121"/>
      <c r="B811" s="121"/>
      <c r="C811" s="121"/>
      <c r="D811" s="121"/>
      <c r="E811" s="121"/>
    </row>
    <row r="812" ht="15.75" customHeight="1">
      <c r="A812" s="121"/>
      <c r="B812" s="121"/>
      <c r="C812" s="121"/>
      <c r="D812" s="121"/>
      <c r="E812" s="121"/>
    </row>
    <row r="813" ht="15.75" customHeight="1">
      <c r="A813" s="121"/>
      <c r="B813" s="121"/>
      <c r="C813" s="121"/>
      <c r="D813" s="121"/>
      <c r="E813" s="121"/>
    </row>
    <row r="814" ht="15.75" customHeight="1">
      <c r="A814" s="121"/>
      <c r="B814" s="121"/>
      <c r="C814" s="121"/>
      <c r="D814" s="121"/>
      <c r="E814" s="121"/>
    </row>
    <row r="815" ht="15.75" customHeight="1">
      <c r="A815" s="121"/>
      <c r="B815" s="121"/>
      <c r="C815" s="121"/>
      <c r="D815" s="121"/>
      <c r="E815" s="121"/>
    </row>
    <row r="816" ht="15.75" customHeight="1">
      <c r="A816" s="121"/>
      <c r="B816" s="121"/>
      <c r="C816" s="121"/>
      <c r="D816" s="121"/>
      <c r="E816" s="121"/>
    </row>
    <row r="817" ht="15.75" customHeight="1">
      <c r="A817" s="121"/>
      <c r="B817" s="121"/>
      <c r="C817" s="121"/>
      <c r="D817" s="121"/>
      <c r="E817" s="121"/>
    </row>
    <row r="818" ht="15.75" customHeight="1">
      <c r="A818" s="121"/>
      <c r="B818" s="121"/>
      <c r="C818" s="121"/>
      <c r="D818" s="121"/>
      <c r="E818" s="121"/>
    </row>
    <row r="819" ht="15.75" customHeight="1">
      <c r="A819" s="121"/>
      <c r="B819" s="121"/>
      <c r="C819" s="121"/>
      <c r="D819" s="121"/>
      <c r="E819" s="121"/>
    </row>
    <row r="820" ht="15.75" customHeight="1">
      <c r="A820" s="121"/>
      <c r="B820" s="121"/>
      <c r="C820" s="121"/>
      <c r="D820" s="121"/>
      <c r="E820" s="121"/>
    </row>
    <row r="821" ht="15.75" customHeight="1">
      <c r="A821" s="121"/>
      <c r="B821" s="121"/>
      <c r="C821" s="121"/>
      <c r="D821" s="121"/>
      <c r="E821" s="121"/>
    </row>
    <row r="822" ht="15.75" customHeight="1">
      <c r="A822" s="121"/>
      <c r="B822" s="121"/>
      <c r="C822" s="121"/>
      <c r="D822" s="121"/>
      <c r="E822" s="121"/>
    </row>
    <row r="823" ht="15.75" customHeight="1">
      <c r="A823" s="121"/>
      <c r="B823" s="121"/>
      <c r="C823" s="121"/>
      <c r="D823" s="121"/>
      <c r="E823" s="121"/>
    </row>
    <row r="824" ht="15.75" customHeight="1">
      <c r="A824" s="121"/>
      <c r="B824" s="121"/>
      <c r="C824" s="121"/>
      <c r="D824" s="121"/>
      <c r="E824" s="121"/>
    </row>
    <row r="825" ht="15.75" customHeight="1">
      <c r="A825" s="121"/>
      <c r="B825" s="121"/>
      <c r="C825" s="121"/>
      <c r="D825" s="121"/>
      <c r="E825" s="121"/>
    </row>
    <row r="826" ht="15.75" customHeight="1">
      <c r="A826" s="121"/>
      <c r="B826" s="121"/>
      <c r="C826" s="121"/>
      <c r="D826" s="121"/>
      <c r="E826" s="121"/>
    </row>
    <row r="827" ht="15.75" customHeight="1">
      <c r="A827" s="121"/>
      <c r="B827" s="121"/>
      <c r="C827" s="121"/>
      <c r="D827" s="121"/>
      <c r="E827" s="121"/>
    </row>
    <row r="828" ht="15.75" customHeight="1">
      <c r="A828" s="121"/>
      <c r="B828" s="121"/>
      <c r="C828" s="121"/>
      <c r="D828" s="121"/>
      <c r="E828" s="121"/>
    </row>
    <row r="829" ht="15.75" customHeight="1">
      <c r="A829" s="121"/>
      <c r="B829" s="121"/>
      <c r="C829" s="121"/>
      <c r="D829" s="121"/>
      <c r="E829" s="121"/>
    </row>
    <row r="830" ht="15.75" customHeight="1">
      <c r="A830" s="121"/>
      <c r="B830" s="121"/>
      <c r="C830" s="121"/>
      <c r="D830" s="121"/>
      <c r="E830" s="121"/>
    </row>
    <row r="831" ht="15.75" customHeight="1">
      <c r="A831" s="121"/>
      <c r="B831" s="121"/>
      <c r="C831" s="121"/>
      <c r="D831" s="121"/>
      <c r="E831" s="121"/>
    </row>
    <row r="832" ht="15.75" customHeight="1">
      <c r="A832" s="121"/>
      <c r="B832" s="121"/>
      <c r="C832" s="121"/>
      <c r="D832" s="121"/>
      <c r="E832" s="121"/>
    </row>
    <row r="833" ht="15.75" customHeight="1">
      <c r="A833" s="121"/>
      <c r="B833" s="121"/>
      <c r="C833" s="121"/>
      <c r="D833" s="121"/>
      <c r="E833" s="121"/>
    </row>
    <row r="834" ht="15.75" customHeight="1">
      <c r="A834" s="121"/>
      <c r="B834" s="121"/>
      <c r="C834" s="121"/>
      <c r="D834" s="121"/>
      <c r="E834" s="121"/>
    </row>
    <row r="835" ht="15.75" customHeight="1">
      <c r="A835" s="121"/>
      <c r="B835" s="121"/>
      <c r="C835" s="121"/>
      <c r="D835" s="121"/>
      <c r="E835" s="121"/>
    </row>
    <row r="836" ht="15.75" customHeight="1">
      <c r="A836" s="121"/>
      <c r="B836" s="121"/>
      <c r="C836" s="121"/>
      <c r="D836" s="121"/>
      <c r="E836" s="121"/>
    </row>
    <row r="837" ht="15.75" customHeight="1">
      <c r="A837" s="121"/>
      <c r="B837" s="121"/>
      <c r="C837" s="121"/>
      <c r="D837" s="121"/>
      <c r="E837" s="121"/>
    </row>
    <row r="838" ht="15.75" customHeight="1">
      <c r="A838" s="121"/>
      <c r="B838" s="121"/>
      <c r="C838" s="121"/>
      <c r="D838" s="121"/>
      <c r="E838" s="121"/>
    </row>
    <row r="839" ht="15.75" customHeight="1">
      <c r="A839" s="121"/>
      <c r="B839" s="121"/>
      <c r="C839" s="121"/>
      <c r="D839" s="121"/>
      <c r="E839" s="121"/>
    </row>
    <row r="840" ht="15.75" customHeight="1">
      <c r="A840" s="121"/>
      <c r="B840" s="121"/>
      <c r="C840" s="121"/>
      <c r="D840" s="121"/>
      <c r="E840" s="121"/>
    </row>
    <row r="841" ht="15.75" customHeight="1">
      <c r="A841" s="121"/>
      <c r="B841" s="121"/>
      <c r="C841" s="121"/>
      <c r="D841" s="121"/>
      <c r="E841" s="121"/>
    </row>
    <row r="842" ht="15.75" customHeight="1">
      <c r="A842" s="121"/>
      <c r="B842" s="121"/>
      <c r="C842" s="121"/>
      <c r="D842" s="121"/>
      <c r="E842" s="121"/>
    </row>
    <row r="843" ht="15.75" customHeight="1">
      <c r="A843" s="121"/>
      <c r="B843" s="121"/>
      <c r="C843" s="121"/>
      <c r="D843" s="121"/>
      <c r="E843" s="121"/>
    </row>
    <row r="844" ht="15.75" customHeight="1">
      <c r="A844" s="121"/>
      <c r="B844" s="121"/>
      <c r="C844" s="121"/>
      <c r="D844" s="121"/>
      <c r="E844" s="121"/>
    </row>
    <row r="845" ht="15.75" customHeight="1">
      <c r="A845" s="121"/>
      <c r="B845" s="121"/>
      <c r="C845" s="121"/>
      <c r="D845" s="121"/>
      <c r="E845" s="121"/>
    </row>
    <row r="846" ht="15.75" customHeight="1">
      <c r="A846" s="121"/>
      <c r="B846" s="121"/>
      <c r="C846" s="121"/>
      <c r="D846" s="121"/>
      <c r="E846" s="121"/>
    </row>
    <row r="847" ht="15.75" customHeight="1">
      <c r="A847" s="121"/>
      <c r="B847" s="121"/>
      <c r="C847" s="121"/>
      <c r="D847" s="121"/>
      <c r="E847" s="121"/>
    </row>
    <row r="848" ht="15.75" customHeight="1">
      <c r="A848" s="121"/>
      <c r="B848" s="121"/>
      <c r="C848" s="121"/>
      <c r="D848" s="121"/>
      <c r="E848" s="121"/>
    </row>
    <row r="849" ht="15.75" customHeight="1">
      <c r="A849" s="121"/>
      <c r="B849" s="121"/>
      <c r="C849" s="121"/>
      <c r="D849" s="121"/>
      <c r="E849" s="121"/>
    </row>
    <row r="850" ht="15.75" customHeight="1">
      <c r="A850" s="121"/>
      <c r="B850" s="121"/>
      <c r="C850" s="121"/>
      <c r="D850" s="121"/>
      <c r="E850" s="121"/>
    </row>
    <row r="851" ht="15.75" customHeight="1">
      <c r="A851" s="121"/>
      <c r="B851" s="121"/>
      <c r="C851" s="121"/>
      <c r="D851" s="121"/>
      <c r="E851" s="121"/>
    </row>
    <row r="852" ht="15.75" customHeight="1">
      <c r="A852" s="121"/>
      <c r="B852" s="121"/>
      <c r="C852" s="121"/>
      <c r="D852" s="121"/>
      <c r="E852" s="121"/>
    </row>
    <row r="853" ht="15.75" customHeight="1">
      <c r="A853" s="121"/>
      <c r="B853" s="121"/>
      <c r="C853" s="121"/>
      <c r="D853" s="121"/>
      <c r="E853" s="121"/>
    </row>
    <row r="854" ht="15.75" customHeight="1">
      <c r="A854" s="121"/>
      <c r="B854" s="121"/>
      <c r="C854" s="121"/>
      <c r="D854" s="121"/>
      <c r="E854" s="121"/>
    </row>
    <row r="855" ht="15.75" customHeight="1">
      <c r="A855" s="121"/>
      <c r="B855" s="121"/>
      <c r="C855" s="121"/>
      <c r="D855" s="121"/>
      <c r="E855" s="121"/>
    </row>
    <row r="856" ht="15.75" customHeight="1">
      <c r="A856" s="121"/>
      <c r="B856" s="121"/>
      <c r="C856" s="121"/>
      <c r="D856" s="121"/>
      <c r="E856" s="121"/>
    </row>
    <row r="857" ht="15.75" customHeight="1">
      <c r="A857" s="121"/>
      <c r="B857" s="121"/>
      <c r="C857" s="121"/>
      <c r="D857" s="121"/>
      <c r="E857" s="121"/>
    </row>
    <row r="858" ht="15.75" customHeight="1">
      <c r="A858" s="121"/>
      <c r="B858" s="121"/>
      <c r="C858" s="121"/>
      <c r="D858" s="121"/>
      <c r="E858" s="121"/>
    </row>
    <row r="859" ht="15.75" customHeight="1">
      <c r="A859" s="121"/>
      <c r="B859" s="121"/>
      <c r="C859" s="121"/>
      <c r="D859" s="121"/>
      <c r="E859" s="121"/>
    </row>
    <row r="860" ht="15.75" customHeight="1">
      <c r="A860" s="121"/>
      <c r="B860" s="121"/>
      <c r="C860" s="121"/>
      <c r="D860" s="121"/>
      <c r="E860" s="121"/>
    </row>
    <row r="861" ht="15.75" customHeight="1">
      <c r="A861" s="121"/>
      <c r="B861" s="121"/>
      <c r="C861" s="121"/>
      <c r="D861" s="121"/>
      <c r="E861" s="121"/>
    </row>
    <row r="862" ht="15.75" customHeight="1">
      <c r="A862" s="121"/>
      <c r="B862" s="121"/>
      <c r="C862" s="121"/>
      <c r="D862" s="121"/>
      <c r="E862" s="121"/>
    </row>
    <row r="863" ht="15.75" customHeight="1">
      <c r="A863" s="121"/>
      <c r="B863" s="121"/>
      <c r="C863" s="121"/>
      <c r="D863" s="121"/>
      <c r="E863" s="121"/>
    </row>
    <row r="864" ht="15.75" customHeight="1">
      <c r="A864" s="121"/>
      <c r="B864" s="121"/>
      <c r="C864" s="121"/>
      <c r="D864" s="121"/>
      <c r="E864" s="121"/>
    </row>
    <row r="865" ht="15.75" customHeight="1">
      <c r="A865" s="121"/>
      <c r="B865" s="121"/>
      <c r="C865" s="121"/>
      <c r="D865" s="121"/>
      <c r="E865" s="121"/>
    </row>
    <row r="866" ht="15.75" customHeight="1">
      <c r="A866" s="121"/>
      <c r="B866" s="121"/>
      <c r="C866" s="121"/>
      <c r="D866" s="121"/>
      <c r="E866" s="121"/>
    </row>
    <row r="867" ht="15.75" customHeight="1">
      <c r="A867" s="121"/>
      <c r="B867" s="121"/>
      <c r="C867" s="121"/>
      <c r="D867" s="121"/>
      <c r="E867" s="121"/>
    </row>
    <row r="868" ht="15.75" customHeight="1">
      <c r="A868" s="121"/>
      <c r="B868" s="121"/>
      <c r="C868" s="121"/>
      <c r="D868" s="121"/>
      <c r="E868" s="121"/>
    </row>
    <row r="869" ht="15.75" customHeight="1">
      <c r="A869" s="121"/>
      <c r="B869" s="121"/>
      <c r="C869" s="121"/>
      <c r="D869" s="121"/>
      <c r="E869" s="121"/>
    </row>
    <row r="870" ht="15.75" customHeight="1">
      <c r="A870" s="121"/>
      <c r="B870" s="121"/>
      <c r="C870" s="121"/>
      <c r="D870" s="121"/>
      <c r="E870" s="121"/>
    </row>
    <row r="871" ht="15.75" customHeight="1">
      <c r="A871" s="121"/>
      <c r="B871" s="121"/>
      <c r="C871" s="121"/>
      <c r="D871" s="121"/>
      <c r="E871" s="121"/>
    </row>
    <row r="872" ht="15.75" customHeight="1">
      <c r="A872" s="121"/>
      <c r="B872" s="121"/>
      <c r="C872" s="121"/>
      <c r="D872" s="121"/>
      <c r="E872" s="121"/>
    </row>
    <row r="873" ht="15.75" customHeight="1">
      <c r="A873" s="121"/>
      <c r="B873" s="121"/>
      <c r="C873" s="121"/>
      <c r="D873" s="121"/>
      <c r="E873" s="121"/>
    </row>
    <row r="874" ht="15.75" customHeight="1">
      <c r="A874" s="121"/>
      <c r="B874" s="121"/>
      <c r="C874" s="121"/>
      <c r="D874" s="121"/>
      <c r="E874" s="121"/>
    </row>
    <row r="875" ht="15.75" customHeight="1">
      <c r="A875" s="121"/>
      <c r="B875" s="121"/>
      <c r="C875" s="121"/>
      <c r="D875" s="121"/>
      <c r="E875" s="121"/>
    </row>
    <row r="876" ht="15.75" customHeight="1">
      <c r="A876" s="121"/>
      <c r="B876" s="121"/>
      <c r="C876" s="121"/>
      <c r="D876" s="121"/>
      <c r="E876" s="121"/>
    </row>
    <row r="877" ht="15.75" customHeight="1">
      <c r="A877" s="121"/>
      <c r="B877" s="121"/>
      <c r="C877" s="121"/>
      <c r="D877" s="121"/>
      <c r="E877" s="121"/>
    </row>
    <row r="878" ht="15.75" customHeight="1">
      <c r="A878" s="121"/>
      <c r="B878" s="121"/>
      <c r="C878" s="121"/>
      <c r="D878" s="121"/>
      <c r="E878" s="121"/>
    </row>
    <row r="879" ht="15.75" customHeight="1">
      <c r="A879" s="121"/>
      <c r="B879" s="121"/>
      <c r="C879" s="121"/>
      <c r="D879" s="121"/>
      <c r="E879" s="121"/>
    </row>
    <row r="880" ht="15.75" customHeight="1">
      <c r="A880" s="121"/>
      <c r="B880" s="121"/>
      <c r="C880" s="121"/>
      <c r="D880" s="121"/>
      <c r="E880" s="121"/>
    </row>
    <row r="881" ht="15.75" customHeight="1">
      <c r="A881" s="121"/>
      <c r="B881" s="121"/>
      <c r="C881" s="121"/>
      <c r="D881" s="121"/>
      <c r="E881" s="121"/>
    </row>
    <row r="882" ht="15.75" customHeight="1">
      <c r="A882" s="121"/>
      <c r="B882" s="121"/>
      <c r="C882" s="121"/>
      <c r="D882" s="121"/>
      <c r="E882" s="121"/>
    </row>
    <row r="883" ht="15.75" customHeight="1">
      <c r="A883" s="121"/>
      <c r="B883" s="121"/>
      <c r="C883" s="121"/>
      <c r="D883" s="121"/>
      <c r="E883" s="121"/>
    </row>
    <row r="884" ht="15.75" customHeight="1">
      <c r="A884" s="121"/>
      <c r="B884" s="121"/>
      <c r="C884" s="121"/>
      <c r="D884" s="121"/>
      <c r="E884" s="121"/>
    </row>
    <row r="885" ht="15.75" customHeight="1">
      <c r="A885" s="121"/>
      <c r="B885" s="121"/>
      <c r="C885" s="121"/>
      <c r="D885" s="121"/>
      <c r="E885" s="121"/>
    </row>
    <row r="886" ht="15.75" customHeight="1">
      <c r="A886" s="121"/>
      <c r="B886" s="121"/>
      <c r="C886" s="121"/>
      <c r="D886" s="121"/>
      <c r="E886" s="121"/>
    </row>
    <row r="887" ht="15.75" customHeight="1">
      <c r="A887" s="121"/>
      <c r="B887" s="121"/>
      <c r="C887" s="121"/>
      <c r="D887" s="121"/>
      <c r="E887" s="121"/>
    </row>
    <row r="888" ht="15.75" customHeight="1">
      <c r="A888" s="121"/>
      <c r="B888" s="121"/>
      <c r="C888" s="121"/>
      <c r="D888" s="121"/>
      <c r="E888" s="121"/>
    </row>
    <row r="889" ht="15.75" customHeight="1">
      <c r="A889" s="121"/>
      <c r="B889" s="121"/>
      <c r="C889" s="121"/>
      <c r="D889" s="121"/>
      <c r="E889" s="121"/>
    </row>
    <row r="890" ht="15.75" customHeight="1">
      <c r="A890" s="121"/>
      <c r="B890" s="121"/>
      <c r="C890" s="121"/>
      <c r="D890" s="121"/>
      <c r="E890" s="121"/>
    </row>
    <row r="891" ht="15.75" customHeight="1">
      <c r="A891" s="121"/>
      <c r="B891" s="121"/>
      <c r="C891" s="121"/>
      <c r="D891" s="121"/>
      <c r="E891" s="121"/>
    </row>
    <row r="892" ht="15.75" customHeight="1">
      <c r="A892" s="121"/>
      <c r="B892" s="121"/>
      <c r="C892" s="121"/>
      <c r="D892" s="121"/>
      <c r="E892" s="121"/>
    </row>
    <row r="893" ht="15.75" customHeight="1">
      <c r="A893" s="121"/>
      <c r="B893" s="121"/>
      <c r="C893" s="121"/>
      <c r="D893" s="121"/>
      <c r="E893" s="121"/>
    </row>
    <row r="894" ht="15.75" customHeight="1">
      <c r="A894" s="121"/>
      <c r="B894" s="121"/>
      <c r="C894" s="121"/>
      <c r="D894" s="121"/>
      <c r="E894" s="121"/>
    </row>
    <row r="895" ht="15.75" customHeight="1">
      <c r="A895" s="121"/>
      <c r="B895" s="121"/>
      <c r="C895" s="121"/>
      <c r="D895" s="121"/>
      <c r="E895" s="121"/>
    </row>
    <row r="896" ht="15.75" customHeight="1">
      <c r="A896" s="121"/>
      <c r="B896" s="121"/>
      <c r="C896" s="121"/>
      <c r="D896" s="121"/>
      <c r="E896" s="121"/>
    </row>
    <row r="897" ht="15.75" customHeight="1">
      <c r="A897" s="121"/>
      <c r="B897" s="121"/>
      <c r="C897" s="121"/>
      <c r="D897" s="121"/>
      <c r="E897" s="121"/>
    </row>
    <row r="898" ht="15.75" customHeight="1">
      <c r="A898" s="121"/>
      <c r="B898" s="121"/>
      <c r="C898" s="121"/>
      <c r="D898" s="121"/>
      <c r="E898" s="121"/>
    </row>
    <row r="899" ht="15.75" customHeight="1">
      <c r="A899" s="121"/>
      <c r="B899" s="121"/>
      <c r="C899" s="121"/>
      <c r="D899" s="121"/>
      <c r="E899" s="121"/>
    </row>
    <row r="900" ht="15.75" customHeight="1">
      <c r="A900" s="121"/>
      <c r="B900" s="121"/>
      <c r="C900" s="121"/>
      <c r="D900" s="121"/>
      <c r="E900" s="121"/>
    </row>
    <row r="901" ht="15.75" customHeight="1">
      <c r="A901" s="121"/>
      <c r="B901" s="121"/>
      <c r="C901" s="121"/>
      <c r="D901" s="121"/>
      <c r="E901" s="121"/>
    </row>
    <row r="902" ht="15.75" customHeight="1">
      <c r="A902" s="121"/>
      <c r="B902" s="121"/>
      <c r="C902" s="121"/>
      <c r="D902" s="121"/>
      <c r="E902" s="121"/>
    </row>
    <row r="903" ht="15.75" customHeight="1">
      <c r="A903" s="121"/>
      <c r="B903" s="121"/>
      <c r="C903" s="121"/>
      <c r="D903" s="121"/>
      <c r="E903" s="121"/>
    </row>
    <row r="904" ht="15.75" customHeight="1">
      <c r="A904" s="121"/>
      <c r="B904" s="121"/>
      <c r="C904" s="121"/>
      <c r="D904" s="121"/>
      <c r="E904" s="121"/>
    </row>
    <row r="905" ht="15.75" customHeight="1">
      <c r="A905" s="121"/>
      <c r="B905" s="121"/>
      <c r="C905" s="121"/>
      <c r="D905" s="121"/>
      <c r="E905" s="121"/>
    </row>
    <row r="906" ht="15.75" customHeight="1">
      <c r="A906" s="121"/>
      <c r="B906" s="121"/>
      <c r="C906" s="121"/>
      <c r="D906" s="121"/>
      <c r="E906" s="121"/>
    </row>
    <row r="907" ht="15.75" customHeight="1">
      <c r="A907" s="121"/>
      <c r="B907" s="121"/>
      <c r="C907" s="121"/>
      <c r="D907" s="121"/>
      <c r="E907" s="121"/>
    </row>
    <row r="908" ht="15.75" customHeight="1">
      <c r="A908" s="121"/>
      <c r="B908" s="121"/>
      <c r="C908" s="121"/>
      <c r="D908" s="121"/>
      <c r="E908" s="121"/>
    </row>
    <row r="909" ht="15.75" customHeight="1">
      <c r="A909" s="121"/>
      <c r="B909" s="121"/>
      <c r="C909" s="121"/>
      <c r="D909" s="121"/>
      <c r="E909" s="121"/>
    </row>
    <row r="910" ht="15.75" customHeight="1">
      <c r="A910" s="121"/>
      <c r="B910" s="121"/>
      <c r="C910" s="121"/>
      <c r="D910" s="121"/>
      <c r="E910" s="121"/>
    </row>
    <row r="911" ht="15.75" customHeight="1">
      <c r="A911" s="121"/>
      <c r="B911" s="121"/>
      <c r="C911" s="121"/>
      <c r="D911" s="121"/>
      <c r="E911" s="121"/>
    </row>
    <row r="912" ht="15.75" customHeight="1">
      <c r="A912" s="121"/>
      <c r="B912" s="121"/>
      <c r="C912" s="121"/>
      <c r="D912" s="121"/>
      <c r="E912" s="121"/>
    </row>
    <row r="913" ht="15.75" customHeight="1">
      <c r="A913" s="121"/>
      <c r="B913" s="121"/>
      <c r="C913" s="121"/>
      <c r="D913" s="121"/>
      <c r="E913" s="121"/>
    </row>
    <row r="914" ht="15.75" customHeight="1">
      <c r="A914" s="121"/>
      <c r="B914" s="121"/>
      <c r="C914" s="121"/>
      <c r="D914" s="121"/>
      <c r="E914" s="121"/>
    </row>
    <row r="915" ht="15.75" customHeight="1">
      <c r="A915" s="121"/>
      <c r="B915" s="121"/>
      <c r="C915" s="121"/>
      <c r="D915" s="121"/>
      <c r="E915" s="121"/>
    </row>
    <row r="916" ht="15.75" customHeight="1">
      <c r="A916" s="121"/>
      <c r="B916" s="121"/>
      <c r="C916" s="121"/>
      <c r="D916" s="121"/>
      <c r="E916" s="121"/>
    </row>
    <row r="917" ht="15.75" customHeight="1">
      <c r="A917" s="121"/>
      <c r="B917" s="121"/>
      <c r="C917" s="121"/>
      <c r="D917" s="121"/>
      <c r="E917" s="121"/>
    </row>
    <row r="918" ht="15.75" customHeight="1">
      <c r="A918" s="121"/>
      <c r="B918" s="121"/>
      <c r="C918" s="121"/>
      <c r="D918" s="121"/>
      <c r="E918" s="121"/>
    </row>
    <row r="919" ht="15.75" customHeight="1">
      <c r="A919" s="121"/>
      <c r="B919" s="121"/>
      <c r="C919" s="121"/>
      <c r="D919" s="121"/>
      <c r="E919" s="121"/>
    </row>
    <row r="920" ht="15.75" customHeight="1">
      <c r="A920" s="121"/>
      <c r="B920" s="121"/>
      <c r="C920" s="121"/>
      <c r="D920" s="121"/>
      <c r="E920" s="121"/>
    </row>
    <row r="921" ht="15.75" customHeight="1">
      <c r="A921" s="121"/>
      <c r="B921" s="121"/>
      <c r="C921" s="121"/>
      <c r="D921" s="121"/>
      <c r="E921" s="121"/>
    </row>
    <row r="922" ht="15.75" customHeight="1">
      <c r="A922" s="121"/>
      <c r="B922" s="121"/>
      <c r="C922" s="121"/>
      <c r="D922" s="121"/>
      <c r="E922" s="121"/>
    </row>
    <row r="923" ht="15.75" customHeight="1">
      <c r="A923" s="121"/>
      <c r="B923" s="121"/>
      <c r="C923" s="121"/>
      <c r="D923" s="121"/>
      <c r="E923" s="121"/>
    </row>
    <row r="924" ht="15.75" customHeight="1">
      <c r="A924" s="121"/>
      <c r="B924" s="121"/>
      <c r="C924" s="121"/>
      <c r="D924" s="121"/>
      <c r="E924" s="121"/>
    </row>
    <row r="925" ht="15.75" customHeight="1">
      <c r="A925" s="121"/>
      <c r="B925" s="121"/>
      <c r="C925" s="121"/>
      <c r="D925" s="121"/>
      <c r="E925" s="121"/>
    </row>
    <row r="926" ht="15.75" customHeight="1">
      <c r="A926" s="121"/>
      <c r="B926" s="121"/>
      <c r="C926" s="121"/>
      <c r="D926" s="121"/>
      <c r="E926" s="121"/>
    </row>
    <row r="927" ht="15.75" customHeight="1">
      <c r="A927" s="121"/>
      <c r="B927" s="121"/>
      <c r="C927" s="121"/>
      <c r="D927" s="121"/>
      <c r="E927" s="121"/>
    </row>
    <row r="928" ht="15.75" customHeight="1">
      <c r="A928" s="121"/>
      <c r="B928" s="121"/>
      <c r="C928" s="121"/>
      <c r="D928" s="121"/>
      <c r="E928" s="121"/>
    </row>
    <row r="929" ht="15.75" customHeight="1">
      <c r="A929" s="121"/>
      <c r="B929" s="121"/>
      <c r="C929" s="121"/>
      <c r="D929" s="121"/>
      <c r="E929" s="121"/>
    </row>
    <row r="930" ht="15.75" customHeight="1">
      <c r="A930" s="121"/>
      <c r="B930" s="121"/>
      <c r="C930" s="121"/>
      <c r="D930" s="121"/>
      <c r="E930" s="121"/>
    </row>
    <row r="931" ht="15.75" customHeight="1">
      <c r="A931" s="121"/>
      <c r="B931" s="121"/>
      <c r="C931" s="121"/>
      <c r="D931" s="121"/>
      <c r="E931" s="121"/>
    </row>
    <row r="932" ht="15.75" customHeight="1">
      <c r="A932" s="121"/>
      <c r="B932" s="121"/>
      <c r="C932" s="121"/>
      <c r="D932" s="121"/>
      <c r="E932" s="121"/>
    </row>
    <row r="933" ht="15.75" customHeight="1">
      <c r="A933" s="121"/>
      <c r="B933" s="121"/>
      <c r="C933" s="121"/>
      <c r="D933" s="121"/>
      <c r="E933" s="121"/>
    </row>
    <row r="934" ht="15.75" customHeight="1">
      <c r="A934" s="121"/>
      <c r="B934" s="121"/>
      <c r="C934" s="121"/>
      <c r="D934" s="121"/>
      <c r="E934" s="121"/>
    </row>
    <row r="935" ht="15.75" customHeight="1">
      <c r="A935" s="121"/>
      <c r="B935" s="121"/>
      <c r="C935" s="121"/>
      <c r="D935" s="121"/>
      <c r="E935" s="121"/>
    </row>
    <row r="936" ht="15.75" customHeight="1">
      <c r="A936" s="121"/>
      <c r="B936" s="121"/>
      <c r="C936" s="121"/>
      <c r="D936" s="121"/>
      <c r="E936" s="121"/>
    </row>
    <row r="937" ht="15.75" customHeight="1">
      <c r="A937" s="121"/>
      <c r="B937" s="121"/>
      <c r="C937" s="121"/>
      <c r="D937" s="121"/>
      <c r="E937" s="121"/>
    </row>
    <row r="938" ht="15.75" customHeight="1">
      <c r="A938" s="121"/>
      <c r="B938" s="121"/>
      <c r="C938" s="121"/>
      <c r="D938" s="121"/>
      <c r="E938" s="121"/>
    </row>
    <row r="939" ht="15.75" customHeight="1">
      <c r="A939" s="121"/>
      <c r="B939" s="121"/>
      <c r="C939" s="121"/>
      <c r="D939" s="121"/>
      <c r="E939" s="121"/>
    </row>
    <row r="940" ht="15.75" customHeight="1">
      <c r="A940" s="121"/>
      <c r="B940" s="121"/>
      <c r="C940" s="121"/>
      <c r="D940" s="121"/>
      <c r="E940" s="121"/>
    </row>
    <row r="941" ht="15.75" customHeight="1">
      <c r="A941" s="121"/>
      <c r="B941" s="121"/>
      <c r="C941" s="121"/>
      <c r="D941" s="121"/>
      <c r="E941" s="121"/>
    </row>
    <row r="942" ht="15.75" customHeight="1">
      <c r="A942" s="121"/>
      <c r="B942" s="121"/>
      <c r="C942" s="121"/>
      <c r="D942" s="121"/>
      <c r="E942" s="121"/>
    </row>
    <row r="943" ht="15.75" customHeight="1">
      <c r="A943" s="121"/>
      <c r="B943" s="121"/>
      <c r="C943" s="121"/>
      <c r="D943" s="121"/>
      <c r="E943" s="121"/>
    </row>
    <row r="944" ht="15.75" customHeight="1">
      <c r="A944" s="121"/>
      <c r="B944" s="121"/>
      <c r="C944" s="121"/>
      <c r="D944" s="121"/>
      <c r="E944" s="121"/>
    </row>
    <row r="945" ht="15.75" customHeight="1">
      <c r="A945" s="121"/>
      <c r="B945" s="121"/>
      <c r="C945" s="121"/>
      <c r="D945" s="121"/>
      <c r="E945" s="121"/>
    </row>
    <row r="946" ht="15.75" customHeight="1">
      <c r="A946" s="121"/>
      <c r="B946" s="121"/>
      <c r="C946" s="121"/>
      <c r="D946" s="121"/>
      <c r="E946" s="121"/>
    </row>
    <row r="947" ht="15.75" customHeight="1">
      <c r="A947" s="121"/>
      <c r="B947" s="121"/>
      <c r="C947" s="121"/>
      <c r="D947" s="121"/>
      <c r="E947" s="121"/>
    </row>
    <row r="948" ht="15.75" customHeight="1">
      <c r="A948" s="121"/>
      <c r="B948" s="121"/>
      <c r="C948" s="121"/>
      <c r="D948" s="121"/>
      <c r="E948" s="121"/>
    </row>
    <row r="949" ht="15.75" customHeight="1">
      <c r="A949" s="121"/>
      <c r="B949" s="121"/>
      <c r="C949" s="121"/>
      <c r="D949" s="121"/>
      <c r="E949" s="121"/>
    </row>
    <row r="950" ht="15.75" customHeight="1">
      <c r="A950" s="121"/>
      <c r="B950" s="121"/>
      <c r="C950" s="121"/>
      <c r="D950" s="121"/>
      <c r="E950" s="121"/>
    </row>
    <row r="951" ht="15.75" customHeight="1">
      <c r="A951" s="121"/>
      <c r="B951" s="121"/>
      <c r="C951" s="121"/>
      <c r="D951" s="121"/>
      <c r="E951" s="121"/>
    </row>
    <row r="952" ht="15.75" customHeight="1">
      <c r="A952" s="121"/>
      <c r="B952" s="121"/>
      <c r="C952" s="121"/>
      <c r="D952" s="121"/>
      <c r="E952" s="121"/>
    </row>
    <row r="953" ht="15.75" customHeight="1">
      <c r="A953" s="121"/>
      <c r="B953" s="121"/>
      <c r="C953" s="121"/>
      <c r="D953" s="121"/>
      <c r="E953" s="121"/>
    </row>
    <row r="954" ht="15.75" customHeight="1">
      <c r="A954" s="121"/>
      <c r="B954" s="121"/>
      <c r="C954" s="121"/>
      <c r="D954" s="121"/>
      <c r="E954" s="121"/>
    </row>
    <row r="955" ht="15.75" customHeight="1">
      <c r="A955" s="121"/>
      <c r="B955" s="121"/>
      <c r="C955" s="121"/>
      <c r="D955" s="121"/>
      <c r="E955" s="121"/>
    </row>
    <row r="956" ht="15.75" customHeight="1">
      <c r="A956" s="121"/>
      <c r="B956" s="121"/>
      <c r="C956" s="121"/>
      <c r="D956" s="121"/>
      <c r="E956" s="121"/>
    </row>
    <row r="957" ht="15.75" customHeight="1">
      <c r="A957" s="121"/>
      <c r="B957" s="121"/>
      <c r="C957" s="121"/>
      <c r="D957" s="121"/>
      <c r="E957" s="121"/>
    </row>
    <row r="958" ht="15.75" customHeight="1">
      <c r="A958" s="121"/>
      <c r="B958" s="121"/>
      <c r="C958" s="121"/>
      <c r="D958" s="121"/>
      <c r="E958" s="121"/>
    </row>
    <row r="959" ht="15.75" customHeight="1">
      <c r="A959" s="121"/>
      <c r="B959" s="121"/>
      <c r="C959" s="121"/>
      <c r="D959" s="121"/>
      <c r="E959" s="121"/>
    </row>
    <row r="960" ht="15.75" customHeight="1">
      <c r="A960" s="121"/>
      <c r="B960" s="121"/>
      <c r="C960" s="121"/>
      <c r="D960" s="121"/>
      <c r="E960" s="121"/>
    </row>
    <row r="961" ht="15.75" customHeight="1">
      <c r="A961" s="121"/>
      <c r="B961" s="121"/>
      <c r="C961" s="121"/>
      <c r="D961" s="121"/>
      <c r="E961" s="121"/>
    </row>
    <row r="962" ht="15.75" customHeight="1">
      <c r="A962" s="121"/>
      <c r="B962" s="121"/>
      <c r="C962" s="121"/>
      <c r="D962" s="121"/>
      <c r="E962" s="121"/>
    </row>
    <row r="963" ht="15.75" customHeight="1">
      <c r="A963" s="121"/>
      <c r="B963" s="121"/>
      <c r="C963" s="121"/>
      <c r="D963" s="121"/>
      <c r="E963" s="121"/>
    </row>
    <row r="964" ht="15.75" customHeight="1">
      <c r="A964" s="121"/>
      <c r="B964" s="121"/>
      <c r="C964" s="121"/>
      <c r="D964" s="121"/>
      <c r="E964" s="121"/>
    </row>
    <row r="965" ht="15.75" customHeight="1">
      <c r="A965" s="121"/>
      <c r="B965" s="121"/>
      <c r="C965" s="121"/>
      <c r="D965" s="121"/>
      <c r="E965" s="121"/>
    </row>
    <row r="966" ht="15.75" customHeight="1">
      <c r="A966" s="121"/>
      <c r="B966" s="121"/>
      <c r="C966" s="121"/>
      <c r="D966" s="121"/>
      <c r="E966" s="121"/>
    </row>
    <row r="967" ht="15.75" customHeight="1">
      <c r="A967" s="121"/>
      <c r="B967" s="121"/>
      <c r="C967" s="121"/>
      <c r="D967" s="121"/>
      <c r="E967" s="121"/>
    </row>
    <row r="968" ht="15.75" customHeight="1">
      <c r="A968" s="121"/>
      <c r="B968" s="121"/>
      <c r="C968" s="121"/>
      <c r="D968" s="121"/>
      <c r="E968" s="121"/>
    </row>
    <row r="969" ht="15.75" customHeight="1">
      <c r="A969" s="121"/>
      <c r="B969" s="121"/>
      <c r="C969" s="121"/>
      <c r="D969" s="121"/>
      <c r="E969" s="121"/>
    </row>
    <row r="970" ht="15.75" customHeight="1">
      <c r="A970" s="121"/>
      <c r="B970" s="121"/>
      <c r="C970" s="121"/>
      <c r="D970" s="121"/>
      <c r="E970" s="121"/>
    </row>
    <row r="971" ht="15.75" customHeight="1">
      <c r="A971" s="121"/>
      <c r="B971" s="121"/>
      <c r="C971" s="121"/>
      <c r="D971" s="121"/>
      <c r="E971" s="121"/>
    </row>
    <row r="972" ht="15.75" customHeight="1">
      <c r="A972" s="121"/>
      <c r="B972" s="121"/>
      <c r="C972" s="121"/>
      <c r="D972" s="121"/>
      <c r="E972" s="121"/>
    </row>
    <row r="973" ht="15.75" customHeight="1">
      <c r="A973" s="121"/>
      <c r="B973" s="121"/>
      <c r="C973" s="121"/>
      <c r="D973" s="121"/>
      <c r="E973" s="121"/>
    </row>
    <row r="974" ht="15.75" customHeight="1">
      <c r="A974" s="121"/>
      <c r="B974" s="121"/>
      <c r="C974" s="121"/>
      <c r="D974" s="121"/>
      <c r="E974" s="121"/>
    </row>
    <row r="975" ht="15.75" customHeight="1">
      <c r="A975" s="121"/>
      <c r="B975" s="121"/>
      <c r="C975" s="121"/>
      <c r="D975" s="121"/>
      <c r="E975" s="121"/>
    </row>
    <row r="976" ht="15.75" customHeight="1">
      <c r="A976" s="121"/>
      <c r="B976" s="121"/>
      <c r="C976" s="121"/>
      <c r="D976" s="121"/>
      <c r="E976" s="121"/>
    </row>
    <row r="977" ht="15.75" customHeight="1">
      <c r="A977" s="121"/>
      <c r="B977" s="121"/>
      <c r="C977" s="121"/>
      <c r="D977" s="121"/>
      <c r="E977" s="121"/>
    </row>
    <row r="978" ht="15.75" customHeight="1">
      <c r="A978" s="121"/>
      <c r="B978" s="121"/>
      <c r="C978" s="121"/>
      <c r="D978" s="121"/>
      <c r="E978" s="121"/>
    </row>
    <row r="979" ht="15.75" customHeight="1">
      <c r="A979" s="121"/>
      <c r="B979" s="121"/>
      <c r="C979" s="121"/>
      <c r="D979" s="121"/>
      <c r="E979" s="121"/>
    </row>
    <row r="980" ht="15.75" customHeight="1">
      <c r="A980" s="121"/>
      <c r="B980" s="121"/>
      <c r="C980" s="121"/>
      <c r="D980" s="121"/>
      <c r="E980" s="121"/>
    </row>
    <row r="981" ht="15.75" customHeight="1">
      <c r="A981" s="121"/>
      <c r="B981" s="121"/>
      <c r="C981" s="121"/>
      <c r="D981" s="121"/>
      <c r="E981" s="121"/>
    </row>
    <row r="982" ht="15.75" customHeight="1">
      <c r="A982" s="121"/>
      <c r="B982" s="121"/>
      <c r="C982" s="121"/>
      <c r="D982" s="121"/>
      <c r="E982" s="121"/>
    </row>
    <row r="983" ht="15.75" customHeight="1">
      <c r="A983" s="121"/>
      <c r="B983" s="121"/>
      <c r="C983" s="121"/>
      <c r="D983" s="121"/>
      <c r="E983" s="121"/>
    </row>
    <row r="984" ht="15.75" customHeight="1">
      <c r="A984" s="121"/>
      <c r="B984" s="121"/>
      <c r="C984" s="121"/>
      <c r="D984" s="121"/>
      <c r="E984" s="121"/>
    </row>
    <row r="985" ht="15.75" customHeight="1">
      <c r="A985" s="121"/>
      <c r="B985" s="121"/>
      <c r="C985" s="121"/>
      <c r="D985" s="121"/>
      <c r="E985" s="121"/>
    </row>
    <row r="986" ht="15.75" customHeight="1">
      <c r="A986" s="121"/>
      <c r="B986" s="121"/>
      <c r="C986" s="121"/>
      <c r="D986" s="121"/>
      <c r="E986" s="121"/>
    </row>
    <row r="987" ht="15.75" customHeight="1">
      <c r="A987" s="121"/>
      <c r="B987" s="121"/>
      <c r="C987" s="121"/>
      <c r="D987" s="121"/>
      <c r="E987" s="121"/>
    </row>
    <row r="988" ht="15.75" customHeight="1">
      <c r="A988" s="121"/>
      <c r="B988" s="121"/>
      <c r="C988" s="121"/>
      <c r="D988" s="121"/>
      <c r="E988" s="121"/>
    </row>
    <row r="989" ht="15.75" customHeight="1">
      <c r="A989" s="121"/>
      <c r="B989" s="121"/>
      <c r="C989" s="121"/>
      <c r="D989" s="121"/>
      <c r="E989" s="121"/>
    </row>
    <row r="990" ht="15.75" customHeight="1">
      <c r="A990" s="121"/>
      <c r="B990" s="121"/>
      <c r="C990" s="121"/>
      <c r="D990" s="121"/>
      <c r="E990" s="121"/>
    </row>
    <row r="991" ht="15.75" customHeight="1">
      <c r="A991" s="121"/>
      <c r="B991" s="121"/>
      <c r="C991" s="121"/>
      <c r="D991" s="121"/>
      <c r="E991" s="121"/>
    </row>
    <row r="992" ht="15.75" customHeight="1">
      <c r="A992" s="121"/>
      <c r="B992" s="121"/>
      <c r="C992" s="121"/>
      <c r="D992" s="121"/>
      <c r="E992" s="121"/>
    </row>
    <row r="993" ht="15.75" customHeight="1">
      <c r="A993" s="121"/>
      <c r="B993" s="121"/>
      <c r="C993" s="121"/>
      <c r="D993" s="121"/>
      <c r="E993" s="121"/>
    </row>
    <row r="994" ht="15.75" customHeight="1">
      <c r="A994" s="121"/>
      <c r="B994" s="121"/>
      <c r="C994" s="121"/>
      <c r="D994" s="121"/>
      <c r="E994" s="121"/>
    </row>
    <row r="995" ht="15.75" customHeight="1">
      <c r="A995" s="121"/>
      <c r="B995" s="121"/>
      <c r="C995" s="121"/>
      <c r="D995" s="121"/>
      <c r="E995" s="121"/>
    </row>
    <row r="996" ht="15.75" customHeight="1">
      <c r="A996" s="121"/>
      <c r="B996" s="121"/>
      <c r="C996" s="121"/>
      <c r="D996" s="121"/>
      <c r="E996" s="121"/>
    </row>
    <row r="997" ht="15.75" customHeight="1">
      <c r="A997" s="121"/>
      <c r="B997" s="121"/>
      <c r="C997" s="121"/>
      <c r="D997" s="121"/>
      <c r="E997" s="121"/>
    </row>
    <row r="998" ht="15.75" customHeight="1">
      <c r="A998" s="121"/>
      <c r="B998" s="121"/>
      <c r="C998" s="121"/>
      <c r="D998" s="121"/>
      <c r="E998" s="121"/>
    </row>
    <row r="999" ht="15.75" customHeight="1">
      <c r="A999" s="121"/>
      <c r="B999" s="121"/>
      <c r="C999" s="121"/>
      <c r="D999" s="121"/>
      <c r="E999" s="121"/>
    </row>
    <row r="1000" ht="15.75" customHeight="1">
      <c r="A1000" s="121"/>
      <c r="B1000" s="121"/>
      <c r="C1000" s="121"/>
      <c r="D1000" s="121"/>
      <c r="E1000" s="121"/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7" width="16.0"/>
  </cols>
  <sheetData>
    <row r="1" ht="36.0" customHeight="1">
      <c r="A1" s="20" t="s">
        <v>1252</v>
      </c>
      <c r="B1" s="20" t="s">
        <v>1253</v>
      </c>
      <c r="C1" s="20" t="s">
        <v>453</v>
      </c>
      <c r="D1" s="20" t="s">
        <v>1254</v>
      </c>
      <c r="E1" s="20" t="s">
        <v>1255</v>
      </c>
      <c r="F1" s="20" t="s">
        <v>1256</v>
      </c>
      <c r="G1" s="20" t="s">
        <v>68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0.0" customHeight="1">
      <c r="A2" s="148" t="s">
        <v>1257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143" t="s">
        <v>1258</v>
      </c>
      <c r="B3" s="143" t="s">
        <v>702</v>
      </c>
      <c r="C3" s="143" t="s">
        <v>1259</v>
      </c>
      <c r="D3" s="143" t="s">
        <v>1260</v>
      </c>
      <c r="E3" s="149">
        <v>46167.1179720023</v>
      </c>
      <c r="F3" s="143" t="s">
        <v>168</v>
      </c>
      <c r="G3" s="14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143" t="s">
        <v>1261</v>
      </c>
      <c r="B4" s="143" t="s">
        <v>702</v>
      </c>
      <c r="C4" s="143" t="s">
        <v>1262</v>
      </c>
      <c r="D4" s="143" t="s">
        <v>1260</v>
      </c>
      <c r="E4" s="149">
        <v>46167.1179720023</v>
      </c>
      <c r="F4" s="143" t="s">
        <v>168</v>
      </c>
      <c r="G4" s="14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4.5" customHeight="1">
      <c r="A5" s="143" t="s">
        <v>1263</v>
      </c>
      <c r="B5" s="143" t="s">
        <v>702</v>
      </c>
      <c r="C5" s="143" t="s">
        <v>1264</v>
      </c>
      <c r="D5" s="143" t="s">
        <v>1260</v>
      </c>
      <c r="E5" s="149">
        <v>46167.1179720023</v>
      </c>
      <c r="F5" s="143" t="s">
        <v>168</v>
      </c>
      <c r="G5" s="14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143" t="s">
        <v>1265</v>
      </c>
      <c r="B6" s="143" t="s">
        <v>702</v>
      </c>
      <c r="C6" s="143" t="s">
        <v>1266</v>
      </c>
      <c r="D6" s="143" t="s">
        <v>1260</v>
      </c>
      <c r="E6" s="149">
        <v>46167.1179720023</v>
      </c>
      <c r="F6" s="143" t="s">
        <v>168</v>
      </c>
      <c r="G6" s="14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143" t="s">
        <v>1267</v>
      </c>
      <c r="B7" s="143" t="s">
        <v>702</v>
      </c>
      <c r="C7" s="143" t="s">
        <v>1268</v>
      </c>
      <c r="D7" s="143" t="s">
        <v>1260</v>
      </c>
      <c r="E7" s="149">
        <v>46167.1179720023</v>
      </c>
      <c r="F7" s="143" t="s">
        <v>168</v>
      </c>
      <c r="G7" s="14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3.25" customHeight="1">
      <c r="A8" s="143" t="s">
        <v>1269</v>
      </c>
      <c r="B8" s="143" t="s">
        <v>702</v>
      </c>
      <c r="C8" s="143" t="s">
        <v>1270</v>
      </c>
      <c r="D8" s="143" t="s">
        <v>1260</v>
      </c>
      <c r="E8" s="149">
        <v>46167.1179720023</v>
      </c>
      <c r="F8" s="143" t="s">
        <v>168</v>
      </c>
      <c r="G8" s="14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3.25" customHeight="1">
      <c r="A9" s="143" t="s">
        <v>1271</v>
      </c>
      <c r="B9" s="143" t="s">
        <v>702</v>
      </c>
      <c r="C9" s="143" t="s">
        <v>1272</v>
      </c>
      <c r="D9" s="143" t="s">
        <v>1260</v>
      </c>
      <c r="E9" s="149">
        <v>46167.1179720023</v>
      </c>
      <c r="F9" s="143" t="s">
        <v>168</v>
      </c>
      <c r="G9" s="14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3.25" customHeight="1">
      <c r="A10" s="143" t="s">
        <v>1273</v>
      </c>
      <c r="B10" s="143" t="s">
        <v>702</v>
      </c>
      <c r="C10" s="143" t="s">
        <v>1274</v>
      </c>
      <c r="D10" s="143" t="s">
        <v>1260</v>
      </c>
      <c r="E10" s="149">
        <v>46167.1179720023</v>
      </c>
      <c r="F10" s="143" t="s">
        <v>168</v>
      </c>
      <c r="G10" s="14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143" t="s">
        <v>1275</v>
      </c>
      <c r="B11" s="143" t="s">
        <v>702</v>
      </c>
      <c r="C11" s="143" t="s">
        <v>1276</v>
      </c>
      <c r="D11" s="143" t="s">
        <v>1260</v>
      </c>
      <c r="E11" s="149">
        <v>46167.1179720023</v>
      </c>
      <c r="F11" s="143" t="s">
        <v>168</v>
      </c>
      <c r="G11" s="14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3.25" customHeight="1">
      <c r="A12" s="143" t="s">
        <v>1277</v>
      </c>
      <c r="B12" s="143" t="s">
        <v>722</v>
      </c>
      <c r="C12" s="143" t="s">
        <v>1259</v>
      </c>
      <c r="D12" s="143" t="s">
        <v>1260</v>
      </c>
      <c r="E12" s="149">
        <v>46167.1179720023</v>
      </c>
      <c r="F12" s="143" t="s">
        <v>168</v>
      </c>
      <c r="G12" s="14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3.25" customHeight="1">
      <c r="A13" s="143" t="s">
        <v>1278</v>
      </c>
      <c r="B13" s="143" t="s">
        <v>722</v>
      </c>
      <c r="C13" s="143" t="s">
        <v>1262</v>
      </c>
      <c r="D13" s="143" t="s">
        <v>1260</v>
      </c>
      <c r="E13" s="149">
        <v>46167.1179720023</v>
      </c>
      <c r="F13" s="143" t="s">
        <v>168</v>
      </c>
      <c r="G13" s="14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4.5" customHeight="1">
      <c r="A14" s="143" t="s">
        <v>1279</v>
      </c>
      <c r="B14" s="143" t="s">
        <v>722</v>
      </c>
      <c r="C14" s="143" t="s">
        <v>1264</v>
      </c>
      <c r="D14" s="143" t="s">
        <v>1260</v>
      </c>
      <c r="E14" s="149">
        <v>46167.1179720023</v>
      </c>
      <c r="F14" s="143" t="s">
        <v>168</v>
      </c>
      <c r="G14" s="14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3.25" customHeight="1">
      <c r="A15" s="143" t="s">
        <v>1280</v>
      </c>
      <c r="B15" s="143" t="s">
        <v>722</v>
      </c>
      <c r="C15" s="143" t="s">
        <v>1266</v>
      </c>
      <c r="D15" s="143" t="s">
        <v>1260</v>
      </c>
      <c r="E15" s="149">
        <v>46167.1179720023</v>
      </c>
      <c r="F15" s="143" t="s">
        <v>168</v>
      </c>
      <c r="G15" s="14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3.25" customHeight="1">
      <c r="A16" s="143" t="s">
        <v>1281</v>
      </c>
      <c r="B16" s="143" t="s">
        <v>722</v>
      </c>
      <c r="C16" s="143" t="s">
        <v>1268</v>
      </c>
      <c r="D16" s="143" t="s">
        <v>1260</v>
      </c>
      <c r="E16" s="149">
        <v>46167.1179720023</v>
      </c>
      <c r="F16" s="143" t="s">
        <v>168</v>
      </c>
      <c r="G16" s="14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3.25" customHeight="1">
      <c r="A17" s="143" t="s">
        <v>1282</v>
      </c>
      <c r="B17" s="143" t="s">
        <v>722</v>
      </c>
      <c r="C17" s="143" t="s">
        <v>1276</v>
      </c>
      <c r="D17" s="143" t="s">
        <v>1260</v>
      </c>
      <c r="E17" s="149">
        <v>46167.1179720023</v>
      </c>
      <c r="F17" s="143" t="s">
        <v>168</v>
      </c>
      <c r="G17" s="14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43" t="s">
        <v>1283</v>
      </c>
      <c r="B18" s="143" t="s">
        <v>722</v>
      </c>
      <c r="C18" s="143" t="s">
        <v>1284</v>
      </c>
      <c r="D18" s="143" t="s">
        <v>1260</v>
      </c>
      <c r="E18" s="149">
        <v>46167.1179720023</v>
      </c>
      <c r="F18" s="143" t="s">
        <v>168</v>
      </c>
      <c r="G18" s="14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3.25" customHeight="1">
      <c r="A19" s="143" t="s">
        <v>1285</v>
      </c>
      <c r="B19" s="143" t="s">
        <v>729</v>
      </c>
      <c r="C19" s="143" t="s">
        <v>1259</v>
      </c>
      <c r="D19" s="143" t="s">
        <v>1260</v>
      </c>
      <c r="E19" s="149">
        <v>46167.1179720023</v>
      </c>
      <c r="F19" s="143" t="s">
        <v>168</v>
      </c>
      <c r="G19" s="14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143" t="s">
        <v>1286</v>
      </c>
      <c r="B20" s="143" t="s">
        <v>729</v>
      </c>
      <c r="C20" s="143" t="s">
        <v>1262</v>
      </c>
      <c r="D20" s="143" t="s">
        <v>1260</v>
      </c>
      <c r="E20" s="149">
        <v>46167.1179720023</v>
      </c>
      <c r="F20" s="143" t="s">
        <v>168</v>
      </c>
      <c r="G20" s="14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43" t="s">
        <v>1287</v>
      </c>
      <c r="B21" s="143" t="s">
        <v>729</v>
      </c>
      <c r="C21" s="143" t="s">
        <v>1264</v>
      </c>
      <c r="D21" s="143" t="s">
        <v>1260</v>
      </c>
      <c r="E21" s="149">
        <v>46167.1179720023</v>
      </c>
      <c r="F21" s="143" t="s">
        <v>168</v>
      </c>
      <c r="G21" s="14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3" t="s">
        <v>1288</v>
      </c>
      <c r="B22" s="143" t="s">
        <v>729</v>
      </c>
      <c r="C22" s="143" t="s">
        <v>1266</v>
      </c>
      <c r="D22" s="143" t="s">
        <v>1260</v>
      </c>
      <c r="E22" s="149">
        <v>46167.1179720023</v>
      </c>
      <c r="F22" s="143" t="s">
        <v>168</v>
      </c>
      <c r="G22" s="14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3" t="s">
        <v>1289</v>
      </c>
      <c r="B23" s="143" t="s">
        <v>729</v>
      </c>
      <c r="C23" s="143" t="s">
        <v>1268</v>
      </c>
      <c r="D23" s="143" t="s">
        <v>1260</v>
      </c>
      <c r="E23" s="149">
        <v>46167.1179720023</v>
      </c>
      <c r="F23" s="143" t="s">
        <v>168</v>
      </c>
      <c r="G23" s="14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43" t="s">
        <v>1290</v>
      </c>
      <c r="B24" s="143" t="s">
        <v>729</v>
      </c>
      <c r="C24" s="143" t="s">
        <v>1276</v>
      </c>
      <c r="D24" s="143" t="s">
        <v>1260</v>
      </c>
      <c r="E24" s="149">
        <v>46167.1179720023</v>
      </c>
      <c r="F24" s="143" t="s">
        <v>168</v>
      </c>
      <c r="G24" s="14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43" t="s">
        <v>1291</v>
      </c>
      <c r="B25" s="143" t="s">
        <v>729</v>
      </c>
      <c r="C25" s="143" t="s">
        <v>1284</v>
      </c>
      <c r="D25" s="143" t="s">
        <v>1260</v>
      </c>
      <c r="E25" s="149">
        <v>46167.1179720023</v>
      </c>
      <c r="F25" s="143" t="s">
        <v>168</v>
      </c>
      <c r="G25" s="14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43" t="s">
        <v>1292</v>
      </c>
      <c r="B26" s="143" t="s">
        <v>735</v>
      </c>
      <c r="C26" s="143" t="s">
        <v>1259</v>
      </c>
      <c r="D26" s="143" t="s">
        <v>1260</v>
      </c>
      <c r="E26" s="149">
        <v>46167.1179720023</v>
      </c>
      <c r="F26" s="143" t="s">
        <v>168</v>
      </c>
      <c r="G26" s="14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43" t="s">
        <v>1293</v>
      </c>
      <c r="B27" s="143" t="s">
        <v>735</v>
      </c>
      <c r="C27" s="143" t="s">
        <v>1262</v>
      </c>
      <c r="D27" s="143" t="s">
        <v>1260</v>
      </c>
      <c r="E27" s="149">
        <v>46167.1179720023</v>
      </c>
      <c r="F27" s="143" t="s">
        <v>168</v>
      </c>
      <c r="G27" s="14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3" t="s">
        <v>1294</v>
      </c>
      <c r="B28" s="143" t="s">
        <v>735</v>
      </c>
      <c r="C28" s="143" t="s">
        <v>1264</v>
      </c>
      <c r="D28" s="143" t="s">
        <v>1260</v>
      </c>
      <c r="E28" s="149">
        <v>46167.1179720023</v>
      </c>
      <c r="F28" s="143" t="s">
        <v>168</v>
      </c>
      <c r="G28" s="14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43" t="s">
        <v>1295</v>
      </c>
      <c r="B29" s="143" t="s">
        <v>735</v>
      </c>
      <c r="C29" s="143" t="s">
        <v>1266</v>
      </c>
      <c r="D29" s="143" t="s">
        <v>1260</v>
      </c>
      <c r="E29" s="149">
        <v>46167.1179720023</v>
      </c>
      <c r="F29" s="143" t="s">
        <v>168</v>
      </c>
      <c r="G29" s="14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43" t="s">
        <v>1296</v>
      </c>
      <c r="B30" s="143" t="s">
        <v>735</v>
      </c>
      <c r="C30" s="143" t="s">
        <v>1268</v>
      </c>
      <c r="D30" s="143" t="s">
        <v>1260</v>
      </c>
      <c r="E30" s="149">
        <v>46167.1179720023</v>
      </c>
      <c r="F30" s="143" t="s">
        <v>168</v>
      </c>
      <c r="G30" s="14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43" t="s">
        <v>1297</v>
      </c>
      <c r="B31" s="143" t="s">
        <v>735</v>
      </c>
      <c r="C31" s="143" t="s">
        <v>1274</v>
      </c>
      <c r="D31" s="143" t="s">
        <v>1260</v>
      </c>
      <c r="E31" s="149">
        <v>46167.1179720023</v>
      </c>
      <c r="F31" s="143" t="s">
        <v>168</v>
      </c>
      <c r="G31" s="14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3" t="s">
        <v>1298</v>
      </c>
      <c r="B32" s="143" t="s">
        <v>744</v>
      </c>
      <c r="C32" s="143" t="s">
        <v>1259</v>
      </c>
      <c r="D32" s="143" t="s">
        <v>1260</v>
      </c>
      <c r="E32" s="149">
        <v>46167.1179720023</v>
      </c>
      <c r="F32" s="143" t="s">
        <v>168</v>
      </c>
      <c r="G32" s="14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43" t="s">
        <v>1299</v>
      </c>
      <c r="B33" s="143" t="s">
        <v>744</v>
      </c>
      <c r="C33" s="143" t="s">
        <v>1262</v>
      </c>
      <c r="D33" s="143" t="s">
        <v>1260</v>
      </c>
      <c r="E33" s="149">
        <v>46167.1179720023</v>
      </c>
      <c r="F33" s="143" t="s">
        <v>168</v>
      </c>
      <c r="G33" s="14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43" t="s">
        <v>1300</v>
      </c>
      <c r="B34" s="143" t="s">
        <v>744</v>
      </c>
      <c r="C34" s="143" t="s">
        <v>1264</v>
      </c>
      <c r="D34" s="143" t="s">
        <v>1260</v>
      </c>
      <c r="E34" s="149">
        <v>46167.1179720023</v>
      </c>
      <c r="F34" s="143" t="s">
        <v>168</v>
      </c>
      <c r="G34" s="14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43" t="s">
        <v>1301</v>
      </c>
      <c r="B35" s="143" t="s">
        <v>744</v>
      </c>
      <c r="C35" s="143" t="s">
        <v>1266</v>
      </c>
      <c r="D35" s="143" t="s">
        <v>1260</v>
      </c>
      <c r="E35" s="149">
        <v>46167.1179720023</v>
      </c>
      <c r="F35" s="143" t="s">
        <v>168</v>
      </c>
      <c r="G35" s="14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43" t="s">
        <v>1302</v>
      </c>
      <c r="B36" s="143" t="s">
        <v>744</v>
      </c>
      <c r="C36" s="143" t="s">
        <v>1268</v>
      </c>
      <c r="D36" s="143" t="s">
        <v>1260</v>
      </c>
      <c r="E36" s="149">
        <v>46167.1179720023</v>
      </c>
      <c r="F36" s="143" t="s">
        <v>168</v>
      </c>
      <c r="G36" s="14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3" t="s">
        <v>1303</v>
      </c>
      <c r="B37" s="143" t="s">
        <v>744</v>
      </c>
      <c r="C37" s="143" t="s">
        <v>1270</v>
      </c>
      <c r="D37" s="143" t="s">
        <v>1260</v>
      </c>
      <c r="E37" s="149">
        <v>46167.1179720023</v>
      </c>
      <c r="F37" s="143" t="s">
        <v>168</v>
      </c>
      <c r="G37" s="14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43" t="s">
        <v>1304</v>
      </c>
      <c r="B38" s="143" t="s">
        <v>744</v>
      </c>
      <c r="C38" s="143" t="s">
        <v>1274</v>
      </c>
      <c r="D38" s="143" t="s">
        <v>1260</v>
      </c>
      <c r="E38" s="149">
        <v>46167.1179720023</v>
      </c>
      <c r="F38" s="143" t="s">
        <v>168</v>
      </c>
      <c r="G38" s="14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43" t="s">
        <v>1305</v>
      </c>
      <c r="B39" s="143" t="s">
        <v>744</v>
      </c>
      <c r="C39" s="143" t="s">
        <v>1276</v>
      </c>
      <c r="D39" s="143" t="s">
        <v>1260</v>
      </c>
      <c r="E39" s="149">
        <v>46167.1179720023</v>
      </c>
      <c r="F39" s="143" t="s">
        <v>168</v>
      </c>
      <c r="G39" s="14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43" t="s">
        <v>1306</v>
      </c>
      <c r="B40" s="143" t="s">
        <v>744</v>
      </c>
      <c r="C40" s="143" t="s">
        <v>1284</v>
      </c>
      <c r="D40" s="143" t="s">
        <v>1260</v>
      </c>
      <c r="E40" s="149">
        <v>46167.1179720023</v>
      </c>
      <c r="F40" s="143" t="s">
        <v>168</v>
      </c>
      <c r="G40" s="14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43" t="s">
        <v>1307</v>
      </c>
      <c r="B41" s="143" t="s">
        <v>753</v>
      </c>
      <c r="C41" s="143" t="s">
        <v>1259</v>
      </c>
      <c r="D41" s="143" t="s">
        <v>1260</v>
      </c>
      <c r="E41" s="149">
        <v>46167.1179720023</v>
      </c>
      <c r="F41" s="143" t="s">
        <v>168</v>
      </c>
      <c r="G41" s="14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43" t="s">
        <v>1308</v>
      </c>
      <c r="B42" s="143" t="s">
        <v>753</v>
      </c>
      <c r="C42" s="143" t="s">
        <v>1262</v>
      </c>
      <c r="D42" s="143" t="s">
        <v>1260</v>
      </c>
      <c r="E42" s="149">
        <v>46167.1179720023</v>
      </c>
      <c r="F42" s="143" t="s">
        <v>168</v>
      </c>
      <c r="G42" s="14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43" t="s">
        <v>1309</v>
      </c>
      <c r="B43" s="143" t="s">
        <v>753</v>
      </c>
      <c r="C43" s="143" t="s">
        <v>1264</v>
      </c>
      <c r="D43" s="143" t="s">
        <v>1260</v>
      </c>
      <c r="E43" s="149">
        <v>46167.1179720023</v>
      </c>
      <c r="F43" s="143" t="s">
        <v>168</v>
      </c>
      <c r="G43" s="14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43" t="s">
        <v>1310</v>
      </c>
      <c r="B44" s="143" t="s">
        <v>753</v>
      </c>
      <c r="C44" s="143" t="s">
        <v>1266</v>
      </c>
      <c r="D44" s="143" t="s">
        <v>1260</v>
      </c>
      <c r="E44" s="149">
        <v>46167.1179720023</v>
      </c>
      <c r="F44" s="143" t="s">
        <v>168</v>
      </c>
      <c r="G44" s="14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43" t="s">
        <v>1311</v>
      </c>
      <c r="B45" s="143" t="s">
        <v>753</v>
      </c>
      <c r="C45" s="143" t="s">
        <v>1268</v>
      </c>
      <c r="D45" s="143" t="s">
        <v>1260</v>
      </c>
      <c r="E45" s="149">
        <v>46167.1179720023</v>
      </c>
      <c r="F45" s="143" t="s">
        <v>168</v>
      </c>
      <c r="G45" s="14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43" t="s">
        <v>1312</v>
      </c>
      <c r="B46" s="143" t="s">
        <v>753</v>
      </c>
      <c r="C46" s="143" t="s">
        <v>1276</v>
      </c>
      <c r="D46" s="143" t="s">
        <v>1260</v>
      </c>
      <c r="E46" s="149">
        <v>46167.1179720023</v>
      </c>
      <c r="F46" s="143" t="s">
        <v>168</v>
      </c>
      <c r="G46" s="14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43" t="s">
        <v>1313</v>
      </c>
      <c r="B47" s="143" t="s">
        <v>753</v>
      </c>
      <c r="C47" s="143" t="s">
        <v>1284</v>
      </c>
      <c r="D47" s="143" t="s">
        <v>1260</v>
      </c>
      <c r="E47" s="149">
        <v>46167.1179720023</v>
      </c>
      <c r="F47" s="143" t="s">
        <v>168</v>
      </c>
      <c r="G47" s="14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43" t="s">
        <v>1314</v>
      </c>
      <c r="B48" s="143" t="s">
        <v>758</v>
      </c>
      <c r="C48" s="143" t="s">
        <v>1259</v>
      </c>
      <c r="D48" s="143" t="s">
        <v>1260</v>
      </c>
      <c r="E48" s="149">
        <v>46167.1179720023</v>
      </c>
      <c r="F48" s="143" t="s">
        <v>168</v>
      </c>
      <c r="G48" s="14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43" t="s">
        <v>1315</v>
      </c>
      <c r="B49" s="143" t="s">
        <v>758</v>
      </c>
      <c r="C49" s="143" t="s">
        <v>1262</v>
      </c>
      <c r="D49" s="143" t="s">
        <v>1260</v>
      </c>
      <c r="E49" s="149">
        <v>46167.1179720023</v>
      </c>
      <c r="F49" s="143" t="s">
        <v>168</v>
      </c>
      <c r="G49" s="14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43" t="s">
        <v>1316</v>
      </c>
      <c r="B50" s="143" t="s">
        <v>758</v>
      </c>
      <c r="C50" s="143" t="s">
        <v>1264</v>
      </c>
      <c r="D50" s="143" t="s">
        <v>1260</v>
      </c>
      <c r="E50" s="149">
        <v>46167.1179720023</v>
      </c>
      <c r="F50" s="143" t="s">
        <v>168</v>
      </c>
      <c r="G50" s="14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43" t="s">
        <v>1317</v>
      </c>
      <c r="B51" s="143" t="s">
        <v>758</v>
      </c>
      <c r="C51" s="143" t="s">
        <v>1266</v>
      </c>
      <c r="D51" s="143" t="s">
        <v>1260</v>
      </c>
      <c r="E51" s="149">
        <v>46167.1179720023</v>
      </c>
      <c r="F51" s="143" t="s">
        <v>168</v>
      </c>
      <c r="G51" s="14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43" t="s">
        <v>1318</v>
      </c>
      <c r="B52" s="143" t="s">
        <v>758</v>
      </c>
      <c r="C52" s="143" t="s">
        <v>1268</v>
      </c>
      <c r="D52" s="143" t="s">
        <v>1260</v>
      </c>
      <c r="E52" s="149">
        <v>46167.1179720023</v>
      </c>
      <c r="F52" s="143" t="s">
        <v>168</v>
      </c>
      <c r="G52" s="14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43" t="s">
        <v>1319</v>
      </c>
      <c r="B53" s="143" t="s">
        <v>758</v>
      </c>
      <c r="C53" s="143" t="s">
        <v>1274</v>
      </c>
      <c r="D53" s="143" t="s">
        <v>1260</v>
      </c>
      <c r="E53" s="149">
        <v>46167.1179720023</v>
      </c>
      <c r="F53" s="143" t="s">
        <v>168</v>
      </c>
      <c r="G53" s="14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43" t="s">
        <v>1320</v>
      </c>
      <c r="B54" s="143" t="s">
        <v>758</v>
      </c>
      <c r="C54" s="143" t="s">
        <v>1276</v>
      </c>
      <c r="D54" s="143" t="s">
        <v>1260</v>
      </c>
      <c r="E54" s="149">
        <v>46167.1179720023</v>
      </c>
      <c r="F54" s="143" t="s">
        <v>168</v>
      </c>
      <c r="G54" s="14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43" t="s">
        <v>1321</v>
      </c>
      <c r="B55" s="143" t="s">
        <v>758</v>
      </c>
      <c r="C55" s="143" t="s">
        <v>1284</v>
      </c>
      <c r="D55" s="143" t="s">
        <v>1260</v>
      </c>
      <c r="E55" s="149">
        <v>46167.1179720023</v>
      </c>
      <c r="F55" s="143" t="s">
        <v>168</v>
      </c>
      <c r="G55" s="14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43" t="s">
        <v>1322</v>
      </c>
      <c r="B56" s="143" t="s">
        <v>763</v>
      </c>
      <c r="C56" s="143" t="s">
        <v>1259</v>
      </c>
      <c r="D56" s="143" t="s">
        <v>1260</v>
      </c>
      <c r="E56" s="149">
        <v>46167.1179720023</v>
      </c>
      <c r="F56" s="143" t="s">
        <v>168</v>
      </c>
      <c r="G56" s="14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43" t="s">
        <v>1323</v>
      </c>
      <c r="B57" s="143" t="s">
        <v>763</v>
      </c>
      <c r="C57" s="143" t="s">
        <v>1262</v>
      </c>
      <c r="D57" s="143" t="s">
        <v>1260</v>
      </c>
      <c r="E57" s="149">
        <v>46167.1179720023</v>
      </c>
      <c r="F57" s="143" t="s">
        <v>168</v>
      </c>
      <c r="G57" s="14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43" t="s">
        <v>1324</v>
      </c>
      <c r="B58" s="143" t="s">
        <v>763</v>
      </c>
      <c r="C58" s="143" t="s">
        <v>1264</v>
      </c>
      <c r="D58" s="143" t="s">
        <v>1260</v>
      </c>
      <c r="E58" s="149">
        <v>46167.1179720023</v>
      </c>
      <c r="F58" s="143" t="s">
        <v>168</v>
      </c>
      <c r="G58" s="14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43" t="s">
        <v>1325</v>
      </c>
      <c r="B59" s="143" t="s">
        <v>763</v>
      </c>
      <c r="C59" s="143" t="s">
        <v>1266</v>
      </c>
      <c r="D59" s="143" t="s">
        <v>1260</v>
      </c>
      <c r="E59" s="149">
        <v>46167.1179720023</v>
      </c>
      <c r="F59" s="143" t="s">
        <v>168</v>
      </c>
      <c r="G59" s="14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43" t="s">
        <v>1326</v>
      </c>
      <c r="B60" s="143" t="s">
        <v>763</v>
      </c>
      <c r="C60" s="143" t="s">
        <v>1268</v>
      </c>
      <c r="D60" s="143" t="s">
        <v>1260</v>
      </c>
      <c r="E60" s="149">
        <v>46167.1179720023</v>
      </c>
      <c r="F60" s="143" t="s">
        <v>168</v>
      </c>
      <c r="G60" s="14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43" t="s">
        <v>1327</v>
      </c>
      <c r="B61" s="143" t="s">
        <v>763</v>
      </c>
      <c r="C61" s="143" t="s">
        <v>1274</v>
      </c>
      <c r="D61" s="143" t="s">
        <v>1260</v>
      </c>
      <c r="E61" s="149">
        <v>46167.1179720023</v>
      </c>
      <c r="F61" s="143" t="s">
        <v>168</v>
      </c>
      <c r="G61" s="14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43" t="s">
        <v>1328</v>
      </c>
      <c r="B62" s="143" t="s">
        <v>763</v>
      </c>
      <c r="C62" s="143" t="s">
        <v>1276</v>
      </c>
      <c r="D62" s="143" t="s">
        <v>1260</v>
      </c>
      <c r="E62" s="149">
        <v>46167.1179720023</v>
      </c>
      <c r="F62" s="143" t="s">
        <v>168</v>
      </c>
      <c r="G62" s="14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43" t="s">
        <v>1329</v>
      </c>
      <c r="B63" s="143" t="s">
        <v>763</v>
      </c>
      <c r="C63" s="143" t="s">
        <v>1284</v>
      </c>
      <c r="D63" s="143" t="s">
        <v>1260</v>
      </c>
      <c r="E63" s="149">
        <v>46167.1179720023</v>
      </c>
      <c r="F63" s="143" t="s">
        <v>168</v>
      </c>
      <c r="G63" s="14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43" t="s">
        <v>1330</v>
      </c>
      <c r="B64" s="143" t="s">
        <v>769</v>
      </c>
      <c r="C64" s="143" t="s">
        <v>1259</v>
      </c>
      <c r="D64" s="143" t="s">
        <v>1260</v>
      </c>
      <c r="E64" s="149">
        <v>46167.1179720023</v>
      </c>
      <c r="F64" s="143" t="s">
        <v>168</v>
      </c>
      <c r="G64" s="14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43" t="s">
        <v>1331</v>
      </c>
      <c r="B65" s="143" t="s">
        <v>769</v>
      </c>
      <c r="C65" s="143" t="s">
        <v>1262</v>
      </c>
      <c r="D65" s="143" t="s">
        <v>1260</v>
      </c>
      <c r="E65" s="149">
        <v>46167.1179720023</v>
      </c>
      <c r="F65" s="143" t="s">
        <v>168</v>
      </c>
      <c r="G65" s="14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43" t="s">
        <v>1332</v>
      </c>
      <c r="B66" s="143" t="s">
        <v>769</v>
      </c>
      <c r="C66" s="143" t="s">
        <v>1264</v>
      </c>
      <c r="D66" s="143" t="s">
        <v>1260</v>
      </c>
      <c r="E66" s="149">
        <v>46167.1179720023</v>
      </c>
      <c r="F66" s="143" t="s">
        <v>168</v>
      </c>
      <c r="G66" s="14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43" t="s">
        <v>1333</v>
      </c>
      <c r="B67" s="143" t="s">
        <v>769</v>
      </c>
      <c r="C67" s="143" t="s">
        <v>1266</v>
      </c>
      <c r="D67" s="143" t="s">
        <v>1260</v>
      </c>
      <c r="E67" s="149">
        <v>46167.1179720023</v>
      </c>
      <c r="F67" s="143" t="s">
        <v>168</v>
      </c>
      <c r="G67" s="14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43" t="s">
        <v>1334</v>
      </c>
      <c r="B68" s="143" t="s">
        <v>769</v>
      </c>
      <c r="C68" s="143" t="s">
        <v>1268</v>
      </c>
      <c r="D68" s="143" t="s">
        <v>1260</v>
      </c>
      <c r="E68" s="149">
        <v>46167.1179720023</v>
      </c>
      <c r="F68" s="143" t="s">
        <v>168</v>
      </c>
      <c r="G68" s="14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43" t="s">
        <v>1335</v>
      </c>
      <c r="B69" s="143" t="s">
        <v>769</v>
      </c>
      <c r="C69" s="143" t="s">
        <v>1274</v>
      </c>
      <c r="D69" s="143" t="s">
        <v>1260</v>
      </c>
      <c r="E69" s="149">
        <v>46167.1179720023</v>
      </c>
      <c r="F69" s="143" t="s">
        <v>168</v>
      </c>
      <c r="G69" s="14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43" t="s">
        <v>1336</v>
      </c>
      <c r="B70" s="143" t="s">
        <v>769</v>
      </c>
      <c r="C70" s="143" t="s">
        <v>1276</v>
      </c>
      <c r="D70" s="143" t="s">
        <v>1260</v>
      </c>
      <c r="E70" s="149">
        <v>46167.1179720023</v>
      </c>
      <c r="F70" s="143" t="s">
        <v>168</v>
      </c>
      <c r="G70" s="14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43" t="s">
        <v>1337</v>
      </c>
      <c r="B71" s="143" t="s">
        <v>769</v>
      </c>
      <c r="C71" s="143" t="s">
        <v>1284</v>
      </c>
      <c r="D71" s="143" t="s">
        <v>1260</v>
      </c>
      <c r="E71" s="149">
        <v>46167.1179720023</v>
      </c>
      <c r="F71" s="143" t="s">
        <v>168</v>
      </c>
      <c r="G71" s="14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43" t="s">
        <v>1338</v>
      </c>
      <c r="B72" s="143" t="s">
        <v>774</v>
      </c>
      <c r="C72" s="143" t="s">
        <v>1259</v>
      </c>
      <c r="D72" s="143" t="s">
        <v>1260</v>
      </c>
      <c r="E72" s="149">
        <v>46167.1179720023</v>
      </c>
      <c r="F72" s="143" t="s">
        <v>168</v>
      </c>
      <c r="G72" s="14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43" t="s">
        <v>1339</v>
      </c>
      <c r="B73" s="143" t="s">
        <v>774</v>
      </c>
      <c r="C73" s="143" t="s">
        <v>1262</v>
      </c>
      <c r="D73" s="143" t="s">
        <v>1260</v>
      </c>
      <c r="E73" s="149">
        <v>46167.1179720023</v>
      </c>
      <c r="F73" s="143" t="s">
        <v>168</v>
      </c>
      <c r="G73" s="14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43" t="s">
        <v>1340</v>
      </c>
      <c r="B74" s="143" t="s">
        <v>774</v>
      </c>
      <c r="C74" s="143" t="s">
        <v>1264</v>
      </c>
      <c r="D74" s="143" t="s">
        <v>1260</v>
      </c>
      <c r="E74" s="149">
        <v>46167.1179720023</v>
      </c>
      <c r="F74" s="143" t="s">
        <v>168</v>
      </c>
      <c r="G74" s="14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43" t="s">
        <v>1341</v>
      </c>
      <c r="B75" s="143" t="s">
        <v>774</v>
      </c>
      <c r="C75" s="143" t="s">
        <v>1266</v>
      </c>
      <c r="D75" s="143" t="s">
        <v>1260</v>
      </c>
      <c r="E75" s="149">
        <v>46167.1179720023</v>
      </c>
      <c r="F75" s="143" t="s">
        <v>168</v>
      </c>
      <c r="G75" s="14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43" t="s">
        <v>1342</v>
      </c>
      <c r="B76" s="143" t="s">
        <v>774</v>
      </c>
      <c r="C76" s="143" t="s">
        <v>1268</v>
      </c>
      <c r="D76" s="143" t="s">
        <v>1260</v>
      </c>
      <c r="E76" s="149">
        <v>46167.1179720023</v>
      </c>
      <c r="F76" s="143" t="s">
        <v>168</v>
      </c>
      <c r="G76" s="14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43" t="s">
        <v>1343</v>
      </c>
      <c r="B77" s="143" t="s">
        <v>774</v>
      </c>
      <c r="C77" s="143" t="s">
        <v>1270</v>
      </c>
      <c r="D77" s="143" t="s">
        <v>1260</v>
      </c>
      <c r="E77" s="149">
        <v>46167.1179720023</v>
      </c>
      <c r="F77" s="143" t="s">
        <v>168</v>
      </c>
      <c r="G77" s="14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43" t="s">
        <v>1344</v>
      </c>
      <c r="B78" s="143" t="s">
        <v>774</v>
      </c>
      <c r="C78" s="143" t="s">
        <v>1272</v>
      </c>
      <c r="D78" s="143" t="s">
        <v>1260</v>
      </c>
      <c r="E78" s="149">
        <v>46167.1179720023</v>
      </c>
      <c r="F78" s="143" t="s">
        <v>168</v>
      </c>
      <c r="G78" s="14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43" t="s">
        <v>1345</v>
      </c>
      <c r="B79" s="143" t="s">
        <v>774</v>
      </c>
      <c r="C79" s="143" t="s">
        <v>1276</v>
      </c>
      <c r="D79" s="143" t="s">
        <v>1260</v>
      </c>
      <c r="E79" s="149">
        <v>46167.1179720023</v>
      </c>
      <c r="F79" s="143" t="s">
        <v>168</v>
      </c>
      <c r="G79" s="14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43" t="s">
        <v>1346</v>
      </c>
      <c r="B80" s="143" t="s">
        <v>774</v>
      </c>
      <c r="C80" s="143" t="s">
        <v>1284</v>
      </c>
      <c r="D80" s="143" t="s">
        <v>1260</v>
      </c>
      <c r="E80" s="149">
        <v>46167.1179720023</v>
      </c>
      <c r="F80" s="143" t="s">
        <v>168</v>
      </c>
      <c r="G80" s="14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43" t="s">
        <v>1347</v>
      </c>
      <c r="B81" s="143" t="s">
        <v>779</v>
      </c>
      <c r="C81" s="143" t="s">
        <v>1259</v>
      </c>
      <c r="D81" s="143" t="s">
        <v>1260</v>
      </c>
      <c r="E81" s="149">
        <v>46167.1179720023</v>
      </c>
      <c r="F81" s="143" t="s">
        <v>168</v>
      </c>
      <c r="G81" s="14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43" t="s">
        <v>1348</v>
      </c>
      <c r="B82" s="143" t="s">
        <v>779</v>
      </c>
      <c r="C82" s="143" t="s">
        <v>1262</v>
      </c>
      <c r="D82" s="143" t="s">
        <v>1260</v>
      </c>
      <c r="E82" s="149">
        <v>46167.1179720023</v>
      </c>
      <c r="F82" s="143" t="s">
        <v>168</v>
      </c>
      <c r="G82" s="14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43" t="s">
        <v>1349</v>
      </c>
      <c r="B83" s="143" t="s">
        <v>779</v>
      </c>
      <c r="C83" s="143" t="s">
        <v>1264</v>
      </c>
      <c r="D83" s="143" t="s">
        <v>1260</v>
      </c>
      <c r="E83" s="149">
        <v>46167.1179720023</v>
      </c>
      <c r="F83" s="143" t="s">
        <v>168</v>
      </c>
      <c r="G83" s="14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43" t="s">
        <v>1350</v>
      </c>
      <c r="B84" s="143" t="s">
        <v>779</v>
      </c>
      <c r="C84" s="143" t="s">
        <v>1266</v>
      </c>
      <c r="D84" s="143" t="s">
        <v>1260</v>
      </c>
      <c r="E84" s="149">
        <v>46167.1179720023</v>
      </c>
      <c r="F84" s="143" t="s">
        <v>168</v>
      </c>
      <c r="G84" s="14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43" t="s">
        <v>1351</v>
      </c>
      <c r="B85" s="143" t="s">
        <v>779</v>
      </c>
      <c r="C85" s="143" t="s">
        <v>1268</v>
      </c>
      <c r="D85" s="143" t="s">
        <v>1260</v>
      </c>
      <c r="E85" s="149">
        <v>46167.1179720023</v>
      </c>
      <c r="F85" s="143" t="s">
        <v>168</v>
      </c>
      <c r="G85" s="14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43" t="s">
        <v>1352</v>
      </c>
      <c r="B86" s="143" t="s">
        <v>779</v>
      </c>
      <c r="C86" s="143" t="s">
        <v>1276</v>
      </c>
      <c r="D86" s="143" t="s">
        <v>1260</v>
      </c>
      <c r="E86" s="149">
        <v>46167.1179720023</v>
      </c>
      <c r="F86" s="143" t="s">
        <v>168</v>
      </c>
      <c r="G86" s="14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43" t="s">
        <v>1353</v>
      </c>
      <c r="B87" s="143" t="s">
        <v>779</v>
      </c>
      <c r="C87" s="143" t="s">
        <v>1284</v>
      </c>
      <c r="D87" s="143" t="s">
        <v>1260</v>
      </c>
      <c r="E87" s="149">
        <v>46167.1179720023</v>
      </c>
      <c r="F87" s="143" t="s">
        <v>168</v>
      </c>
      <c r="G87" s="14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43" t="s">
        <v>1354</v>
      </c>
      <c r="B88" s="143" t="s">
        <v>1355</v>
      </c>
      <c r="C88" s="143" t="s">
        <v>1259</v>
      </c>
      <c r="D88" s="143" t="s">
        <v>1260</v>
      </c>
      <c r="E88" s="149">
        <v>46167.1179720023</v>
      </c>
      <c r="F88" s="143" t="s">
        <v>168</v>
      </c>
      <c r="G88" s="14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43" t="s">
        <v>1356</v>
      </c>
      <c r="B89" s="143" t="s">
        <v>1355</v>
      </c>
      <c r="C89" s="143" t="s">
        <v>1262</v>
      </c>
      <c r="D89" s="143" t="s">
        <v>1260</v>
      </c>
      <c r="E89" s="149">
        <v>46167.1179720023</v>
      </c>
      <c r="F89" s="143" t="s">
        <v>168</v>
      </c>
      <c r="G89" s="14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43" t="s">
        <v>1357</v>
      </c>
      <c r="B90" s="143" t="s">
        <v>1355</v>
      </c>
      <c r="C90" s="143" t="s">
        <v>1264</v>
      </c>
      <c r="D90" s="143" t="s">
        <v>1260</v>
      </c>
      <c r="E90" s="149">
        <v>46167.1179720023</v>
      </c>
      <c r="F90" s="143" t="s">
        <v>168</v>
      </c>
      <c r="G90" s="14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43" t="s">
        <v>1358</v>
      </c>
      <c r="B91" s="143" t="s">
        <v>1355</v>
      </c>
      <c r="C91" s="143" t="s">
        <v>1266</v>
      </c>
      <c r="D91" s="143" t="s">
        <v>1260</v>
      </c>
      <c r="E91" s="149">
        <v>46167.1179720023</v>
      </c>
      <c r="F91" s="143" t="s">
        <v>168</v>
      </c>
      <c r="G91" s="14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43" t="s">
        <v>1359</v>
      </c>
      <c r="B92" s="143" t="s">
        <v>1355</v>
      </c>
      <c r="C92" s="143" t="s">
        <v>1268</v>
      </c>
      <c r="D92" s="143" t="s">
        <v>1260</v>
      </c>
      <c r="E92" s="149">
        <v>46167.1179720023</v>
      </c>
      <c r="F92" s="143" t="s">
        <v>168</v>
      </c>
      <c r="G92" s="14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43" t="s">
        <v>1360</v>
      </c>
      <c r="B93" s="143" t="s">
        <v>1355</v>
      </c>
      <c r="C93" s="143" t="s">
        <v>1274</v>
      </c>
      <c r="D93" s="143" t="s">
        <v>1260</v>
      </c>
      <c r="E93" s="149">
        <v>46167.1179720023</v>
      </c>
      <c r="F93" s="143" t="s">
        <v>168</v>
      </c>
      <c r="G93" s="14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43" t="s">
        <v>1361</v>
      </c>
      <c r="B94" s="143" t="s">
        <v>791</v>
      </c>
      <c r="C94" s="143" t="s">
        <v>1259</v>
      </c>
      <c r="D94" s="143" t="s">
        <v>1260</v>
      </c>
      <c r="E94" s="149">
        <v>46167.1179720023</v>
      </c>
      <c r="F94" s="143" t="s">
        <v>168</v>
      </c>
      <c r="G94" s="14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43" t="s">
        <v>1362</v>
      </c>
      <c r="B95" s="143" t="s">
        <v>791</v>
      </c>
      <c r="C95" s="143" t="s">
        <v>1262</v>
      </c>
      <c r="D95" s="143" t="s">
        <v>1260</v>
      </c>
      <c r="E95" s="149">
        <v>46167.1179720023</v>
      </c>
      <c r="F95" s="143" t="s">
        <v>168</v>
      </c>
      <c r="G95" s="14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43" t="s">
        <v>1363</v>
      </c>
      <c r="B96" s="143" t="s">
        <v>791</v>
      </c>
      <c r="C96" s="143" t="s">
        <v>1264</v>
      </c>
      <c r="D96" s="143" t="s">
        <v>1260</v>
      </c>
      <c r="E96" s="149">
        <v>46167.1179720023</v>
      </c>
      <c r="F96" s="143" t="s">
        <v>168</v>
      </c>
      <c r="G96" s="14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43" t="s">
        <v>1364</v>
      </c>
      <c r="B97" s="143" t="s">
        <v>791</v>
      </c>
      <c r="C97" s="143" t="s">
        <v>1266</v>
      </c>
      <c r="D97" s="143" t="s">
        <v>1260</v>
      </c>
      <c r="E97" s="149">
        <v>46167.1179720023</v>
      </c>
      <c r="F97" s="143" t="s">
        <v>168</v>
      </c>
      <c r="G97" s="14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43" t="s">
        <v>1365</v>
      </c>
      <c r="B98" s="143" t="s">
        <v>791</v>
      </c>
      <c r="C98" s="143" t="s">
        <v>1268</v>
      </c>
      <c r="D98" s="143" t="s">
        <v>1260</v>
      </c>
      <c r="E98" s="149">
        <v>46167.1179720023</v>
      </c>
      <c r="F98" s="143" t="s">
        <v>168</v>
      </c>
      <c r="G98" s="14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43" t="s">
        <v>1366</v>
      </c>
      <c r="B99" s="143" t="s">
        <v>791</v>
      </c>
      <c r="C99" s="143" t="s">
        <v>1274</v>
      </c>
      <c r="D99" s="143" t="s">
        <v>1260</v>
      </c>
      <c r="E99" s="149">
        <v>46167.1179720023</v>
      </c>
      <c r="F99" s="143" t="s">
        <v>168</v>
      </c>
      <c r="G99" s="14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43" t="s">
        <v>1367</v>
      </c>
      <c r="B100" s="143" t="s">
        <v>791</v>
      </c>
      <c r="C100" s="143" t="s">
        <v>1276</v>
      </c>
      <c r="D100" s="143" t="s">
        <v>1260</v>
      </c>
      <c r="E100" s="149">
        <v>46167.1179720023</v>
      </c>
      <c r="F100" s="143" t="s">
        <v>168</v>
      </c>
      <c r="G100" s="14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43" t="s">
        <v>1368</v>
      </c>
      <c r="B101" s="143" t="s">
        <v>791</v>
      </c>
      <c r="C101" s="143" t="s">
        <v>1284</v>
      </c>
      <c r="D101" s="143" t="s">
        <v>1260</v>
      </c>
      <c r="E101" s="149">
        <v>46167.1179720023</v>
      </c>
      <c r="F101" s="143" t="s">
        <v>168</v>
      </c>
      <c r="G101" s="14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43" t="s">
        <v>1369</v>
      </c>
      <c r="B102" s="143" t="s">
        <v>794</v>
      </c>
      <c r="C102" s="143" t="s">
        <v>1259</v>
      </c>
      <c r="D102" s="143" t="s">
        <v>1260</v>
      </c>
      <c r="E102" s="149">
        <v>46167.1179720023</v>
      </c>
      <c r="F102" s="143" t="s">
        <v>168</v>
      </c>
      <c r="G102" s="14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43" t="s">
        <v>1370</v>
      </c>
      <c r="B103" s="143" t="s">
        <v>794</v>
      </c>
      <c r="C103" s="143" t="s">
        <v>1262</v>
      </c>
      <c r="D103" s="143" t="s">
        <v>1260</v>
      </c>
      <c r="E103" s="149">
        <v>46167.1179720023</v>
      </c>
      <c r="F103" s="143" t="s">
        <v>168</v>
      </c>
      <c r="G103" s="14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43" t="s">
        <v>1371</v>
      </c>
      <c r="B104" s="143" t="s">
        <v>794</v>
      </c>
      <c r="C104" s="143" t="s">
        <v>1264</v>
      </c>
      <c r="D104" s="143" t="s">
        <v>1260</v>
      </c>
      <c r="E104" s="149">
        <v>46167.1179720023</v>
      </c>
      <c r="F104" s="143" t="s">
        <v>168</v>
      </c>
      <c r="G104" s="14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43" t="s">
        <v>1372</v>
      </c>
      <c r="B105" s="143" t="s">
        <v>794</v>
      </c>
      <c r="C105" s="143" t="s">
        <v>1266</v>
      </c>
      <c r="D105" s="143" t="s">
        <v>1260</v>
      </c>
      <c r="E105" s="149">
        <v>46167.1179720023</v>
      </c>
      <c r="F105" s="143" t="s">
        <v>168</v>
      </c>
      <c r="G105" s="14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43" t="s">
        <v>1373</v>
      </c>
      <c r="B106" s="143" t="s">
        <v>794</v>
      </c>
      <c r="C106" s="143" t="s">
        <v>1268</v>
      </c>
      <c r="D106" s="143" t="s">
        <v>1260</v>
      </c>
      <c r="E106" s="149">
        <v>46167.1179720023</v>
      </c>
      <c r="F106" s="143" t="s">
        <v>168</v>
      </c>
      <c r="G106" s="14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43" t="s">
        <v>1374</v>
      </c>
      <c r="B107" s="143" t="s">
        <v>794</v>
      </c>
      <c r="C107" s="143" t="s">
        <v>1274</v>
      </c>
      <c r="D107" s="143" t="s">
        <v>1260</v>
      </c>
      <c r="E107" s="149">
        <v>46167.1179720023</v>
      </c>
      <c r="F107" s="143" t="s">
        <v>168</v>
      </c>
      <c r="G107" s="14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43" t="s">
        <v>1375</v>
      </c>
      <c r="B108" s="143" t="s">
        <v>794</v>
      </c>
      <c r="C108" s="143" t="s">
        <v>1276</v>
      </c>
      <c r="D108" s="143" t="s">
        <v>1260</v>
      </c>
      <c r="E108" s="149">
        <v>46167.1179720023</v>
      </c>
      <c r="F108" s="143" t="s">
        <v>168</v>
      </c>
      <c r="G108" s="14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43" t="s">
        <v>1376</v>
      </c>
      <c r="B109" s="143" t="s">
        <v>794</v>
      </c>
      <c r="C109" s="143" t="s">
        <v>1284</v>
      </c>
      <c r="D109" s="143" t="s">
        <v>1260</v>
      </c>
      <c r="E109" s="149">
        <v>46167.1179720023</v>
      </c>
      <c r="F109" s="143" t="s">
        <v>168</v>
      </c>
      <c r="G109" s="14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43" t="s">
        <v>1377</v>
      </c>
      <c r="B110" s="143" t="s">
        <v>796</v>
      </c>
      <c r="C110" s="143" t="s">
        <v>1259</v>
      </c>
      <c r="D110" s="143" t="s">
        <v>1260</v>
      </c>
      <c r="E110" s="149">
        <v>46167.1179720023</v>
      </c>
      <c r="F110" s="143" t="s">
        <v>168</v>
      </c>
      <c r="G110" s="14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43" t="s">
        <v>1378</v>
      </c>
      <c r="B111" s="143" t="s">
        <v>796</v>
      </c>
      <c r="C111" s="143" t="s">
        <v>1262</v>
      </c>
      <c r="D111" s="143" t="s">
        <v>1260</v>
      </c>
      <c r="E111" s="149">
        <v>46167.1179720023</v>
      </c>
      <c r="F111" s="143" t="s">
        <v>168</v>
      </c>
      <c r="G111" s="14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43" t="s">
        <v>1379</v>
      </c>
      <c r="B112" s="143" t="s">
        <v>796</v>
      </c>
      <c r="C112" s="143" t="s">
        <v>1264</v>
      </c>
      <c r="D112" s="143" t="s">
        <v>1260</v>
      </c>
      <c r="E112" s="149">
        <v>46167.1179720023</v>
      </c>
      <c r="F112" s="143" t="s">
        <v>168</v>
      </c>
      <c r="G112" s="14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43" t="s">
        <v>1380</v>
      </c>
      <c r="B113" s="143" t="s">
        <v>796</v>
      </c>
      <c r="C113" s="143" t="s">
        <v>1266</v>
      </c>
      <c r="D113" s="143" t="s">
        <v>1260</v>
      </c>
      <c r="E113" s="149">
        <v>46167.1179720023</v>
      </c>
      <c r="F113" s="143" t="s">
        <v>168</v>
      </c>
      <c r="G113" s="14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43" t="s">
        <v>1381</v>
      </c>
      <c r="B114" s="143" t="s">
        <v>796</v>
      </c>
      <c r="C114" s="143" t="s">
        <v>1268</v>
      </c>
      <c r="D114" s="143" t="s">
        <v>1260</v>
      </c>
      <c r="E114" s="149">
        <v>46167.1179720023</v>
      </c>
      <c r="F114" s="143" t="s">
        <v>168</v>
      </c>
      <c r="G114" s="14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43" t="s">
        <v>1382</v>
      </c>
      <c r="B115" s="143" t="s">
        <v>800</v>
      </c>
      <c r="C115" s="143" t="s">
        <v>1259</v>
      </c>
      <c r="D115" s="143" t="s">
        <v>1260</v>
      </c>
      <c r="E115" s="149">
        <v>46167.1179720023</v>
      </c>
      <c r="F115" s="143" t="s">
        <v>168</v>
      </c>
      <c r="G115" s="14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43" t="s">
        <v>1383</v>
      </c>
      <c r="B116" s="143" t="s">
        <v>800</v>
      </c>
      <c r="C116" s="143" t="s">
        <v>1262</v>
      </c>
      <c r="D116" s="143" t="s">
        <v>1260</v>
      </c>
      <c r="E116" s="149">
        <v>46167.1179720023</v>
      </c>
      <c r="F116" s="143" t="s">
        <v>168</v>
      </c>
      <c r="G116" s="14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43" t="s">
        <v>1384</v>
      </c>
      <c r="B117" s="143" t="s">
        <v>800</v>
      </c>
      <c r="C117" s="143" t="s">
        <v>1264</v>
      </c>
      <c r="D117" s="143" t="s">
        <v>1260</v>
      </c>
      <c r="E117" s="149">
        <v>46167.1179720023</v>
      </c>
      <c r="F117" s="143" t="s">
        <v>168</v>
      </c>
      <c r="G117" s="14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43" t="s">
        <v>1385</v>
      </c>
      <c r="B118" s="143" t="s">
        <v>800</v>
      </c>
      <c r="C118" s="143" t="s">
        <v>1266</v>
      </c>
      <c r="D118" s="143" t="s">
        <v>1260</v>
      </c>
      <c r="E118" s="149">
        <v>46167.1179720023</v>
      </c>
      <c r="F118" s="143" t="s">
        <v>168</v>
      </c>
      <c r="G118" s="14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43" t="s">
        <v>1386</v>
      </c>
      <c r="B119" s="143" t="s">
        <v>800</v>
      </c>
      <c r="C119" s="143" t="s">
        <v>1268</v>
      </c>
      <c r="D119" s="143" t="s">
        <v>1260</v>
      </c>
      <c r="E119" s="149">
        <v>46167.1179720023</v>
      </c>
      <c r="F119" s="143" t="s">
        <v>168</v>
      </c>
      <c r="G119" s="14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43" t="s">
        <v>1387</v>
      </c>
      <c r="B120" s="143" t="s">
        <v>800</v>
      </c>
      <c r="C120" s="143" t="s">
        <v>1274</v>
      </c>
      <c r="D120" s="143" t="s">
        <v>1260</v>
      </c>
      <c r="E120" s="149">
        <v>46167.1179720023</v>
      </c>
      <c r="F120" s="143" t="s">
        <v>168</v>
      </c>
      <c r="G120" s="14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43" t="s">
        <v>1388</v>
      </c>
      <c r="B121" s="143" t="s">
        <v>800</v>
      </c>
      <c r="C121" s="143" t="s">
        <v>1284</v>
      </c>
      <c r="D121" s="143" t="s">
        <v>1260</v>
      </c>
      <c r="E121" s="149">
        <v>46167.1179720023</v>
      </c>
      <c r="F121" s="143" t="s">
        <v>168</v>
      </c>
      <c r="G121" s="14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43" t="s">
        <v>1389</v>
      </c>
      <c r="B122" s="143" t="s">
        <v>805</v>
      </c>
      <c r="C122" s="143" t="s">
        <v>1259</v>
      </c>
      <c r="D122" s="143" t="s">
        <v>1260</v>
      </c>
      <c r="E122" s="149">
        <v>46167.1179720023</v>
      </c>
      <c r="F122" s="143" t="s">
        <v>168</v>
      </c>
      <c r="G122" s="14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43" t="s">
        <v>1390</v>
      </c>
      <c r="B123" s="143" t="s">
        <v>805</v>
      </c>
      <c r="C123" s="143" t="s">
        <v>1262</v>
      </c>
      <c r="D123" s="143" t="s">
        <v>1260</v>
      </c>
      <c r="E123" s="149">
        <v>46167.1179720023</v>
      </c>
      <c r="F123" s="143" t="s">
        <v>168</v>
      </c>
      <c r="G123" s="14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43" t="s">
        <v>1391</v>
      </c>
      <c r="B124" s="143" t="s">
        <v>805</v>
      </c>
      <c r="C124" s="143" t="s">
        <v>1264</v>
      </c>
      <c r="D124" s="143" t="s">
        <v>1260</v>
      </c>
      <c r="E124" s="149">
        <v>46167.1179720023</v>
      </c>
      <c r="F124" s="143" t="s">
        <v>168</v>
      </c>
      <c r="G124" s="14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43" t="s">
        <v>1392</v>
      </c>
      <c r="B125" s="143" t="s">
        <v>805</v>
      </c>
      <c r="C125" s="143" t="s">
        <v>1266</v>
      </c>
      <c r="D125" s="143" t="s">
        <v>1260</v>
      </c>
      <c r="E125" s="149">
        <v>46167.1179720023</v>
      </c>
      <c r="F125" s="143" t="s">
        <v>168</v>
      </c>
      <c r="G125" s="14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43" t="s">
        <v>1393</v>
      </c>
      <c r="B126" s="143" t="s">
        <v>805</v>
      </c>
      <c r="C126" s="143" t="s">
        <v>1268</v>
      </c>
      <c r="D126" s="143" t="s">
        <v>1260</v>
      </c>
      <c r="E126" s="149">
        <v>46167.1179720023</v>
      </c>
      <c r="F126" s="143" t="s">
        <v>168</v>
      </c>
      <c r="G126" s="14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43" t="s">
        <v>1394</v>
      </c>
      <c r="B127" s="143" t="s">
        <v>805</v>
      </c>
      <c r="C127" s="143" t="s">
        <v>1274</v>
      </c>
      <c r="D127" s="143" t="s">
        <v>1260</v>
      </c>
      <c r="E127" s="149">
        <v>46167.1179720023</v>
      </c>
      <c r="F127" s="143" t="s">
        <v>168</v>
      </c>
      <c r="G127" s="14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43" t="s">
        <v>1395</v>
      </c>
      <c r="B128" s="143" t="s">
        <v>809</v>
      </c>
      <c r="C128" s="143" t="s">
        <v>1259</v>
      </c>
      <c r="D128" s="143" t="s">
        <v>1260</v>
      </c>
      <c r="E128" s="149">
        <v>46167.1179720023</v>
      </c>
      <c r="F128" s="143" t="s">
        <v>168</v>
      </c>
      <c r="G128" s="14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43" t="s">
        <v>1396</v>
      </c>
      <c r="B129" s="143" t="s">
        <v>809</v>
      </c>
      <c r="C129" s="143" t="s">
        <v>1262</v>
      </c>
      <c r="D129" s="143" t="s">
        <v>1260</v>
      </c>
      <c r="E129" s="149">
        <v>46167.1179720023</v>
      </c>
      <c r="F129" s="143" t="s">
        <v>168</v>
      </c>
      <c r="G129" s="14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43" t="s">
        <v>1397</v>
      </c>
      <c r="B130" s="143" t="s">
        <v>809</v>
      </c>
      <c r="C130" s="143" t="s">
        <v>1264</v>
      </c>
      <c r="D130" s="143" t="s">
        <v>1260</v>
      </c>
      <c r="E130" s="149">
        <v>46167.1179720023</v>
      </c>
      <c r="F130" s="143" t="s">
        <v>168</v>
      </c>
      <c r="G130" s="14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43" t="s">
        <v>1398</v>
      </c>
      <c r="B131" s="143" t="s">
        <v>809</v>
      </c>
      <c r="C131" s="143" t="s">
        <v>1266</v>
      </c>
      <c r="D131" s="143" t="s">
        <v>1260</v>
      </c>
      <c r="E131" s="149">
        <v>46167.1179720023</v>
      </c>
      <c r="F131" s="143" t="s">
        <v>168</v>
      </c>
      <c r="G131" s="14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43" t="s">
        <v>1399</v>
      </c>
      <c r="B132" s="143" t="s">
        <v>809</v>
      </c>
      <c r="C132" s="143" t="s">
        <v>1268</v>
      </c>
      <c r="D132" s="143" t="s">
        <v>1260</v>
      </c>
      <c r="E132" s="149">
        <v>46167.1179720023</v>
      </c>
      <c r="F132" s="143" t="s">
        <v>168</v>
      </c>
      <c r="G132" s="14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43" t="s">
        <v>1400</v>
      </c>
      <c r="B133" s="143" t="s">
        <v>809</v>
      </c>
      <c r="C133" s="143" t="s">
        <v>1270</v>
      </c>
      <c r="D133" s="143" t="s">
        <v>1260</v>
      </c>
      <c r="E133" s="149">
        <v>46167.1179720023</v>
      </c>
      <c r="F133" s="143" t="s">
        <v>168</v>
      </c>
      <c r="G133" s="14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43" t="s">
        <v>1401</v>
      </c>
      <c r="B134" s="143" t="s">
        <v>809</v>
      </c>
      <c r="C134" s="143" t="s">
        <v>1272</v>
      </c>
      <c r="D134" s="143" t="s">
        <v>1260</v>
      </c>
      <c r="E134" s="149">
        <v>46167.1179720023</v>
      </c>
      <c r="F134" s="143" t="s">
        <v>168</v>
      </c>
      <c r="G134" s="14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43" t="s">
        <v>1402</v>
      </c>
      <c r="B135" s="143" t="s">
        <v>809</v>
      </c>
      <c r="C135" s="143" t="s">
        <v>1274</v>
      </c>
      <c r="D135" s="143" t="s">
        <v>1260</v>
      </c>
      <c r="E135" s="149">
        <v>46167.1179720023</v>
      </c>
      <c r="F135" s="143" t="s">
        <v>168</v>
      </c>
      <c r="G135" s="14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43" t="s">
        <v>1403</v>
      </c>
      <c r="B136" s="143" t="s">
        <v>812</v>
      </c>
      <c r="C136" s="143" t="s">
        <v>1259</v>
      </c>
      <c r="D136" s="143" t="s">
        <v>1260</v>
      </c>
      <c r="E136" s="149">
        <v>46167.1179720023</v>
      </c>
      <c r="F136" s="143" t="s">
        <v>168</v>
      </c>
      <c r="G136" s="14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43" t="s">
        <v>1404</v>
      </c>
      <c r="B137" s="143" t="s">
        <v>812</v>
      </c>
      <c r="C137" s="143" t="s">
        <v>1262</v>
      </c>
      <c r="D137" s="143" t="s">
        <v>1260</v>
      </c>
      <c r="E137" s="149">
        <v>46167.1179720023</v>
      </c>
      <c r="F137" s="143" t="s">
        <v>168</v>
      </c>
      <c r="G137" s="14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43" t="s">
        <v>1405</v>
      </c>
      <c r="B138" s="143" t="s">
        <v>812</v>
      </c>
      <c r="C138" s="143" t="s">
        <v>1264</v>
      </c>
      <c r="D138" s="143" t="s">
        <v>1260</v>
      </c>
      <c r="E138" s="149">
        <v>46167.1179720023</v>
      </c>
      <c r="F138" s="143" t="s">
        <v>168</v>
      </c>
      <c r="G138" s="14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43" t="s">
        <v>1406</v>
      </c>
      <c r="B139" s="143" t="s">
        <v>812</v>
      </c>
      <c r="C139" s="143" t="s">
        <v>1266</v>
      </c>
      <c r="D139" s="143" t="s">
        <v>1260</v>
      </c>
      <c r="E139" s="149">
        <v>46167.1179720023</v>
      </c>
      <c r="F139" s="143" t="s">
        <v>168</v>
      </c>
      <c r="G139" s="14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43" t="s">
        <v>1407</v>
      </c>
      <c r="B140" s="143" t="s">
        <v>812</v>
      </c>
      <c r="C140" s="143" t="s">
        <v>1268</v>
      </c>
      <c r="D140" s="143" t="s">
        <v>1260</v>
      </c>
      <c r="E140" s="149">
        <v>46167.1179720023</v>
      </c>
      <c r="F140" s="143" t="s">
        <v>168</v>
      </c>
      <c r="G140" s="14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43" t="s">
        <v>1408</v>
      </c>
      <c r="B141" s="143" t="s">
        <v>812</v>
      </c>
      <c r="C141" s="143" t="s">
        <v>1276</v>
      </c>
      <c r="D141" s="143" t="s">
        <v>1260</v>
      </c>
      <c r="E141" s="149">
        <v>46167.1179720023</v>
      </c>
      <c r="F141" s="143" t="s">
        <v>168</v>
      </c>
      <c r="G141" s="14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43" t="s">
        <v>1409</v>
      </c>
      <c r="B142" s="143" t="s">
        <v>812</v>
      </c>
      <c r="C142" s="143" t="s">
        <v>1284</v>
      </c>
      <c r="D142" s="143" t="s">
        <v>1260</v>
      </c>
      <c r="E142" s="149">
        <v>46167.1179720023</v>
      </c>
      <c r="F142" s="143" t="s">
        <v>168</v>
      </c>
      <c r="G142" s="14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43" t="s">
        <v>1410</v>
      </c>
      <c r="B143" s="143" t="s">
        <v>820</v>
      </c>
      <c r="C143" s="143" t="s">
        <v>1259</v>
      </c>
      <c r="D143" s="143" t="s">
        <v>1260</v>
      </c>
      <c r="E143" s="149">
        <v>46167.1179720023</v>
      </c>
      <c r="F143" s="143" t="s">
        <v>168</v>
      </c>
      <c r="G143" s="14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43" t="s">
        <v>1411</v>
      </c>
      <c r="B144" s="143" t="s">
        <v>820</v>
      </c>
      <c r="C144" s="143" t="s">
        <v>1262</v>
      </c>
      <c r="D144" s="143" t="s">
        <v>1260</v>
      </c>
      <c r="E144" s="149">
        <v>46167.1179720023</v>
      </c>
      <c r="F144" s="143" t="s">
        <v>168</v>
      </c>
      <c r="G144" s="14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43" t="s">
        <v>1412</v>
      </c>
      <c r="B145" s="143" t="s">
        <v>820</v>
      </c>
      <c r="C145" s="143" t="s">
        <v>1264</v>
      </c>
      <c r="D145" s="143" t="s">
        <v>1260</v>
      </c>
      <c r="E145" s="149">
        <v>46167.1179720023</v>
      </c>
      <c r="F145" s="143" t="s">
        <v>168</v>
      </c>
      <c r="G145" s="14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43" t="s">
        <v>1413</v>
      </c>
      <c r="B146" s="143" t="s">
        <v>820</v>
      </c>
      <c r="C146" s="143" t="s">
        <v>1266</v>
      </c>
      <c r="D146" s="143" t="s">
        <v>1260</v>
      </c>
      <c r="E146" s="149">
        <v>46167.1179720023</v>
      </c>
      <c r="F146" s="143" t="s">
        <v>168</v>
      </c>
      <c r="G146" s="14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43" t="s">
        <v>1414</v>
      </c>
      <c r="B147" s="143" t="s">
        <v>820</v>
      </c>
      <c r="C147" s="143" t="s">
        <v>1268</v>
      </c>
      <c r="D147" s="143" t="s">
        <v>1260</v>
      </c>
      <c r="E147" s="149">
        <v>46167.1179720023</v>
      </c>
      <c r="F147" s="143" t="s">
        <v>168</v>
      </c>
      <c r="G147" s="14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43" t="s">
        <v>1415</v>
      </c>
      <c r="B148" s="143" t="s">
        <v>820</v>
      </c>
      <c r="C148" s="143" t="s">
        <v>1274</v>
      </c>
      <c r="D148" s="143" t="s">
        <v>1260</v>
      </c>
      <c r="E148" s="149">
        <v>46167.1179720023</v>
      </c>
      <c r="F148" s="143" t="s">
        <v>168</v>
      </c>
      <c r="G148" s="14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43" t="s">
        <v>1416</v>
      </c>
      <c r="B149" s="143" t="s">
        <v>820</v>
      </c>
      <c r="C149" s="143" t="s">
        <v>1276</v>
      </c>
      <c r="D149" s="143" t="s">
        <v>1260</v>
      </c>
      <c r="E149" s="149">
        <v>46167.1179720023</v>
      </c>
      <c r="F149" s="143" t="s">
        <v>168</v>
      </c>
      <c r="G149" s="14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43" t="s">
        <v>1417</v>
      </c>
      <c r="B150" s="143" t="s">
        <v>820</v>
      </c>
      <c r="C150" s="143" t="s">
        <v>1284</v>
      </c>
      <c r="D150" s="143" t="s">
        <v>1260</v>
      </c>
      <c r="E150" s="149">
        <v>46167.1179720023</v>
      </c>
      <c r="F150" s="143" t="s">
        <v>168</v>
      </c>
      <c r="G150" s="14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43" t="s">
        <v>1418</v>
      </c>
      <c r="B151" s="143" t="s">
        <v>823</v>
      </c>
      <c r="C151" s="143" t="s">
        <v>1259</v>
      </c>
      <c r="D151" s="143" t="s">
        <v>1260</v>
      </c>
      <c r="E151" s="149">
        <v>46167.1179720023</v>
      </c>
      <c r="F151" s="143" t="s">
        <v>168</v>
      </c>
      <c r="G151" s="14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43" t="s">
        <v>1419</v>
      </c>
      <c r="B152" s="143" t="s">
        <v>823</v>
      </c>
      <c r="C152" s="143" t="s">
        <v>1262</v>
      </c>
      <c r="D152" s="143" t="s">
        <v>1260</v>
      </c>
      <c r="E152" s="149">
        <v>46167.1179720023</v>
      </c>
      <c r="F152" s="143" t="s">
        <v>168</v>
      </c>
      <c r="G152" s="14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43" t="s">
        <v>1420</v>
      </c>
      <c r="B153" s="143" t="s">
        <v>823</v>
      </c>
      <c r="C153" s="143" t="s">
        <v>1264</v>
      </c>
      <c r="D153" s="143" t="s">
        <v>1260</v>
      </c>
      <c r="E153" s="149">
        <v>46167.1179720023</v>
      </c>
      <c r="F153" s="143" t="s">
        <v>168</v>
      </c>
      <c r="G153" s="14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43" t="s">
        <v>1421</v>
      </c>
      <c r="B154" s="143" t="s">
        <v>823</v>
      </c>
      <c r="C154" s="143" t="s">
        <v>1266</v>
      </c>
      <c r="D154" s="143" t="s">
        <v>1260</v>
      </c>
      <c r="E154" s="149">
        <v>46167.1179720023</v>
      </c>
      <c r="F154" s="143" t="s">
        <v>168</v>
      </c>
      <c r="G154" s="14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43" t="s">
        <v>1422</v>
      </c>
      <c r="B155" s="143" t="s">
        <v>823</v>
      </c>
      <c r="C155" s="143" t="s">
        <v>1268</v>
      </c>
      <c r="D155" s="143" t="s">
        <v>1260</v>
      </c>
      <c r="E155" s="149">
        <v>46167.1179720023</v>
      </c>
      <c r="F155" s="143" t="s">
        <v>168</v>
      </c>
      <c r="G155" s="14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43" t="s">
        <v>1423</v>
      </c>
      <c r="B156" s="143" t="s">
        <v>823</v>
      </c>
      <c r="C156" s="143" t="s">
        <v>1274</v>
      </c>
      <c r="D156" s="143" t="s">
        <v>1260</v>
      </c>
      <c r="E156" s="149">
        <v>46167.1179720023</v>
      </c>
      <c r="F156" s="143" t="s">
        <v>168</v>
      </c>
      <c r="G156" s="14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43" t="s">
        <v>1424</v>
      </c>
      <c r="B157" s="143" t="s">
        <v>823</v>
      </c>
      <c r="C157" s="143" t="s">
        <v>1276</v>
      </c>
      <c r="D157" s="143" t="s">
        <v>1260</v>
      </c>
      <c r="E157" s="149">
        <v>46167.1179720023</v>
      </c>
      <c r="F157" s="143" t="s">
        <v>168</v>
      </c>
      <c r="G157" s="14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43" t="s">
        <v>1425</v>
      </c>
      <c r="B158" s="143" t="s">
        <v>823</v>
      </c>
      <c r="C158" s="143" t="s">
        <v>1284</v>
      </c>
      <c r="D158" s="143" t="s">
        <v>1260</v>
      </c>
      <c r="E158" s="149">
        <v>46167.1179720023</v>
      </c>
      <c r="F158" s="143" t="s">
        <v>168</v>
      </c>
      <c r="G158" s="14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43" t="s">
        <v>1426</v>
      </c>
      <c r="B159" s="143" t="s">
        <v>827</v>
      </c>
      <c r="C159" s="143" t="s">
        <v>1259</v>
      </c>
      <c r="D159" s="143" t="s">
        <v>1260</v>
      </c>
      <c r="E159" s="149">
        <v>46167.1179720023</v>
      </c>
      <c r="F159" s="143" t="s">
        <v>168</v>
      </c>
      <c r="G159" s="14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43" t="s">
        <v>1427</v>
      </c>
      <c r="B160" s="143" t="s">
        <v>827</v>
      </c>
      <c r="C160" s="143" t="s">
        <v>1262</v>
      </c>
      <c r="D160" s="143" t="s">
        <v>1260</v>
      </c>
      <c r="E160" s="149">
        <v>46167.1179720023</v>
      </c>
      <c r="F160" s="143" t="s">
        <v>168</v>
      </c>
      <c r="G160" s="14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43" t="s">
        <v>1428</v>
      </c>
      <c r="B161" s="143" t="s">
        <v>827</v>
      </c>
      <c r="C161" s="143" t="s">
        <v>1264</v>
      </c>
      <c r="D161" s="143" t="s">
        <v>1260</v>
      </c>
      <c r="E161" s="149">
        <v>46167.1179720023</v>
      </c>
      <c r="F161" s="143" t="s">
        <v>168</v>
      </c>
      <c r="G161" s="14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43" t="s">
        <v>1429</v>
      </c>
      <c r="B162" s="143" t="s">
        <v>827</v>
      </c>
      <c r="C162" s="143" t="s">
        <v>1266</v>
      </c>
      <c r="D162" s="143" t="s">
        <v>1260</v>
      </c>
      <c r="E162" s="149">
        <v>46167.1179720023</v>
      </c>
      <c r="F162" s="143" t="s">
        <v>168</v>
      </c>
      <c r="G162" s="14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43" t="s">
        <v>1430</v>
      </c>
      <c r="B163" s="143" t="s">
        <v>827</v>
      </c>
      <c r="C163" s="143" t="s">
        <v>1268</v>
      </c>
      <c r="D163" s="143" t="s">
        <v>1260</v>
      </c>
      <c r="E163" s="149">
        <v>46167.1179720023</v>
      </c>
      <c r="F163" s="143" t="s">
        <v>168</v>
      </c>
      <c r="G163" s="14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43" t="s">
        <v>1431</v>
      </c>
      <c r="B164" s="143" t="s">
        <v>827</v>
      </c>
      <c r="C164" s="143" t="s">
        <v>1274</v>
      </c>
      <c r="D164" s="143" t="s">
        <v>1260</v>
      </c>
      <c r="E164" s="149">
        <v>46167.1179720023</v>
      </c>
      <c r="F164" s="143" t="s">
        <v>168</v>
      </c>
      <c r="G164" s="14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43" t="s">
        <v>1432</v>
      </c>
      <c r="B165" s="143" t="s">
        <v>827</v>
      </c>
      <c r="C165" s="143" t="s">
        <v>1276</v>
      </c>
      <c r="D165" s="143" t="s">
        <v>1260</v>
      </c>
      <c r="E165" s="149">
        <v>46167.1179720023</v>
      </c>
      <c r="F165" s="143" t="s">
        <v>168</v>
      </c>
      <c r="G165" s="14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43" t="s">
        <v>1433</v>
      </c>
      <c r="B166" s="143" t="s">
        <v>827</v>
      </c>
      <c r="C166" s="143" t="s">
        <v>1284</v>
      </c>
      <c r="D166" s="143" t="s">
        <v>1260</v>
      </c>
      <c r="E166" s="149">
        <v>46167.1179720023</v>
      </c>
      <c r="F166" s="143" t="s">
        <v>168</v>
      </c>
      <c r="G166" s="14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43" t="s">
        <v>1434</v>
      </c>
      <c r="B167" s="143" t="s">
        <v>830</v>
      </c>
      <c r="C167" s="143" t="s">
        <v>1259</v>
      </c>
      <c r="D167" s="143" t="s">
        <v>1260</v>
      </c>
      <c r="E167" s="149">
        <v>46167.1179720023</v>
      </c>
      <c r="F167" s="143" t="s">
        <v>168</v>
      </c>
      <c r="G167" s="14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43" t="s">
        <v>1435</v>
      </c>
      <c r="B168" s="143" t="s">
        <v>830</v>
      </c>
      <c r="C168" s="143" t="s">
        <v>1262</v>
      </c>
      <c r="D168" s="143" t="s">
        <v>1260</v>
      </c>
      <c r="E168" s="149">
        <v>46167.1179720023</v>
      </c>
      <c r="F168" s="143" t="s">
        <v>168</v>
      </c>
      <c r="G168" s="14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43" t="s">
        <v>1436</v>
      </c>
      <c r="B169" s="143" t="s">
        <v>830</v>
      </c>
      <c r="C169" s="143" t="s">
        <v>1264</v>
      </c>
      <c r="D169" s="143" t="s">
        <v>1260</v>
      </c>
      <c r="E169" s="149">
        <v>46167.1179720023</v>
      </c>
      <c r="F169" s="143" t="s">
        <v>168</v>
      </c>
      <c r="G169" s="14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43" t="s">
        <v>1437</v>
      </c>
      <c r="B170" s="143" t="s">
        <v>830</v>
      </c>
      <c r="C170" s="143" t="s">
        <v>1266</v>
      </c>
      <c r="D170" s="143" t="s">
        <v>1260</v>
      </c>
      <c r="E170" s="149">
        <v>46167.1179720023</v>
      </c>
      <c r="F170" s="143" t="s">
        <v>168</v>
      </c>
      <c r="G170" s="14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43" t="s">
        <v>1438</v>
      </c>
      <c r="B171" s="143" t="s">
        <v>830</v>
      </c>
      <c r="C171" s="143" t="s">
        <v>1268</v>
      </c>
      <c r="D171" s="143" t="s">
        <v>1260</v>
      </c>
      <c r="E171" s="149">
        <v>46167.1179720023</v>
      </c>
      <c r="F171" s="143" t="s">
        <v>168</v>
      </c>
      <c r="G171" s="14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43" t="s">
        <v>1439</v>
      </c>
      <c r="B172" s="143" t="s">
        <v>830</v>
      </c>
      <c r="C172" s="143" t="s">
        <v>1270</v>
      </c>
      <c r="D172" s="143" t="s">
        <v>1260</v>
      </c>
      <c r="E172" s="149">
        <v>46167.1179720023</v>
      </c>
      <c r="F172" s="143" t="s">
        <v>168</v>
      </c>
      <c r="G172" s="14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43" t="s">
        <v>1440</v>
      </c>
      <c r="B173" s="143" t="s">
        <v>830</v>
      </c>
      <c r="C173" s="143" t="s">
        <v>1272</v>
      </c>
      <c r="D173" s="143" t="s">
        <v>1260</v>
      </c>
      <c r="E173" s="149">
        <v>46167.1179720023</v>
      </c>
      <c r="F173" s="143" t="s">
        <v>168</v>
      </c>
      <c r="G173" s="14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43" t="s">
        <v>1441</v>
      </c>
      <c r="B174" s="143" t="s">
        <v>830</v>
      </c>
      <c r="C174" s="143" t="s">
        <v>1274</v>
      </c>
      <c r="D174" s="143" t="s">
        <v>1260</v>
      </c>
      <c r="E174" s="149">
        <v>46167.1179720023</v>
      </c>
      <c r="F174" s="143" t="s">
        <v>168</v>
      </c>
      <c r="G174" s="14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43" t="s">
        <v>1442</v>
      </c>
      <c r="B175" s="143" t="s">
        <v>830</v>
      </c>
      <c r="C175" s="143" t="s">
        <v>1276</v>
      </c>
      <c r="D175" s="143" t="s">
        <v>1260</v>
      </c>
      <c r="E175" s="149">
        <v>46167.1179720023</v>
      </c>
      <c r="F175" s="143" t="s">
        <v>168</v>
      </c>
      <c r="G175" s="14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43" t="s">
        <v>1443</v>
      </c>
      <c r="B176" s="143" t="s">
        <v>830</v>
      </c>
      <c r="C176" s="143" t="s">
        <v>1284</v>
      </c>
      <c r="D176" s="143" t="s">
        <v>1260</v>
      </c>
      <c r="E176" s="149">
        <v>46167.1179720023</v>
      </c>
      <c r="F176" s="143" t="s">
        <v>168</v>
      </c>
      <c r="G176" s="14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43" t="s">
        <v>1444</v>
      </c>
      <c r="B177" s="143" t="s">
        <v>835</v>
      </c>
      <c r="C177" s="143" t="s">
        <v>1259</v>
      </c>
      <c r="D177" s="143" t="s">
        <v>1260</v>
      </c>
      <c r="E177" s="149">
        <v>46167.1179720023</v>
      </c>
      <c r="F177" s="143" t="s">
        <v>168</v>
      </c>
      <c r="G177" s="14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43" t="s">
        <v>1445</v>
      </c>
      <c r="B178" s="143" t="s">
        <v>835</v>
      </c>
      <c r="C178" s="143" t="s">
        <v>1262</v>
      </c>
      <c r="D178" s="143" t="s">
        <v>1260</v>
      </c>
      <c r="E178" s="149">
        <v>46167.1179720023</v>
      </c>
      <c r="F178" s="143" t="s">
        <v>168</v>
      </c>
      <c r="G178" s="14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43" t="s">
        <v>1446</v>
      </c>
      <c r="B179" s="143" t="s">
        <v>835</v>
      </c>
      <c r="C179" s="143" t="s">
        <v>1264</v>
      </c>
      <c r="D179" s="143" t="s">
        <v>1260</v>
      </c>
      <c r="E179" s="149">
        <v>46167.1179720023</v>
      </c>
      <c r="F179" s="143" t="s">
        <v>168</v>
      </c>
      <c r="G179" s="14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43" t="s">
        <v>1447</v>
      </c>
      <c r="B180" s="143" t="s">
        <v>835</v>
      </c>
      <c r="C180" s="143" t="s">
        <v>1266</v>
      </c>
      <c r="D180" s="143" t="s">
        <v>1260</v>
      </c>
      <c r="E180" s="149">
        <v>46167.1179720023</v>
      </c>
      <c r="F180" s="143" t="s">
        <v>168</v>
      </c>
      <c r="G180" s="14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43" t="s">
        <v>1448</v>
      </c>
      <c r="B181" s="143" t="s">
        <v>835</v>
      </c>
      <c r="C181" s="143" t="s">
        <v>1268</v>
      </c>
      <c r="D181" s="143" t="s">
        <v>1260</v>
      </c>
      <c r="E181" s="149">
        <v>46167.1179720023</v>
      </c>
      <c r="F181" s="143" t="s">
        <v>168</v>
      </c>
      <c r="G181" s="14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43" t="s">
        <v>1449</v>
      </c>
      <c r="B182" s="143" t="s">
        <v>835</v>
      </c>
      <c r="C182" s="143" t="s">
        <v>1274</v>
      </c>
      <c r="D182" s="143" t="s">
        <v>1260</v>
      </c>
      <c r="E182" s="149">
        <v>46167.1179720023</v>
      </c>
      <c r="F182" s="143" t="s">
        <v>168</v>
      </c>
      <c r="G182" s="14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43" t="s">
        <v>1450</v>
      </c>
      <c r="B183" s="143" t="s">
        <v>841</v>
      </c>
      <c r="C183" s="143" t="s">
        <v>1259</v>
      </c>
      <c r="D183" s="143" t="s">
        <v>1260</v>
      </c>
      <c r="E183" s="149">
        <v>46167.1179720023</v>
      </c>
      <c r="F183" s="143" t="s">
        <v>168</v>
      </c>
      <c r="G183" s="14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43" t="s">
        <v>1451</v>
      </c>
      <c r="B184" s="143" t="s">
        <v>841</v>
      </c>
      <c r="C184" s="143" t="s">
        <v>1262</v>
      </c>
      <c r="D184" s="143" t="s">
        <v>1260</v>
      </c>
      <c r="E184" s="149">
        <v>46167.1179720023</v>
      </c>
      <c r="F184" s="143" t="s">
        <v>168</v>
      </c>
      <c r="G184" s="14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43" t="s">
        <v>1452</v>
      </c>
      <c r="B185" s="143" t="s">
        <v>841</v>
      </c>
      <c r="C185" s="143" t="s">
        <v>1264</v>
      </c>
      <c r="D185" s="143" t="s">
        <v>1260</v>
      </c>
      <c r="E185" s="149">
        <v>46167.1179720023</v>
      </c>
      <c r="F185" s="143" t="s">
        <v>168</v>
      </c>
      <c r="G185" s="14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43" t="s">
        <v>1453</v>
      </c>
      <c r="B186" s="143" t="s">
        <v>841</v>
      </c>
      <c r="C186" s="143" t="s">
        <v>1266</v>
      </c>
      <c r="D186" s="143" t="s">
        <v>1260</v>
      </c>
      <c r="E186" s="149">
        <v>46167.1179720023</v>
      </c>
      <c r="F186" s="143" t="s">
        <v>168</v>
      </c>
      <c r="G186" s="14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43" t="s">
        <v>1454</v>
      </c>
      <c r="B187" s="143" t="s">
        <v>841</v>
      </c>
      <c r="C187" s="143" t="s">
        <v>1268</v>
      </c>
      <c r="D187" s="143" t="s">
        <v>1260</v>
      </c>
      <c r="E187" s="149">
        <v>46167.1179720023</v>
      </c>
      <c r="F187" s="143" t="s">
        <v>168</v>
      </c>
      <c r="G187" s="14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43" t="s">
        <v>1455</v>
      </c>
      <c r="B188" s="143" t="s">
        <v>841</v>
      </c>
      <c r="C188" s="143" t="s">
        <v>1274</v>
      </c>
      <c r="D188" s="143" t="s">
        <v>1260</v>
      </c>
      <c r="E188" s="149">
        <v>46167.1179720023</v>
      </c>
      <c r="F188" s="143" t="s">
        <v>168</v>
      </c>
      <c r="G188" s="14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43" t="s">
        <v>1456</v>
      </c>
      <c r="B189" s="143" t="s">
        <v>845</v>
      </c>
      <c r="C189" s="143" t="s">
        <v>1259</v>
      </c>
      <c r="D189" s="143" t="s">
        <v>1260</v>
      </c>
      <c r="E189" s="149">
        <v>46167.1179720023</v>
      </c>
      <c r="F189" s="143" t="s">
        <v>168</v>
      </c>
      <c r="G189" s="14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43" t="s">
        <v>1457</v>
      </c>
      <c r="B190" s="143" t="s">
        <v>845</v>
      </c>
      <c r="C190" s="143" t="s">
        <v>1262</v>
      </c>
      <c r="D190" s="143" t="s">
        <v>1260</v>
      </c>
      <c r="E190" s="149">
        <v>46167.1179720023</v>
      </c>
      <c r="F190" s="143" t="s">
        <v>168</v>
      </c>
      <c r="G190" s="14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43" t="s">
        <v>1458</v>
      </c>
      <c r="B191" s="143" t="s">
        <v>845</v>
      </c>
      <c r="C191" s="143" t="s">
        <v>1264</v>
      </c>
      <c r="D191" s="143" t="s">
        <v>1260</v>
      </c>
      <c r="E191" s="149">
        <v>46167.1179720023</v>
      </c>
      <c r="F191" s="143" t="s">
        <v>168</v>
      </c>
      <c r="G191" s="14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43" t="s">
        <v>1459</v>
      </c>
      <c r="B192" s="143" t="s">
        <v>845</v>
      </c>
      <c r="C192" s="143" t="s">
        <v>1266</v>
      </c>
      <c r="D192" s="143" t="s">
        <v>1260</v>
      </c>
      <c r="E192" s="149">
        <v>46167.1179720023</v>
      </c>
      <c r="F192" s="143" t="s">
        <v>168</v>
      </c>
      <c r="G192" s="14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43" t="s">
        <v>1460</v>
      </c>
      <c r="B193" s="143" t="s">
        <v>845</v>
      </c>
      <c r="C193" s="143" t="s">
        <v>1268</v>
      </c>
      <c r="D193" s="143" t="s">
        <v>1260</v>
      </c>
      <c r="E193" s="149">
        <v>46167.1179720023</v>
      </c>
      <c r="F193" s="143" t="s">
        <v>168</v>
      </c>
      <c r="G193" s="14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43" t="s">
        <v>1461</v>
      </c>
      <c r="B194" s="143" t="s">
        <v>845</v>
      </c>
      <c r="C194" s="143" t="s">
        <v>1274</v>
      </c>
      <c r="D194" s="143" t="s">
        <v>1260</v>
      </c>
      <c r="E194" s="149">
        <v>46167.1179720023</v>
      </c>
      <c r="F194" s="143" t="s">
        <v>168</v>
      </c>
      <c r="G194" s="14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43" t="s">
        <v>1462</v>
      </c>
      <c r="B195" s="143" t="s">
        <v>845</v>
      </c>
      <c r="C195" s="143" t="s">
        <v>1276</v>
      </c>
      <c r="D195" s="143" t="s">
        <v>1260</v>
      </c>
      <c r="E195" s="149">
        <v>46167.1179720023</v>
      </c>
      <c r="F195" s="143" t="s">
        <v>168</v>
      </c>
      <c r="G195" s="14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43" t="s">
        <v>1463</v>
      </c>
      <c r="B196" s="143" t="s">
        <v>845</v>
      </c>
      <c r="C196" s="143" t="s">
        <v>1284</v>
      </c>
      <c r="D196" s="143" t="s">
        <v>1260</v>
      </c>
      <c r="E196" s="149">
        <v>46167.1179720023</v>
      </c>
      <c r="F196" s="143" t="s">
        <v>168</v>
      </c>
      <c r="G196" s="14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43" t="s">
        <v>1464</v>
      </c>
      <c r="B197" s="143" t="s">
        <v>849</v>
      </c>
      <c r="C197" s="143" t="s">
        <v>1259</v>
      </c>
      <c r="D197" s="143" t="s">
        <v>1260</v>
      </c>
      <c r="E197" s="149">
        <v>46167.1179720023</v>
      </c>
      <c r="F197" s="143" t="s">
        <v>168</v>
      </c>
      <c r="G197" s="14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43" t="s">
        <v>1465</v>
      </c>
      <c r="B198" s="143" t="s">
        <v>849</v>
      </c>
      <c r="C198" s="143" t="s">
        <v>1262</v>
      </c>
      <c r="D198" s="143" t="s">
        <v>1260</v>
      </c>
      <c r="E198" s="149">
        <v>46167.1179720023</v>
      </c>
      <c r="F198" s="143" t="s">
        <v>168</v>
      </c>
      <c r="G198" s="14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43" t="s">
        <v>1466</v>
      </c>
      <c r="B199" s="143" t="s">
        <v>849</v>
      </c>
      <c r="C199" s="143" t="s">
        <v>1264</v>
      </c>
      <c r="D199" s="143" t="s">
        <v>1260</v>
      </c>
      <c r="E199" s="149">
        <v>46167.1179720023</v>
      </c>
      <c r="F199" s="143" t="s">
        <v>168</v>
      </c>
      <c r="G199" s="14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43" t="s">
        <v>1467</v>
      </c>
      <c r="B200" s="143" t="s">
        <v>849</v>
      </c>
      <c r="C200" s="143" t="s">
        <v>1266</v>
      </c>
      <c r="D200" s="143" t="s">
        <v>1260</v>
      </c>
      <c r="E200" s="149">
        <v>46167.1179720023</v>
      </c>
      <c r="F200" s="143" t="s">
        <v>168</v>
      </c>
      <c r="G200" s="14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43" t="s">
        <v>1468</v>
      </c>
      <c r="B201" s="143" t="s">
        <v>849</v>
      </c>
      <c r="C201" s="143" t="s">
        <v>1268</v>
      </c>
      <c r="D201" s="143" t="s">
        <v>1260</v>
      </c>
      <c r="E201" s="149">
        <v>46167.1179720023</v>
      </c>
      <c r="F201" s="143" t="s">
        <v>168</v>
      </c>
      <c r="G201" s="14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43" t="s">
        <v>1469</v>
      </c>
      <c r="B202" s="143" t="s">
        <v>849</v>
      </c>
      <c r="C202" s="143" t="s">
        <v>1270</v>
      </c>
      <c r="D202" s="143" t="s">
        <v>1260</v>
      </c>
      <c r="E202" s="149">
        <v>46167.1179720023</v>
      </c>
      <c r="F202" s="143" t="s">
        <v>168</v>
      </c>
      <c r="G202" s="14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43" t="s">
        <v>1470</v>
      </c>
      <c r="B203" s="143" t="s">
        <v>849</v>
      </c>
      <c r="C203" s="143" t="s">
        <v>1272</v>
      </c>
      <c r="D203" s="143" t="s">
        <v>1260</v>
      </c>
      <c r="E203" s="149">
        <v>46167.1179720023</v>
      </c>
      <c r="F203" s="143" t="s">
        <v>168</v>
      </c>
      <c r="G203" s="14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43" t="s">
        <v>1471</v>
      </c>
      <c r="B204" s="143" t="s">
        <v>854</v>
      </c>
      <c r="C204" s="143" t="s">
        <v>1259</v>
      </c>
      <c r="D204" s="143" t="s">
        <v>1260</v>
      </c>
      <c r="E204" s="149">
        <v>46167.1179720023</v>
      </c>
      <c r="F204" s="143" t="s">
        <v>168</v>
      </c>
      <c r="G204" s="14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43" t="s">
        <v>1472</v>
      </c>
      <c r="B205" s="143" t="s">
        <v>854</v>
      </c>
      <c r="C205" s="143" t="s">
        <v>1262</v>
      </c>
      <c r="D205" s="143" t="s">
        <v>1260</v>
      </c>
      <c r="E205" s="149">
        <v>46167.1179720023</v>
      </c>
      <c r="F205" s="143" t="s">
        <v>168</v>
      </c>
      <c r="G205" s="14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43" t="s">
        <v>1473</v>
      </c>
      <c r="B206" s="143" t="s">
        <v>854</v>
      </c>
      <c r="C206" s="143" t="s">
        <v>1264</v>
      </c>
      <c r="D206" s="143" t="s">
        <v>1260</v>
      </c>
      <c r="E206" s="149">
        <v>46167.1179720023</v>
      </c>
      <c r="F206" s="143" t="s">
        <v>168</v>
      </c>
      <c r="G206" s="14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43" t="s">
        <v>1474</v>
      </c>
      <c r="B207" s="143" t="s">
        <v>854</v>
      </c>
      <c r="C207" s="143" t="s">
        <v>1266</v>
      </c>
      <c r="D207" s="143" t="s">
        <v>1260</v>
      </c>
      <c r="E207" s="149">
        <v>46167.1179720023</v>
      </c>
      <c r="F207" s="143" t="s">
        <v>168</v>
      </c>
      <c r="G207" s="14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43" t="s">
        <v>1475</v>
      </c>
      <c r="B208" s="143" t="s">
        <v>854</v>
      </c>
      <c r="C208" s="143" t="s">
        <v>1268</v>
      </c>
      <c r="D208" s="143" t="s">
        <v>1260</v>
      </c>
      <c r="E208" s="149">
        <v>46167.1179720023</v>
      </c>
      <c r="F208" s="143" t="s">
        <v>168</v>
      </c>
      <c r="G208" s="14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43" t="s">
        <v>1476</v>
      </c>
      <c r="B209" s="143" t="s">
        <v>854</v>
      </c>
      <c r="C209" s="143" t="s">
        <v>1274</v>
      </c>
      <c r="D209" s="143" t="s">
        <v>1260</v>
      </c>
      <c r="E209" s="149">
        <v>46167.1179720023</v>
      </c>
      <c r="F209" s="143" t="s">
        <v>168</v>
      </c>
      <c r="G209" s="14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43" t="s">
        <v>1477</v>
      </c>
      <c r="B210" s="143" t="s">
        <v>860</v>
      </c>
      <c r="C210" s="143" t="s">
        <v>1259</v>
      </c>
      <c r="D210" s="143" t="s">
        <v>1260</v>
      </c>
      <c r="E210" s="149">
        <v>46167.1179720023</v>
      </c>
      <c r="F210" s="143" t="s">
        <v>168</v>
      </c>
      <c r="G210" s="14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43" t="s">
        <v>1478</v>
      </c>
      <c r="B211" s="143" t="s">
        <v>860</v>
      </c>
      <c r="C211" s="143" t="s">
        <v>1262</v>
      </c>
      <c r="D211" s="143" t="s">
        <v>1260</v>
      </c>
      <c r="E211" s="149">
        <v>46167.1179720023</v>
      </c>
      <c r="F211" s="143" t="s">
        <v>168</v>
      </c>
      <c r="G211" s="14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43" t="s">
        <v>1479</v>
      </c>
      <c r="B212" s="143" t="s">
        <v>860</v>
      </c>
      <c r="C212" s="143" t="s">
        <v>1264</v>
      </c>
      <c r="D212" s="143" t="s">
        <v>1260</v>
      </c>
      <c r="E212" s="149">
        <v>46167.1179720023</v>
      </c>
      <c r="F212" s="143" t="s">
        <v>168</v>
      </c>
      <c r="G212" s="14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43" t="s">
        <v>1480</v>
      </c>
      <c r="B213" s="143" t="s">
        <v>860</v>
      </c>
      <c r="C213" s="143" t="s">
        <v>1270</v>
      </c>
      <c r="D213" s="143" t="s">
        <v>1260</v>
      </c>
      <c r="E213" s="149">
        <v>46167.1179720023</v>
      </c>
      <c r="F213" s="143" t="s">
        <v>168</v>
      </c>
      <c r="G213" s="14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43" t="s">
        <v>1481</v>
      </c>
      <c r="B214" s="143" t="s">
        <v>860</v>
      </c>
      <c r="C214" s="143" t="s">
        <v>1272</v>
      </c>
      <c r="D214" s="143" t="s">
        <v>1260</v>
      </c>
      <c r="E214" s="149">
        <v>46167.1179720023</v>
      </c>
      <c r="F214" s="143" t="s">
        <v>168</v>
      </c>
      <c r="G214" s="14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43" t="s">
        <v>1482</v>
      </c>
      <c r="B215" s="143" t="s">
        <v>860</v>
      </c>
      <c r="C215" s="143" t="s">
        <v>1274</v>
      </c>
      <c r="D215" s="143" t="s">
        <v>1260</v>
      </c>
      <c r="E215" s="149">
        <v>46167.1179720023</v>
      </c>
      <c r="F215" s="143" t="s">
        <v>168</v>
      </c>
      <c r="G215" s="14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43" t="s">
        <v>1483</v>
      </c>
      <c r="B216" s="143" t="s">
        <v>866</v>
      </c>
      <c r="C216" s="143" t="s">
        <v>1259</v>
      </c>
      <c r="D216" s="143" t="s">
        <v>1260</v>
      </c>
      <c r="E216" s="149">
        <v>46167.1179720023</v>
      </c>
      <c r="F216" s="143" t="s">
        <v>168</v>
      </c>
      <c r="G216" s="14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43" t="s">
        <v>1484</v>
      </c>
      <c r="B217" s="143" t="s">
        <v>866</v>
      </c>
      <c r="C217" s="143" t="s">
        <v>1262</v>
      </c>
      <c r="D217" s="143" t="s">
        <v>1260</v>
      </c>
      <c r="E217" s="149">
        <v>46167.1179720023</v>
      </c>
      <c r="F217" s="143" t="s">
        <v>168</v>
      </c>
      <c r="G217" s="14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43" t="s">
        <v>1485</v>
      </c>
      <c r="B218" s="143" t="s">
        <v>866</v>
      </c>
      <c r="C218" s="143" t="s">
        <v>1264</v>
      </c>
      <c r="D218" s="143" t="s">
        <v>1260</v>
      </c>
      <c r="E218" s="149">
        <v>46167.1179720023</v>
      </c>
      <c r="F218" s="143" t="s">
        <v>168</v>
      </c>
      <c r="G218" s="14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43" t="s">
        <v>1486</v>
      </c>
      <c r="B219" s="143" t="s">
        <v>866</v>
      </c>
      <c r="C219" s="143" t="s">
        <v>1266</v>
      </c>
      <c r="D219" s="143" t="s">
        <v>1260</v>
      </c>
      <c r="E219" s="149">
        <v>46167.1179720023</v>
      </c>
      <c r="F219" s="143" t="s">
        <v>168</v>
      </c>
      <c r="G219" s="14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43" t="s">
        <v>1487</v>
      </c>
      <c r="B220" s="143" t="s">
        <v>866</v>
      </c>
      <c r="C220" s="143" t="s">
        <v>1268</v>
      </c>
      <c r="D220" s="143" t="s">
        <v>1260</v>
      </c>
      <c r="E220" s="149">
        <v>46167.1179720023</v>
      </c>
      <c r="F220" s="143" t="s">
        <v>168</v>
      </c>
      <c r="G220" s="14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43" t="s">
        <v>1488</v>
      </c>
      <c r="B221" s="143" t="s">
        <v>866</v>
      </c>
      <c r="C221" s="143" t="s">
        <v>1274</v>
      </c>
      <c r="D221" s="143" t="s">
        <v>1260</v>
      </c>
      <c r="E221" s="149">
        <v>46167.1179720023</v>
      </c>
      <c r="F221" s="143" t="s">
        <v>168</v>
      </c>
      <c r="G221" s="14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43" t="s">
        <v>1489</v>
      </c>
      <c r="B222" s="143" t="s">
        <v>870</v>
      </c>
      <c r="C222" s="143" t="s">
        <v>1259</v>
      </c>
      <c r="D222" s="143" t="s">
        <v>1260</v>
      </c>
      <c r="E222" s="149">
        <v>46167.1179720023</v>
      </c>
      <c r="F222" s="143" t="s">
        <v>168</v>
      </c>
      <c r="G222" s="14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43" t="s">
        <v>1490</v>
      </c>
      <c r="B223" s="143" t="s">
        <v>870</v>
      </c>
      <c r="C223" s="143" t="s">
        <v>1262</v>
      </c>
      <c r="D223" s="143" t="s">
        <v>1260</v>
      </c>
      <c r="E223" s="149">
        <v>46167.1179720023</v>
      </c>
      <c r="F223" s="143" t="s">
        <v>168</v>
      </c>
      <c r="G223" s="14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43" t="s">
        <v>1491</v>
      </c>
      <c r="B224" s="143" t="s">
        <v>870</v>
      </c>
      <c r="C224" s="143" t="s">
        <v>1264</v>
      </c>
      <c r="D224" s="143" t="s">
        <v>1260</v>
      </c>
      <c r="E224" s="149">
        <v>46167.1179720023</v>
      </c>
      <c r="F224" s="143" t="s">
        <v>168</v>
      </c>
      <c r="G224" s="14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43" t="s">
        <v>1492</v>
      </c>
      <c r="B225" s="143" t="s">
        <v>870</v>
      </c>
      <c r="C225" s="143" t="s">
        <v>1266</v>
      </c>
      <c r="D225" s="143" t="s">
        <v>1260</v>
      </c>
      <c r="E225" s="149">
        <v>46167.1179720023</v>
      </c>
      <c r="F225" s="143" t="s">
        <v>168</v>
      </c>
      <c r="G225" s="14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43" t="s">
        <v>1493</v>
      </c>
      <c r="B226" s="143" t="s">
        <v>870</v>
      </c>
      <c r="C226" s="143" t="s">
        <v>1268</v>
      </c>
      <c r="D226" s="143" t="s">
        <v>1260</v>
      </c>
      <c r="E226" s="149">
        <v>46167.1179720023</v>
      </c>
      <c r="F226" s="143" t="s">
        <v>168</v>
      </c>
      <c r="G226" s="14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43" t="s">
        <v>1494</v>
      </c>
      <c r="B227" s="143" t="s">
        <v>870</v>
      </c>
      <c r="C227" s="143" t="s">
        <v>1274</v>
      </c>
      <c r="D227" s="143" t="s">
        <v>1260</v>
      </c>
      <c r="E227" s="149">
        <v>46167.1179720023</v>
      </c>
      <c r="F227" s="143" t="s">
        <v>168</v>
      </c>
      <c r="G227" s="14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43" t="s">
        <v>1495</v>
      </c>
      <c r="B228" s="143" t="s">
        <v>871</v>
      </c>
      <c r="C228" s="143" t="s">
        <v>1259</v>
      </c>
      <c r="D228" s="143" t="s">
        <v>1260</v>
      </c>
      <c r="E228" s="149">
        <v>46167.1179720023</v>
      </c>
      <c r="F228" s="143" t="s">
        <v>168</v>
      </c>
      <c r="G228" s="14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43" t="s">
        <v>1496</v>
      </c>
      <c r="B229" s="143" t="s">
        <v>871</v>
      </c>
      <c r="C229" s="143" t="s">
        <v>1262</v>
      </c>
      <c r="D229" s="143" t="s">
        <v>1260</v>
      </c>
      <c r="E229" s="149">
        <v>46167.1179720023</v>
      </c>
      <c r="F229" s="143" t="s">
        <v>168</v>
      </c>
      <c r="G229" s="14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43" t="s">
        <v>1497</v>
      </c>
      <c r="B230" s="143" t="s">
        <v>871</v>
      </c>
      <c r="C230" s="143" t="s">
        <v>1264</v>
      </c>
      <c r="D230" s="143" t="s">
        <v>1260</v>
      </c>
      <c r="E230" s="149">
        <v>46167.1179720023</v>
      </c>
      <c r="F230" s="143" t="s">
        <v>168</v>
      </c>
      <c r="G230" s="14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43" t="s">
        <v>1498</v>
      </c>
      <c r="B231" s="143" t="s">
        <v>871</v>
      </c>
      <c r="C231" s="143" t="s">
        <v>1266</v>
      </c>
      <c r="D231" s="143" t="s">
        <v>1260</v>
      </c>
      <c r="E231" s="149">
        <v>46167.1179720023</v>
      </c>
      <c r="F231" s="143" t="s">
        <v>168</v>
      </c>
      <c r="G231" s="14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43" t="s">
        <v>1499</v>
      </c>
      <c r="B232" s="143" t="s">
        <v>871</v>
      </c>
      <c r="C232" s="143" t="s">
        <v>1268</v>
      </c>
      <c r="D232" s="143" t="s">
        <v>1260</v>
      </c>
      <c r="E232" s="149">
        <v>46167.1179720023</v>
      </c>
      <c r="F232" s="143" t="s">
        <v>168</v>
      </c>
      <c r="G232" s="14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43" t="s">
        <v>1500</v>
      </c>
      <c r="B233" s="143" t="s">
        <v>871</v>
      </c>
      <c r="C233" s="143" t="s">
        <v>1274</v>
      </c>
      <c r="D233" s="143" t="s">
        <v>1260</v>
      </c>
      <c r="E233" s="149">
        <v>46167.1179720023</v>
      </c>
      <c r="F233" s="143" t="s">
        <v>168</v>
      </c>
      <c r="G233" s="14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43" t="s">
        <v>1501</v>
      </c>
      <c r="B234" s="143" t="s">
        <v>871</v>
      </c>
      <c r="C234" s="143" t="s">
        <v>1276</v>
      </c>
      <c r="D234" s="143" t="s">
        <v>1260</v>
      </c>
      <c r="E234" s="149">
        <v>46167.1179720023</v>
      </c>
      <c r="F234" s="143" t="s">
        <v>168</v>
      </c>
      <c r="G234" s="14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43" t="s">
        <v>1502</v>
      </c>
      <c r="B235" s="143" t="s">
        <v>871</v>
      </c>
      <c r="C235" s="143" t="s">
        <v>1284</v>
      </c>
      <c r="D235" s="143" t="s">
        <v>1260</v>
      </c>
      <c r="E235" s="149">
        <v>46167.1179720023</v>
      </c>
      <c r="F235" s="143" t="s">
        <v>168</v>
      </c>
      <c r="G235" s="14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43" t="s">
        <v>1503</v>
      </c>
      <c r="B236" s="143" t="s">
        <v>878</v>
      </c>
      <c r="C236" s="143" t="s">
        <v>1259</v>
      </c>
      <c r="D236" s="143" t="s">
        <v>1260</v>
      </c>
      <c r="E236" s="149">
        <v>46167.1179720023</v>
      </c>
      <c r="F236" s="143" t="s">
        <v>168</v>
      </c>
      <c r="G236" s="14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43" t="s">
        <v>1504</v>
      </c>
      <c r="B237" s="143" t="s">
        <v>878</v>
      </c>
      <c r="C237" s="143" t="s">
        <v>1262</v>
      </c>
      <c r="D237" s="143" t="s">
        <v>1260</v>
      </c>
      <c r="E237" s="149">
        <v>46167.1179720023</v>
      </c>
      <c r="F237" s="143" t="s">
        <v>168</v>
      </c>
      <c r="G237" s="14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43" t="s">
        <v>1505</v>
      </c>
      <c r="B238" s="143" t="s">
        <v>878</v>
      </c>
      <c r="C238" s="143" t="s">
        <v>1264</v>
      </c>
      <c r="D238" s="143" t="s">
        <v>1260</v>
      </c>
      <c r="E238" s="149">
        <v>46167.1179720023</v>
      </c>
      <c r="F238" s="143" t="s">
        <v>168</v>
      </c>
      <c r="G238" s="14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43" t="s">
        <v>1506</v>
      </c>
      <c r="B239" s="143" t="s">
        <v>878</v>
      </c>
      <c r="C239" s="143" t="s">
        <v>1266</v>
      </c>
      <c r="D239" s="143" t="s">
        <v>1260</v>
      </c>
      <c r="E239" s="149">
        <v>46167.1179720023</v>
      </c>
      <c r="F239" s="143" t="s">
        <v>168</v>
      </c>
      <c r="G239" s="14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43" t="s">
        <v>1507</v>
      </c>
      <c r="B240" s="143" t="s">
        <v>878</v>
      </c>
      <c r="C240" s="143" t="s">
        <v>1268</v>
      </c>
      <c r="D240" s="143" t="s">
        <v>1260</v>
      </c>
      <c r="E240" s="149">
        <v>46167.1179720023</v>
      </c>
      <c r="F240" s="143" t="s">
        <v>168</v>
      </c>
      <c r="G240" s="14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43" t="s">
        <v>1508</v>
      </c>
      <c r="B241" s="143" t="s">
        <v>878</v>
      </c>
      <c r="C241" s="143" t="s">
        <v>1274</v>
      </c>
      <c r="D241" s="143" t="s">
        <v>1260</v>
      </c>
      <c r="E241" s="149">
        <v>46167.1179720023</v>
      </c>
      <c r="F241" s="143" t="s">
        <v>168</v>
      </c>
      <c r="G241" s="14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43" t="s">
        <v>1509</v>
      </c>
      <c r="B242" s="143" t="s">
        <v>881</v>
      </c>
      <c r="C242" s="143" t="s">
        <v>1259</v>
      </c>
      <c r="D242" s="143" t="s">
        <v>1260</v>
      </c>
      <c r="E242" s="149">
        <v>46167.1179720023</v>
      </c>
      <c r="F242" s="143" t="s">
        <v>168</v>
      </c>
      <c r="G242" s="14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43" t="s">
        <v>1510</v>
      </c>
      <c r="B243" s="143" t="s">
        <v>881</v>
      </c>
      <c r="C243" s="143" t="s">
        <v>1262</v>
      </c>
      <c r="D243" s="143" t="s">
        <v>1260</v>
      </c>
      <c r="E243" s="149">
        <v>46167.1179720023</v>
      </c>
      <c r="F243" s="143" t="s">
        <v>168</v>
      </c>
      <c r="G243" s="14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43" t="s">
        <v>1511</v>
      </c>
      <c r="B244" s="143" t="s">
        <v>881</v>
      </c>
      <c r="C244" s="143" t="s">
        <v>1264</v>
      </c>
      <c r="D244" s="143" t="s">
        <v>1260</v>
      </c>
      <c r="E244" s="149">
        <v>46167.1179720023</v>
      </c>
      <c r="F244" s="143" t="s">
        <v>168</v>
      </c>
      <c r="G244" s="14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43" t="s">
        <v>1512</v>
      </c>
      <c r="B245" s="143" t="s">
        <v>881</v>
      </c>
      <c r="C245" s="143" t="s">
        <v>1266</v>
      </c>
      <c r="D245" s="143" t="s">
        <v>1260</v>
      </c>
      <c r="E245" s="149">
        <v>46167.1179720023</v>
      </c>
      <c r="F245" s="143" t="s">
        <v>168</v>
      </c>
      <c r="G245" s="14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43" t="s">
        <v>1513</v>
      </c>
      <c r="B246" s="143" t="s">
        <v>881</v>
      </c>
      <c r="C246" s="143" t="s">
        <v>1268</v>
      </c>
      <c r="D246" s="143" t="s">
        <v>1260</v>
      </c>
      <c r="E246" s="149">
        <v>46167.1179720023</v>
      </c>
      <c r="F246" s="143" t="s">
        <v>168</v>
      </c>
      <c r="G246" s="14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43" t="s">
        <v>1514</v>
      </c>
      <c r="B247" s="143" t="s">
        <v>881</v>
      </c>
      <c r="C247" s="143" t="s">
        <v>1274</v>
      </c>
      <c r="D247" s="143" t="s">
        <v>1260</v>
      </c>
      <c r="E247" s="149">
        <v>46167.1179720023</v>
      </c>
      <c r="F247" s="143" t="s">
        <v>168</v>
      </c>
      <c r="G247" s="14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43" t="s">
        <v>1515</v>
      </c>
      <c r="B248" s="143" t="s">
        <v>881</v>
      </c>
      <c r="C248" s="143" t="s">
        <v>1276</v>
      </c>
      <c r="D248" s="143" t="s">
        <v>1260</v>
      </c>
      <c r="E248" s="149">
        <v>46167.1179720023</v>
      </c>
      <c r="F248" s="143" t="s">
        <v>168</v>
      </c>
      <c r="G248" s="14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43" t="s">
        <v>1516</v>
      </c>
      <c r="B249" s="143" t="s">
        <v>881</v>
      </c>
      <c r="C249" s="143" t="s">
        <v>1284</v>
      </c>
      <c r="D249" s="143" t="s">
        <v>1260</v>
      </c>
      <c r="E249" s="149">
        <v>46167.1179720023</v>
      </c>
      <c r="F249" s="143" t="s">
        <v>168</v>
      </c>
      <c r="G249" s="14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43" t="s">
        <v>1517</v>
      </c>
      <c r="B250" s="143" t="s">
        <v>885</v>
      </c>
      <c r="C250" s="143" t="s">
        <v>1259</v>
      </c>
      <c r="D250" s="143" t="s">
        <v>1260</v>
      </c>
      <c r="E250" s="149">
        <v>46167.1179720023</v>
      </c>
      <c r="F250" s="143" t="s">
        <v>168</v>
      </c>
      <c r="G250" s="14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43" t="s">
        <v>1518</v>
      </c>
      <c r="B251" s="143" t="s">
        <v>885</v>
      </c>
      <c r="C251" s="143" t="s">
        <v>1262</v>
      </c>
      <c r="D251" s="143" t="s">
        <v>1260</v>
      </c>
      <c r="E251" s="149">
        <v>46167.1179720023</v>
      </c>
      <c r="F251" s="143" t="s">
        <v>168</v>
      </c>
      <c r="G251" s="14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43" t="s">
        <v>1519</v>
      </c>
      <c r="B252" s="143" t="s">
        <v>885</v>
      </c>
      <c r="C252" s="143" t="s">
        <v>1264</v>
      </c>
      <c r="D252" s="143" t="s">
        <v>1260</v>
      </c>
      <c r="E252" s="149">
        <v>46167.1179720023</v>
      </c>
      <c r="F252" s="143" t="s">
        <v>168</v>
      </c>
      <c r="G252" s="14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43" t="s">
        <v>1520</v>
      </c>
      <c r="B253" s="143" t="s">
        <v>885</v>
      </c>
      <c r="C253" s="143" t="s">
        <v>1266</v>
      </c>
      <c r="D253" s="143" t="s">
        <v>1260</v>
      </c>
      <c r="E253" s="149">
        <v>46167.1179720023</v>
      </c>
      <c r="F253" s="143" t="s">
        <v>168</v>
      </c>
      <c r="G253" s="14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43" t="s">
        <v>1521</v>
      </c>
      <c r="B254" s="143" t="s">
        <v>885</v>
      </c>
      <c r="C254" s="143" t="s">
        <v>1268</v>
      </c>
      <c r="D254" s="143" t="s">
        <v>1260</v>
      </c>
      <c r="E254" s="149">
        <v>46167.1179720023</v>
      </c>
      <c r="F254" s="143" t="s">
        <v>168</v>
      </c>
      <c r="G254" s="14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43" t="s">
        <v>1522</v>
      </c>
      <c r="B255" s="143" t="s">
        <v>885</v>
      </c>
      <c r="C255" s="143" t="s">
        <v>1274</v>
      </c>
      <c r="D255" s="143" t="s">
        <v>1260</v>
      </c>
      <c r="E255" s="149">
        <v>46167.1179720023</v>
      </c>
      <c r="F255" s="143" t="s">
        <v>168</v>
      </c>
      <c r="G255" s="14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43" t="s">
        <v>1523</v>
      </c>
      <c r="B256" s="143" t="s">
        <v>889</v>
      </c>
      <c r="C256" s="143" t="s">
        <v>1259</v>
      </c>
      <c r="D256" s="143" t="s">
        <v>1260</v>
      </c>
      <c r="E256" s="149">
        <v>46167.1179720023</v>
      </c>
      <c r="F256" s="143" t="s">
        <v>168</v>
      </c>
      <c r="G256" s="14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43" t="s">
        <v>1524</v>
      </c>
      <c r="B257" s="143" t="s">
        <v>889</v>
      </c>
      <c r="C257" s="143" t="s">
        <v>1262</v>
      </c>
      <c r="D257" s="143" t="s">
        <v>1260</v>
      </c>
      <c r="E257" s="149">
        <v>46167.1179720023</v>
      </c>
      <c r="F257" s="143" t="s">
        <v>168</v>
      </c>
      <c r="G257" s="14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43" t="s">
        <v>1525</v>
      </c>
      <c r="B258" s="143" t="s">
        <v>889</v>
      </c>
      <c r="C258" s="143" t="s">
        <v>1264</v>
      </c>
      <c r="D258" s="143" t="s">
        <v>1260</v>
      </c>
      <c r="E258" s="149">
        <v>46167.1179720023</v>
      </c>
      <c r="F258" s="143" t="s">
        <v>168</v>
      </c>
      <c r="G258" s="14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43" t="s">
        <v>1526</v>
      </c>
      <c r="B259" s="143" t="s">
        <v>889</v>
      </c>
      <c r="C259" s="143" t="s">
        <v>1266</v>
      </c>
      <c r="D259" s="143" t="s">
        <v>1260</v>
      </c>
      <c r="E259" s="149">
        <v>46167.1179720023</v>
      </c>
      <c r="F259" s="143" t="s">
        <v>168</v>
      </c>
      <c r="G259" s="14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43" t="s">
        <v>1527</v>
      </c>
      <c r="B260" s="143" t="s">
        <v>889</v>
      </c>
      <c r="C260" s="143" t="s">
        <v>1268</v>
      </c>
      <c r="D260" s="143" t="s">
        <v>1260</v>
      </c>
      <c r="E260" s="149">
        <v>46167.1179720023</v>
      </c>
      <c r="F260" s="143" t="s">
        <v>168</v>
      </c>
      <c r="G260" s="14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43" t="s">
        <v>1528</v>
      </c>
      <c r="B261" s="143" t="s">
        <v>889</v>
      </c>
      <c r="C261" s="143" t="s">
        <v>1274</v>
      </c>
      <c r="D261" s="143" t="s">
        <v>1260</v>
      </c>
      <c r="E261" s="149">
        <v>46167.1179720023</v>
      </c>
      <c r="F261" s="143" t="s">
        <v>168</v>
      </c>
      <c r="G261" s="14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43" t="s">
        <v>1529</v>
      </c>
      <c r="B262" s="143" t="s">
        <v>889</v>
      </c>
      <c r="C262" s="143" t="s">
        <v>1276</v>
      </c>
      <c r="D262" s="143" t="s">
        <v>1260</v>
      </c>
      <c r="E262" s="149">
        <v>46167.1179720023</v>
      </c>
      <c r="F262" s="143" t="s">
        <v>168</v>
      </c>
      <c r="G262" s="14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43" t="s">
        <v>1530</v>
      </c>
      <c r="B263" s="143" t="s">
        <v>889</v>
      </c>
      <c r="C263" s="143" t="s">
        <v>1284</v>
      </c>
      <c r="D263" s="143" t="s">
        <v>1260</v>
      </c>
      <c r="E263" s="149">
        <v>46167.1179720023</v>
      </c>
      <c r="F263" s="143" t="s">
        <v>168</v>
      </c>
      <c r="G263" s="14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43" t="s">
        <v>1531</v>
      </c>
      <c r="B264" s="143" t="s">
        <v>893</v>
      </c>
      <c r="C264" s="143" t="s">
        <v>1259</v>
      </c>
      <c r="D264" s="143" t="s">
        <v>1260</v>
      </c>
      <c r="E264" s="149">
        <v>46167.1179720023</v>
      </c>
      <c r="F264" s="143" t="s">
        <v>168</v>
      </c>
      <c r="G264" s="14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43" t="s">
        <v>1532</v>
      </c>
      <c r="B265" s="143" t="s">
        <v>893</v>
      </c>
      <c r="C265" s="143" t="s">
        <v>1262</v>
      </c>
      <c r="D265" s="143" t="s">
        <v>1260</v>
      </c>
      <c r="E265" s="149">
        <v>46167.1179720023</v>
      </c>
      <c r="F265" s="143" t="s">
        <v>168</v>
      </c>
      <c r="G265" s="14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43" t="s">
        <v>1533</v>
      </c>
      <c r="B266" s="143" t="s">
        <v>893</v>
      </c>
      <c r="C266" s="143" t="s">
        <v>1264</v>
      </c>
      <c r="D266" s="143" t="s">
        <v>1260</v>
      </c>
      <c r="E266" s="149">
        <v>46167.1179720023</v>
      </c>
      <c r="F266" s="143" t="s">
        <v>168</v>
      </c>
      <c r="G266" s="14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43" t="s">
        <v>1534</v>
      </c>
      <c r="B267" s="143" t="s">
        <v>893</v>
      </c>
      <c r="C267" s="143" t="s">
        <v>1266</v>
      </c>
      <c r="D267" s="143" t="s">
        <v>1260</v>
      </c>
      <c r="E267" s="149">
        <v>46167.1179720023</v>
      </c>
      <c r="F267" s="143" t="s">
        <v>168</v>
      </c>
      <c r="G267" s="14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43" t="s">
        <v>1535</v>
      </c>
      <c r="B268" s="143" t="s">
        <v>893</v>
      </c>
      <c r="C268" s="143" t="s">
        <v>1268</v>
      </c>
      <c r="D268" s="143" t="s">
        <v>1260</v>
      </c>
      <c r="E268" s="149">
        <v>46167.1179720023</v>
      </c>
      <c r="F268" s="143" t="s">
        <v>168</v>
      </c>
      <c r="G268" s="14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43" t="s">
        <v>1536</v>
      </c>
      <c r="B269" s="143" t="s">
        <v>893</v>
      </c>
      <c r="C269" s="143" t="s">
        <v>1276</v>
      </c>
      <c r="D269" s="143" t="s">
        <v>1260</v>
      </c>
      <c r="E269" s="149">
        <v>46167.1179720023</v>
      </c>
      <c r="F269" s="143" t="s">
        <v>168</v>
      </c>
      <c r="G269" s="14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43" t="s">
        <v>1537</v>
      </c>
      <c r="B270" s="143" t="s">
        <v>893</v>
      </c>
      <c r="C270" s="143" t="s">
        <v>1284</v>
      </c>
      <c r="D270" s="143" t="s">
        <v>1260</v>
      </c>
      <c r="E270" s="149">
        <v>46167.1179720023</v>
      </c>
      <c r="F270" s="143" t="s">
        <v>168</v>
      </c>
      <c r="G270" s="14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43" t="s">
        <v>1538</v>
      </c>
      <c r="B271" s="143" t="s">
        <v>895</v>
      </c>
      <c r="C271" s="143" t="s">
        <v>1259</v>
      </c>
      <c r="D271" s="143" t="s">
        <v>1260</v>
      </c>
      <c r="E271" s="149">
        <v>46167.1179720023</v>
      </c>
      <c r="F271" s="143" t="s">
        <v>168</v>
      </c>
      <c r="G271" s="14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43" t="s">
        <v>1539</v>
      </c>
      <c r="B272" s="143" t="s">
        <v>895</v>
      </c>
      <c r="C272" s="143" t="s">
        <v>1262</v>
      </c>
      <c r="D272" s="143" t="s">
        <v>1260</v>
      </c>
      <c r="E272" s="149">
        <v>46167.1179720023</v>
      </c>
      <c r="F272" s="143" t="s">
        <v>168</v>
      </c>
      <c r="G272" s="14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43" t="s">
        <v>1540</v>
      </c>
      <c r="B273" s="143" t="s">
        <v>895</v>
      </c>
      <c r="C273" s="143" t="s">
        <v>1264</v>
      </c>
      <c r="D273" s="143" t="s">
        <v>1260</v>
      </c>
      <c r="E273" s="149">
        <v>46167.1179720023</v>
      </c>
      <c r="F273" s="143" t="s">
        <v>168</v>
      </c>
      <c r="G273" s="14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43" t="s">
        <v>1541</v>
      </c>
      <c r="B274" s="143" t="s">
        <v>895</v>
      </c>
      <c r="C274" s="143" t="s">
        <v>1266</v>
      </c>
      <c r="D274" s="143" t="s">
        <v>1260</v>
      </c>
      <c r="E274" s="149">
        <v>46167.1179720023</v>
      </c>
      <c r="F274" s="143" t="s">
        <v>168</v>
      </c>
      <c r="G274" s="14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43" t="s">
        <v>1542</v>
      </c>
      <c r="B275" s="143" t="s">
        <v>895</v>
      </c>
      <c r="C275" s="143" t="s">
        <v>1268</v>
      </c>
      <c r="D275" s="143" t="s">
        <v>1260</v>
      </c>
      <c r="E275" s="149">
        <v>46167.1179720023</v>
      </c>
      <c r="F275" s="143" t="s">
        <v>168</v>
      </c>
      <c r="G275" s="14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43" t="s">
        <v>1543</v>
      </c>
      <c r="B276" s="143" t="s">
        <v>895</v>
      </c>
      <c r="C276" s="143" t="s">
        <v>1274</v>
      </c>
      <c r="D276" s="143" t="s">
        <v>1260</v>
      </c>
      <c r="E276" s="149">
        <v>46167.1179720023</v>
      </c>
      <c r="F276" s="143" t="s">
        <v>168</v>
      </c>
      <c r="G276" s="14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43" t="s">
        <v>1544</v>
      </c>
      <c r="B277" s="143" t="s">
        <v>895</v>
      </c>
      <c r="C277" s="143" t="s">
        <v>1276</v>
      </c>
      <c r="D277" s="143" t="s">
        <v>1260</v>
      </c>
      <c r="E277" s="149">
        <v>46167.1179720023</v>
      </c>
      <c r="F277" s="143" t="s">
        <v>168</v>
      </c>
      <c r="G277" s="14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43" t="s">
        <v>1545</v>
      </c>
      <c r="B278" s="143" t="s">
        <v>895</v>
      </c>
      <c r="C278" s="143" t="s">
        <v>1284</v>
      </c>
      <c r="D278" s="143" t="s">
        <v>1260</v>
      </c>
      <c r="E278" s="149">
        <v>46167.1179720023</v>
      </c>
      <c r="F278" s="143" t="s">
        <v>168</v>
      </c>
      <c r="G278" s="14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43" t="s">
        <v>1546</v>
      </c>
      <c r="B279" s="143" t="s">
        <v>897</v>
      </c>
      <c r="C279" s="143" t="s">
        <v>1259</v>
      </c>
      <c r="D279" s="143" t="s">
        <v>1260</v>
      </c>
      <c r="E279" s="149">
        <v>46167.1179720023</v>
      </c>
      <c r="F279" s="143" t="s">
        <v>168</v>
      </c>
      <c r="G279" s="14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43" t="s">
        <v>1547</v>
      </c>
      <c r="B280" s="143" t="s">
        <v>897</v>
      </c>
      <c r="C280" s="143" t="s">
        <v>1262</v>
      </c>
      <c r="D280" s="143" t="s">
        <v>1260</v>
      </c>
      <c r="E280" s="149">
        <v>46167.1179720023</v>
      </c>
      <c r="F280" s="143" t="s">
        <v>168</v>
      </c>
      <c r="G280" s="14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43" t="s">
        <v>1548</v>
      </c>
      <c r="B281" s="143" t="s">
        <v>897</v>
      </c>
      <c r="C281" s="143" t="s">
        <v>1264</v>
      </c>
      <c r="D281" s="143" t="s">
        <v>1260</v>
      </c>
      <c r="E281" s="149">
        <v>46167.1179720023</v>
      </c>
      <c r="F281" s="143" t="s">
        <v>168</v>
      </c>
      <c r="G281" s="14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43" t="s">
        <v>1549</v>
      </c>
      <c r="B282" s="143" t="s">
        <v>897</v>
      </c>
      <c r="C282" s="143" t="s">
        <v>1266</v>
      </c>
      <c r="D282" s="143" t="s">
        <v>1260</v>
      </c>
      <c r="E282" s="149">
        <v>46167.1179720023</v>
      </c>
      <c r="F282" s="143" t="s">
        <v>168</v>
      </c>
      <c r="G282" s="14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43" t="s">
        <v>1550</v>
      </c>
      <c r="B283" s="143" t="s">
        <v>897</v>
      </c>
      <c r="C283" s="143" t="s">
        <v>1268</v>
      </c>
      <c r="D283" s="143" t="s">
        <v>1260</v>
      </c>
      <c r="E283" s="149">
        <v>46167.1179720023</v>
      </c>
      <c r="F283" s="143" t="s">
        <v>168</v>
      </c>
      <c r="G283" s="14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43" t="s">
        <v>1551</v>
      </c>
      <c r="B284" s="143" t="s">
        <v>897</v>
      </c>
      <c r="C284" s="143" t="s">
        <v>1270</v>
      </c>
      <c r="D284" s="143" t="s">
        <v>1260</v>
      </c>
      <c r="E284" s="149">
        <v>46167.1179720023</v>
      </c>
      <c r="F284" s="143" t="s">
        <v>168</v>
      </c>
      <c r="G284" s="14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43" t="s">
        <v>1552</v>
      </c>
      <c r="B285" s="143" t="s">
        <v>897</v>
      </c>
      <c r="C285" s="143" t="s">
        <v>1272</v>
      </c>
      <c r="D285" s="143" t="s">
        <v>1260</v>
      </c>
      <c r="E285" s="149">
        <v>46167.1179720023</v>
      </c>
      <c r="F285" s="143" t="s">
        <v>168</v>
      </c>
      <c r="G285" s="14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43" t="s">
        <v>1553</v>
      </c>
      <c r="B286" s="143" t="s">
        <v>897</v>
      </c>
      <c r="C286" s="143" t="s">
        <v>1274</v>
      </c>
      <c r="D286" s="143" t="s">
        <v>1260</v>
      </c>
      <c r="E286" s="149">
        <v>46167.1179720023</v>
      </c>
      <c r="F286" s="143" t="s">
        <v>168</v>
      </c>
      <c r="G286" s="14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43" t="s">
        <v>1554</v>
      </c>
      <c r="B287" s="143" t="s">
        <v>902</v>
      </c>
      <c r="C287" s="143" t="s">
        <v>1259</v>
      </c>
      <c r="D287" s="143" t="s">
        <v>1260</v>
      </c>
      <c r="E287" s="149">
        <v>46167.1179720023</v>
      </c>
      <c r="F287" s="143" t="s">
        <v>168</v>
      </c>
      <c r="G287" s="14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43" t="s">
        <v>1555</v>
      </c>
      <c r="B288" s="143" t="s">
        <v>902</v>
      </c>
      <c r="C288" s="143" t="s">
        <v>1262</v>
      </c>
      <c r="D288" s="143" t="s">
        <v>1260</v>
      </c>
      <c r="E288" s="149">
        <v>46167.1179720023</v>
      </c>
      <c r="F288" s="143" t="s">
        <v>168</v>
      </c>
      <c r="G288" s="14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43" t="s">
        <v>1556</v>
      </c>
      <c r="B289" s="143" t="s">
        <v>902</v>
      </c>
      <c r="C289" s="143" t="s">
        <v>1264</v>
      </c>
      <c r="D289" s="143" t="s">
        <v>1260</v>
      </c>
      <c r="E289" s="149">
        <v>46167.1179720023</v>
      </c>
      <c r="F289" s="143" t="s">
        <v>168</v>
      </c>
      <c r="G289" s="14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43" t="s">
        <v>1557</v>
      </c>
      <c r="B290" s="143" t="s">
        <v>902</v>
      </c>
      <c r="C290" s="143" t="s">
        <v>1266</v>
      </c>
      <c r="D290" s="143" t="s">
        <v>1260</v>
      </c>
      <c r="E290" s="149">
        <v>46167.1179720023</v>
      </c>
      <c r="F290" s="143" t="s">
        <v>168</v>
      </c>
      <c r="G290" s="14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43" t="s">
        <v>1558</v>
      </c>
      <c r="B291" s="143" t="s">
        <v>902</v>
      </c>
      <c r="C291" s="143" t="s">
        <v>1268</v>
      </c>
      <c r="D291" s="143" t="s">
        <v>1260</v>
      </c>
      <c r="E291" s="149">
        <v>46167.1179720023</v>
      </c>
      <c r="F291" s="143" t="s">
        <v>168</v>
      </c>
      <c r="G291" s="14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43" t="s">
        <v>1559</v>
      </c>
      <c r="B292" s="143" t="s">
        <v>902</v>
      </c>
      <c r="C292" s="143" t="s">
        <v>1270</v>
      </c>
      <c r="D292" s="143" t="s">
        <v>1260</v>
      </c>
      <c r="E292" s="149">
        <v>46167.1179720023</v>
      </c>
      <c r="F292" s="143" t="s">
        <v>168</v>
      </c>
      <c r="G292" s="14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43" t="s">
        <v>1560</v>
      </c>
      <c r="B293" s="143" t="s">
        <v>902</v>
      </c>
      <c r="C293" s="143" t="s">
        <v>1272</v>
      </c>
      <c r="D293" s="143" t="s">
        <v>1260</v>
      </c>
      <c r="E293" s="149">
        <v>46167.1179720023</v>
      </c>
      <c r="F293" s="143" t="s">
        <v>168</v>
      </c>
      <c r="G293" s="14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43" t="s">
        <v>1561</v>
      </c>
      <c r="B294" s="143" t="s">
        <v>902</v>
      </c>
      <c r="C294" s="143" t="s">
        <v>1274</v>
      </c>
      <c r="D294" s="143" t="s">
        <v>1260</v>
      </c>
      <c r="E294" s="149">
        <v>46167.1179720023</v>
      </c>
      <c r="F294" s="143" t="s">
        <v>168</v>
      </c>
      <c r="G294" s="14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43" t="s">
        <v>1562</v>
      </c>
      <c r="B295" s="143" t="s">
        <v>902</v>
      </c>
      <c r="C295" s="143" t="s">
        <v>1276</v>
      </c>
      <c r="D295" s="143" t="s">
        <v>1260</v>
      </c>
      <c r="E295" s="149">
        <v>46167.1179720023</v>
      </c>
      <c r="F295" s="143" t="s">
        <v>168</v>
      </c>
      <c r="G295" s="14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43" t="s">
        <v>1563</v>
      </c>
      <c r="B296" s="143" t="s">
        <v>902</v>
      </c>
      <c r="C296" s="143" t="s">
        <v>1284</v>
      </c>
      <c r="D296" s="143" t="s">
        <v>1260</v>
      </c>
      <c r="E296" s="149">
        <v>46167.1179720023</v>
      </c>
      <c r="F296" s="143" t="s">
        <v>168</v>
      </c>
      <c r="G296" s="14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43" t="s">
        <v>1564</v>
      </c>
      <c r="B297" s="143" t="s">
        <v>905</v>
      </c>
      <c r="C297" s="143" t="s">
        <v>1259</v>
      </c>
      <c r="D297" s="143" t="s">
        <v>1260</v>
      </c>
      <c r="E297" s="149">
        <v>46167.1179720023</v>
      </c>
      <c r="F297" s="143" t="s">
        <v>168</v>
      </c>
      <c r="G297" s="14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43" t="s">
        <v>1565</v>
      </c>
      <c r="B298" s="143" t="s">
        <v>905</v>
      </c>
      <c r="C298" s="143" t="s">
        <v>1262</v>
      </c>
      <c r="D298" s="143" t="s">
        <v>1260</v>
      </c>
      <c r="E298" s="149">
        <v>46167.1179720023</v>
      </c>
      <c r="F298" s="143" t="s">
        <v>168</v>
      </c>
      <c r="G298" s="14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43" t="s">
        <v>1566</v>
      </c>
      <c r="B299" s="143" t="s">
        <v>905</v>
      </c>
      <c r="C299" s="143" t="s">
        <v>1264</v>
      </c>
      <c r="D299" s="143" t="s">
        <v>1260</v>
      </c>
      <c r="E299" s="149">
        <v>46167.1179720023</v>
      </c>
      <c r="F299" s="143" t="s">
        <v>168</v>
      </c>
      <c r="G299" s="14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43" t="s">
        <v>1567</v>
      </c>
      <c r="B300" s="143" t="s">
        <v>905</v>
      </c>
      <c r="C300" s="143" t="s">
        <v>1266</v>
      </c>
      <c r="D300" s="143" t="s">
        <v>1260</v>
      </c>
      <c r="E300" s="149">
        <v>46167.1179720023</v>
      </c>
      <c r="F300" s="143" t="s">
        <v>168</v>
      </c>
      <c r="G300" s="14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43" t="s">
        <v>1568</v>
      </c>
      <c r="B301" s="143" t="s">
        <v>905</v>
      </c>
      <c r="C301" s="143" t="s">
        <v>1268</v>
      </c>
      <c r="D301" s="143" t="s">
        <v>1260</v>
      </c>
      <c r="E301" s="149">
        <v>46167.1179720023</v>
      </c>
      <c r="F301" s="143" t="s">
        <v>168</v>
      </c>
      <c r="G301" s="14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43" t="s">
        <v>1569</v>
      </c>
      <c r="B302" s="143" t="s">
        <v>905</v>
      </c>
      <c r="C302" s="143" t="s">
        <v>1270</v>
      </c>
      <c r="D302" s="143" t="s">
        <v>1260</v>
      </c>
      <c r="E302" s="149">
        <v>46167.1179720023</v>
      </c>
      <c r="F302" s="143" t="s">
        <v>168</v>
      </c>
      <c r="G302" s="14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43" t="s">
        <v>1570</v>
      </c>
      <c r="B303" s="143" t="s">
        <v>905</v>
      </c>
      <c r="C303" s="143" t="s">
        <v>1272</v>
      </c>
      <c r="D303" s="143" t="s">
        <v>1260</v>
      </c>
      <c r="E303" s="149">
        <v>46167.1179720023</v>
      </c>
      <c r="F303" s="143" t="s">
        <v>168</v>
      </c>
      <c r="G303" s="14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43" t="s">
        <v>1571</v>
      </c>
      <c r="B304" s="143" t="s">
        <v>905</v>
      </c>
      <c r="C304" s="143" t="s">
        <v>1274</v>
      </c>
      <c r="D304" s="143" t="s">
        <v>1260</v>
      </c>
      <c r="E304" s="149">
        <v>46167.1179720023</v>
      </c>
      <c r="F304" s="143" t="s">
        <v>168</v>
      </c>
      <c r="G304" s="14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43" t="s">
        <v>1572</v>
      </c>
      <c r="B305" s="143" t="s">
        <v>907</v>
      </c>
      <c r="C305" s="143" t="s">
        <v>1259</v>
      </c>
      <c r="D305" s="143" t="s">
        <v>1260</v>
      </c>
      <c r="E305" s="149">
        <v>46167.1179720023</v>
      </c>
      <c r="F305" s="143" t="s">
        <v>168</v>
      </c>
      <c r="G305" s="14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43" t="s">
        <v>1573</v>
      </c>
      <c r="B306" s="143" t="s">
        <v>907</v>
      </c>
      <c r="C306" s="143" t="s">
        <v>1262</v>
      </c>
      <c r="D306" s="143" t="s">
        <v>1260</v>
      </c>
      <c r="E306" s="149">
        <v>46167.1179720023</v>
      </c>
      <c r="F306" s="143" t="s">
        <v>168</v>
      </c>
      <c r="G306" s="14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43" t="s">
        <v>1574</v>
      </c>
      <c r="B307" s="143" t="s">
        <v>907</v>
      </c>
      <c r="C307" s="143" t="s">
        <v>1264</v>
      </c>
      <c r="D307" s="143" t="s">
        <v>1260</v>
      </c>
      <c r="E307" s="149">
        <v>46167.1179720023</v>
      </c>
      <c r="F307" s="143" t="s">
        <v>168</v>
      </c>
      <c r="G307" s="14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43" t="s">
        <v>1575</v>
      </c>
      <c r="B308" s="143" t="s">
        <v>907</v>
      </c>
      <c r="C308" s="143" t="s">
        <v>1266</v>
      </c>
      <c r="D308" s="143" t="s">
        <v>1260</v>
      </c>
      <c r="E308" s="149">
        <v>46167.1179720023</v>
      </c>
      <c r="F308" s="143" t="s">
        <v>168</v>
      </c>
      <c r="G308" s="14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43" t="s">
        <v>1576</v>
      </c>
      <c r="B309" s="143" t="s">
        <v>907</v>
      </c>
      <c r="C309" s="143" t="s">
        <v>1268</v>
      </c>
      <c r="D309" s="143" t="s">
        <v>1260</v>
      </c>
      <c r="E309" s="149">
        <v>46167.1179720023</v>
      </c>
      <c r="F309" s="143" t="s">
        <v>168</v>
      </c>
      <c r="G309" s="14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43" t="s">
        <v>1577</v>
      </c>
      <c r="B310" s="143" t="s">
        <v>907</v>
      </c>
      <c r="C310" s="143" t="s">
        <v>1272</v>
      </c>
      <c r="D310" s="143" t="s">
        <v>1260</v>
      </c>
      <c r="E310" s="149">
        <v>46167.1179720023</v>
      </c>
      <c r="F310" s="143" t="s">
        <v>168</v>
      </c>
      <c r="G310" s="14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43" t="s">
        <v>1578</v>
      </c>
      <c r="B311" s="143" t="s">
        <v>907</v>
      </c>
      <c r="C311" s="143" t="s">
        <v>1274</v>
      </c>
      <c r="D311" s="143" t="s">
        <v>1260</v>
      </c>
      <c r="E311" s="149">
        <v>46167.1179720023</v>
      </c>
      <c r="F311" s="143" t="s">
        <v>168</v>
      </c>
      <c r="G311" s="14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43" t="s">
        <v>1579</v>
      </c>
      <c r="B312" s="143" t="s">
        <v>911</v>
      </c>
      <c r="C312" s="143" t="s">
        <v>1259</v>
      </c>
      <c r="D312" s="143" t="s">
        <v>1260</v>
      </c>
      <c r="E312" s="149">
        <v>46167.1179720023</v>
      </c>
      <c r="F312" s="143" t="s">
        <v>168</v>
      </c>
      <c r="G312" s="14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43" t="s">
        <v>1580</v>
      </c>
      <c r="B313" s="143" t="s">
        <v>911</v>
      </c>
      <c r="C313" s="143" t="s">
        <v>1262</v>
      </c>
      <c r="D313" s="143" t="s">
        <v>1260</v>
      </c>
      <c r="E313" s="149">
        <v>46167.1179720023</v>
      </c>
      <c r="F313" s="143" t="s">
        <v>168</v>
      </c>
      <c r="G313" s="14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43" t="s">
        <v>1581</v>
      </c>
      <c r="B314" s="143" t="s">
        <v>911</v>
      </c>
      <c r="C314" s="143" t="s">
        <v>1264</v>
      </c>
      <c r="D314" s="143" t="s">
        <v>1260</v>
      </c>
      <c r="E314" s="149">
        <v>46167.1179720023</v>
      </c>
      <c r="F314" s="143" t="s">
        <v>168</v>
      </c>
      <c r="G314" s="14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43" t="s">
        <v>1582</v>
      </c>
      <c r="B315" s="143" t="s">
        <v>911</v>
      </c>
      <c r="C315" s="143" t="s">
        <v>1266</v>
      </c>
      <c r="D315" s="143" t="s">
        <v>1260</v>
      </c>
      <c r="E315" s="149">
        <v>46167.1179720023</v>
      </c>
      <c r="F315" s="143" t="s">
        <v>168</v>
      </c>
      <c r="G315" s="14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43" t="s">
        <v>1583</v>
      </c>
      <c r="B316" s="143" t="s">
        <v>911</v>
      </c>
      <c r="C316" s="143" t="s">
        <v>1268</v>
      </c>
      <c r="D316" s="143" t="s">
        <v>1260</v>
      </c>
      <c r="E316" s="149">
        <v>46167.1179720023</v>
      </c>
      <c r="F316" s="143" t="s">
        <v>168</v>
      </c>
      <c r="G316" s="14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43" t="s">
        <v>1584</v>
      </c>
      <c r="B317" s="143" t="s">
        <v>911</v>
      </c>
      <c r="C317" s="143" t="s">
        <v>1274</v>
      </c>
      <c r="D317" s="143" t="s">
        <v>1260</v>
      </c>
      <c r="E317" s="149">
        <v>46167.1179720023</v>
      </c>
      <c r="F317" s="143" t="s">
        <v>168</v>
      </c>
      <c r="G317" s="14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43" t="s">
        <v>1585</v>
      </c>
      <c r="B318" s="143" t="s">
        <v>914</v>
      </c>
      <c r="C318" s="143" t="s">
        <v>1259</v>
      </c>
      <c r="D318" s="143" t="s">
        <v>1260</v>
      </c>
      <c r="E318" s="149">
        <v>46167.1179720023</v>
      </c>
      <c r="F318" s="143" t="s">
        <v>168</v>
      </c>
      <c r="G318" s="14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43" t="s">
        <v>1586</v>
      </c>
      <c r="B319" s="143" t="s">
        <v>914</v>
      </c>
      <c r="C319" s="143" t="s">
        <v>1262</v>
      </c>
      <c r="D319" s="143" t="s">
        <v>1260</v>
      </c>
      <c r="E319" s="149">
        <v>46167.1179720023</v>
      </c>
      <c r="F319" s="143" t="s">
        <v>168</v>
      </c>
      <c r="G319" s="14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43" t="s">
        <v>1587</v>
      </c>
      <c r="B320" s="143" t="s">
        <v>914</v>
      </c>
      <c r="C320" s="143" t="s">
        <v>1264</v>
      </c>
      <c r="D320" s="143" t="s">
        <v>1260</v>
      </c>
      <c r="E320" s="149">
        <v>46167.1179720023</v>
      </c>
      <c r="F320" s="143" t="s">
        <v>168</v>
      </c>
      <c r="G320" s="14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43" t="s">
        <v>1588</v>
      </c>
      <c r="B321" s="143" t="s">
        <v>914</v>
      </c>
      <c r="C321" s="143" t="s">
        <v>1266</v>
      </c>
      <c r="D321" s="143" t="s">
        <v>1260</v>
      </c>
      <c r="E321" s="149">
        <v>46167.1179720023</v>
      </c>
      <c r="F321" s="143" t="s">
        <v>168</v>
      </c>
      <c r="G321" s="14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43" t="s">
        <v>1589</v>
      </c>
      <c r="B322" s="143" t="s">
        <v>914</v>
      </c>
      <c r="C322" s="143" t="s">
        <v>1268</v>
      </c>
      <c r="D322" s="143" t="s">
        <v>1260</v>
      </c>
      <c r="E322" s="149">
        <v>46167.1179720023</v>
      </c>
      <c r="F322" s="143" t="s">
        <v>168</v>
      </c>
      <c r="G322" s="14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43" t="s">
        <v>1590</v>
      </c>
      <c r="B323" s="143" t="s">
        <v>914</v>
      </c>
      <c r="C323" s="143" t="s">
        <v>1274</v>
      </c>
      <c r="D323" s="143" t="s">
        <v>1260</v>
      </c>
      <c r="E323" s="149">
        <v>46167.1179720023</v>
      </c>
      <c r="F323" s="143" t="s">
        <v>168</v>
      </c>
      <c r="G323" s="14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43" t="s">
        <v>1591</v>
      </c>
      <c r="B324" s="143" t="s">
        <v>917</v>
      </c>
      <c r="C324" s="143" t="s">
        <v>1259</v>
      </c>
      <c r="D324" s="143" t="s">
        <v>1260</v>
      </c>
      <c r="E324" s="149">
        <v>46167.1179720023</v>
      </c>
      <c r="F324" s="143" t="s">
        <v>168</v>
      </c>
      <c r="G324" s="14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43" t="s">
        <v>1592</v>
      </c>
      <c r="B325" s="143" t="s">
        <v>917</v>
      </c>
      <c r="C325" s="143" t="s">
        <v>1262</v>
      </c>
      <c r="D325" s="143" t="s">
        <v>1260</v>
      </c>
      <c r="E325" s="149">
        <v>46167.1179720023</v>
      </c>
      <c r="F325" s="143" t="s">
        <v>168</v>
      </c>
      <c r="G325" s="14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43" t="s">
        <v>1593</v>
      </c>
      <c r="B326" s="143" t="s">
        <v>917</v>
      </c>
      <c r="C326" s="143" t="s">
        <v>1264</v>
      </c>
      <c r="D326" s="143" t="s">
        <v>1260</v>
      </c>
      <c r="E326" s="149">
        <v>46167.1179720023</v>
      </c>
      <c r="F326" s="143" t="s">
        <v>168</v>
      </c>
      <c r="G326" s="14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43" t="s">
        <v>1594</v>
      </c>
      <c r="B327" s="143" t="s">
        <v>917</v>
      </c>
      <c r="C327" s="143" t="s">
        <v>1266</v>
      </c>
      <c r="D327" s="143" t="s">
        <v>1260</v>
      </c>
      <c r="E327" s="149">
        <v>46167.1179720023</v>
      </c>
      <c r="F327" s="143" t="s">
        <v>168</v>
      </c>
      <c r="G327" s="14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43" t="s">
        <v>1595</v>
      </c>
      <c r="B328" s="143" t="s">
        <v>917</v>
      </c>
      <c r="C328" s="143" t="s">
        <v>1268</v>
      </c>
      <c r="D328" s="143" t="s">
        <v>1260</v>
      </c>
      <c r="E328" s="149">
        <v>46167.1179720023</v>
      </c>
      <c r="F328" s="143" t="s">
        <v>168</v>
      </c>
      <c r="G328" s="14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43" t="s">
        <v>1596</v>
      </c>
      <c r="B329" s="143" t="s">
        <v>917</v>
      </c>
      <c r="C329" s="143" t="s">
        <v>1274</v>
      </c>
      <c r="D329" s="143" t="s">
        <v>1260</v>
      </c>
      <c r="E329" s="149">
        <v>46167.1179720023</v>
      </c>
      <c r="F329" s="143" t="s">
        <v>168</v>
      </c>
      <c r="G329" s="14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43" t="s">
        <v>1597</v>
      </c>
      <c r="B330" s="143" t="s">
        <v>920</v>
      </c>
      <c r="C330" s="143" t="s">
        <v>1259</v>
      </c>
      <c r="D330" s="143" t="s">
        <v>1260</v>
      </c>
      <c r="E330" s="149">
        <v>46167.1179720023</v>
      </c>
      <c r="F330" s="143" t="s">
        <v>168</v>
      </c>
      <c r="G330" s="14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43" t="s">
        <v>1598</v>
      </c>
      <c r="B331" s="143" t="s">
        <v>920</v>
      </c>
      <c r="C331" s="143" t="s">
        <v>1262</v>
      </c>
      <c r="D331" s="143" t="s">
        <v>1260</v>
      </c>
      <c r="E331" s="149">
        <v>46167.1179720023</v>
      </c>
      <c r="F331" s="143" t="s">
        <v>168</v>
      </c>
      <c r="G331" s="14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43" t="s">
        <v>1599</v>
      </c>
      <c r="B332" s="143" t="s">
        <v>920</v>
      </c>
      <c r="C332" s="143" t="s">
        <v>1264</v>
      </c>
      <c r="D332" s="143" t="s">
        <v>1260</v>
      </c>
      <c r="E332" s="149">
        <v>46167.1179720023</v>
      </c>
      <c r="F332" s="143" t="s">
        <v>168</v>
      </c>
      <c r="G332" s="14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43" t="s">
        <v>1600</v>
      </c>
      <c r="B333" s="143" t="s">
        <v>920</v>
      </c>
      <c r="C333" s="143" t="s">
        <v>1266</v>
      </c>
      <c r="D333" s="143" t="s">
        <v>1260</v>
      </c>
      <c r="E333" s="149">
        <v>46167.1179720023</v>
      </c>
      <c r="F333" s="143" t="s">
        <v>168</v>
      </c>
      <c r="G333" s="14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43" t="s">
        <v>1601</v>
      </c>
      <c r="B334" s="143" t="s">
        <v>920</v>
      </c>
      <c r="C334" s="143" t="s">
        <v>1268</v>
      </c>
      <c r="D334" s="143" t="s">
        <v>1260</v>
      </c>
      <c r="E334" s="149">
        <v>46167.1179720023</v>
      </c>
      <c r="F334" s="143" t="s">
        <v>168</v>
      </c>
      <c r="G334" s="14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43" t="s">
        <v>1602</v>
      </c>
      <c r="B335" s="143" t="s">
        <v>920</v>
      </c>
      <c r="C335" s="143" t="s">
        <v>1270</v>
      </c>
      <c r="D335" s="143" t="s">
        <v>1260</v>
      </c>
      <c r="E335" s="149">
        <v>46167.1179720023</v>
      </c>
      <c r="F335" s="143" t="s">
        <v>168</v>
      </c>
      <c r="G335" s="14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43" t="s">
        <v>1603</v>
      </c>
      <c r="B336" s="143" t="s">
        <v>920</v>
      </c>
      <c r="C336" s="143" t="s">
        <v>1274</v>
      </c>
      <c r="D336" s="143" t="s">
        <v>1260</v>
      </c>
      <c r="E336" s="149">
        <v>46167.1179720023</v>
      </c>
      <c r="F336" s="143" t="s">
        <v>168</v>
      </c>
      <c r="G336" s="14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43" t="s">
        <v>1604</v>
      </c>
      <c r="B337" s="143" t="s">
        <v>923</v>
      </c>
      <c r="C337" s="143" t="s">
        <v>1259</v>
      </c>
      <c r="D337" s="143" t="s">
        <v>1260</v>
      </c>
      <c r="E337" s="149">
        <v>46167.1179720023</v>
      </c>
      <c r="F337" s="143" t="s">
        <v>168</v>
      </c>
      <c r="G337" s="14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43" t="s">
        <v>1605</v>
      </c>
      <c r="B338" s="143" t="s">
        <v>923</v>
      </c>
      <c r="C338" s="143" t="s">
        <v>1262</v>
      </c>
      <c r="D338" s="143" t="s">
        <v>1260</v>
      </c>
      <c r="E338" s="149">
        <v>46167.1179720023</v>
      </c>
      <c r="F338" s="143" t="s">
        <v>168</v>
      </c>
      <c r="G338" s="14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43" t="s">
        <v>1606</v>
      </c>
      <c r="B339" s="143" t="s">
        <v>923</v>
      </c>
      <c r="C339" s="143" t="s">
        <v>1264</v>
      </c>
      <c r="D339" s="143" t="s">
        <v>1260</v>
      </c>
      <c r="E339" s="149">
        <v>46167.1179720023</v>
      </c>
      <c r="F339" s="143" t="s">
        <v>168</v>
      </c>
      <c r="G339" s="14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43" t="s">
        <v>1607</v>
      </c>
      <c r="B340" s="143" t="s">
        <v>923</v>
      </c>
      <c r="C340" s="143" t="s">
        <v>1266</v>
      </c>
      <c r="D340" s="143" t="s">
        <v>1260</v>
      </c>
      <c r="E340" s="149">
        <v>46167.1179720023</v>
      </c>
      <c r="F340" s="143" t="s">
        <v>168</v>
      </c>
      <c r="G340" s="14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43" t="s">
        <v>1608</v>
      </c>
      <c r="B341" s="143" t="s">
        <v>923</v>
      </c>
      <c r="C341" s="143" t="s">
        <v>1268</v>
      </c>
      <c r="D341" s="143" t="s">
        <v>1260</v>
      </c>
      <c r="E341" s="149">
        <v>46167.1179720023</v>
      </c>
      <c r="F341" s="143" t="s">
        <v>168</v>
      </c>
      <c r="G341" s="14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43" t="s">
        <v>1609</v>
      </c>
      <c r="B342" s="143" t="s">
        <v>923</v>
      </c>
      <c r="C342" s="143" t="s">
        <v>1274</v>
      </c>
      <c r="D342" s="143" t="s">
        <v>1260</v>
      </c>
      <c r="E342" s="149">
        <v>46167.1179720023</v>
      </c>
      <c r="F342" s="143" t="s">
        <v>168</v>
      </c>
      <c r="G342" s="14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43" t="s">
        <v>1610</v>
      </c>
      <c r="B343" s="143" t="s">
        <v>923</v>
      </c>
      <c r="C343" s="143" t="s">
        <v>1276</v>
      </c>
      <c r="D343" s="143" t="s">
        <v>1260</v>
      </c>
      <c r="E343" s="149">
        <v>46167.1179720023</v>
      </c>
      <c r="F343" s="143" t="s">
        <v>168</v>
      </c>
      <c r="G343" s="14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43" t="s">
        <v>1611</v>
      </c>
      <c r="B344" s="143" t="s">
        <v>923</v>
      </c>
      <c r="C344" s="143" t="s">
        <v>1284</v>
      </c>
      <c r="D344" s="143" t="s">
        <v>1260</v>
      </c>
      <c r="E344" s="149">
        <v>46167.1179720023</v>
      </c>
      <c r="F344" s="143" t="s">
        <v>168</v>
      </c>
      <c r="G344" s="14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43" t="s">
        <v>1612</v>
      </c>
      <c r="B345" s="143" t="s">
        <v>927</v>
      </c>
      <c r="C345" s="143" t="s">
        <v>1259</v>
      </c>
      <c r="D345" s="143" t="s">
        <v>1260</v>
      </c>
      <c r="E345" s="149">
        <v>46167.1179720023</v>
      </c>
      <c r="F345" s="143" t="s">
        <v>168</v>
      </c>
      <c r="G345" s="14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43" t="s">
        <v>1613</v>
      </c>
      <c r="B346" s="143" t="s">
        <v>927</v>
      </c>
      <c r="C346" s="143" t="s">
        <v>1262</v>
      </c>
      <c r="D346" s="143" t="s">
        <v>1260</v>
      </c>
      <c r="E346" s="149">
        <v>46167.1179720023</v>
      </c>
      <c r="F346" s="143" t="s">
        <v>168</v>
      </c>
      <c r="G346" s="14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43" t="s">
        <v>1614</v>
      </c>
      <c r="B347" s="143" t="s">
        <v>927</v>
      </c>
      <c r="C347" s="143" t="s">
        <v>1264</v>
      </c>
      <c r="D347" s="143" t="s">
        <v>1260</v>
      </c>
      <c r="E347" s="149">
        <v>46167.1179720023</v>
      </c>
      <c r="F347" s="143" t="s">
        <v>168</v>
      </c>
      <c r="G347" s="14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43" t="s">
        <v>1615</v>
      </c>
      <c r="B348" s="143" t="s">
        <v>927</v>
      </c>
      <c r="C348" s="143" t="s">
        <v>1266</v>
      </c>
      <c r="D348" s="143" t="s">
        <v>1260</v>
      </c>
      <c r="E348" s="149">
        <v>46167.1179720023</v>
      </c>
      <c r="F348" s="143" t="s">
        <v>168</v>
      </c>
      <c r="G348" s="14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43" t="s">
        <v>1616</v>
      </c>
      <c r="B349" s="143" t="s">
        <v>927</v>
      </c>
      <c r="C349" s="143" t="s">
        <v>1268</v>
      </c>
      <c r="D349" s="143" t="s">
        <v>1260</v>
      </c>
      <c r="E349" s="149">
        <v>46167.1179720023</v>
      </c>
      <c r="F349" s="143" t="s">
        <v>168</v>
      </c>
      <c r="G349" s="14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43" t="s">
        <v>1617</v>
      </c>
      <c r="B350" s="143" t="s">
        <v>927</v>
      </c>
      <c r="C350" s="143" t="s">
        <v>1274</v>
      </c>
      <c r="D350" s="143" t="s">
        <v>1260</v>
      </c>
      <c r="E350" s="149">
        <v>46167.1179720023</v>
      </c>
      <c r="F350" s="143" t="s">
        <v>168</v>
      </c>
      <c r="G350" s="14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43" t="s">
        <v>1618</v>
      </c>
      <c r="B351" s="143" t="s">
        <v>929</v>
      </c>
      <c r="C351" s="143" t="s">
        <v>1259</v>
      </c>
      <c r="D351" s="143" t="s">
        <v>1260</v>
      </c>
      <c r="E351" s="149">
        <v>46167.1179720023</v>
      </c>
      <c r="F351" s="143" t="s">
        <v>168</v>
      </c>
      <c r="G351" s="14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43" t="s">
        <v>1619</v>
      </c>
      <c r="B352" s="143" t="s">
        <v>929</v>
      </c>
      <c r="C352" s="143" t="s">
        <v>1262</v>
      </c>
      <c r="D352" s="143" t="s">
        <v>1260</v>
      </c>
      <c r="E352" s="149">
        <v>46167.1179720023</v>
      </c>
      <c r="F352" s="143" t="s">
        <v>168</v>
      </c>
      <c r="G352" s="14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43" t="s">
        <v>1620</v>
      </c>
      <c r="B353" s="143" t="s">
        <v>929</v>
      </c>
      <c r="C353" s="143" t="s">
        <v>1264</v>
      </c>
      <c r="D353" s="143" t="s">
        <v>1260</v>
      </c>
      <c r="E353" s="149">
        <v>46167.1179720023</v>
      </c>
      <c r="F353" s="143" t="s">
        <v>168</v>
      </c>
      <c r="G353" s="14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43" t="s">
        <v>1621</v>
      </c>
      <c r="B354" s="143" t="s">
        <v>929</v>
      </c>
      <c r="C354" s="143" t="s">
        <v>1266</v>
      </c>
      <c r="D354" s="143" t="s">
        <v>1260</v>
      </c>
      <c r="E354" s="149">
        <v>46167.1179720023</v>
      </c>
      <c r="F354" s="143" t="s">
        <v>168</v>
      </c>
      <c r="G354" s="14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43" t="s">
        <v>1622</v>
      </c>
      <c r="B355" s="143" t="s">
        <v>929</v>
      </c>
      <c r="C355" s="143" t="s">
        <v>1268</v>
      </c>
      <c r="D355" s="143" t="s">
        <v>1260</v>
      </c>
      <c r="E355" s="149">
        <v>46167.1179720023</v>
      </c>
      <c r="F355" s="143" t="s">
        <v>168</v>
      </c>
      <c r="G355" s="14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43" t="s">
        <v>1623</v>
      </c>
      <c r="B356" s="143" t="s">
        <v>929</v>
      </c>
      <c r="C356" s="143" t="s">
        <v>1274</v>
      </c>
      <c r="D356" s="143" t="s">
        <v>1260</v>
      </c>
      <c r="E356" s="149">
        <v>46167.1179720023</v>
      </c>
      <c r="F356" s="143" t="s">
        <v>168</v>
      </c>
      <c r="G356" s="14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43" t="s">
        <v>1624</v>
      </c>
      <c r="B357" s="143" t="s">
        <v>929</v>
      </c>
      <c r="C357" s="143" t="s">
        <v>1276</v>
      </c>
      <c r="D357" s="143" t="s">
        <v>1260</v>
      </c>
      <c r="E357" s="149">
        <v>46167.1179720023</v>
      </c>
      <c r="F357" s="143" t="s">
        <v>168</v>
      </c>
      <c r="G357" s="14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43" t="s">
        <v>1625</v>
      </c>
      <c r="B358" s="143" t="s">
        <v>929</v>
      </c>
      <c r="C358" s="143" t="s">
        <v>1284</v>
      </c>
      <c r="D358" s="143" t="s">
        <v>1260</v>
      </c>
      <c r="E358" s="149">
        <v>46167.1179720023</v>
      </c>
      <c r="F358" s="143" t="s">
        <v>168</v>
      </c>
      <c r="G358" s="14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43" t="s">
        <v>1626</v>
      </c>
      <c r="B359" s="143" t="s">
        <v>1627</v>
      </c>
      <c r="C359" s="143" t="s">
        <v>1259</v>
      </c>
      <c r="D359" s="143" t="s">
        <v>1260</v>
      </c>
      <c r="E359" s="149">
        <v>46167.1179720023</v>
      </c>
      <c r="F359" s="143" t="s">
        <v>168</v>
      </c>
      <c r="G359" s="14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43" t="s">
        <v>1628</v>
      </c>
      <c r="B360" s="143" t="s">
        <v>1627</v>
      </c>
      <c r="C360" s="143" t="s">
        <v>1262</v>
      </c>
      <c r="D360" s="143" t="s">
        <v>1260</v>
      </c>
      <c r="E360" s="149">
        <v>46167.1179720023</v>
      </c>
      <c r="F360" s="143" t="s">
        <v>168</v>
      </c>
      <c r="G360" s="14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43" t="s">
        <v>1629</v>
      </c>
      <c r="B361" s="143" t="s">
        <v>1627</v>
      </c>
      <c r="C361" s="143" t="s">
        <v>1264</v>
      </c>
      <c r="D361" s="143" t="s">
        <v>1260</v>
      </c>
      <c r="E361" s="149">
        <v>46167.1179720023</v>
      </c>
      <c r="F361" s="143" t="s">
        <v>168</v>
      </c>
      <c r="G361" s="14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43" t="s">
        <v>1630</v>
      </c>
      <c r="B362" s="143" t="s">
        <v>1627</v>
      </c>
      <c r="C362" s="143" t="s">
        <v>1266</v>
      </c>
      <c r="D362" s="143" t="s">
        <v>1260</v>
      </c>
      <c r="E362" s="149">
        <v>46167.1179720023</v>
      </c>
      <c r="F362" s="143" t="s">
        <v>168</v>
      </c>
      <c r="G362" s="14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43" t="s">
        <v>1631</v>
      </c>
      <c r="B363" s="143" t="s">
        <v>1627</v>
      </c>
      <c r="C363" s="143" t="s">
        <v>1268</v>
      </c>
      <c r="D363" s="143" t="s">
        <v>1260</v>
      </c>
      <c r="E363" s="149">
        <v>46167.1179720023</v>
      </c>
      <c r="F363" s="143" t="s">
        <v>168</v>
      </c>
      <c r="G363" s="14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43" t="s">
        <v>1632</v>
      </c>
      <c r="B364" s="143" t="s">
        <v>1627</v>
      </c>
      <c r="C364" s="143" t="s">
        <v>1274</v>
      </c>
      <c r="D364" s="143" t="s">
        <v>1260</v>
      </c>
      <c r="E364" s="149">
        <v>46167.1179720023</v>
      </c>
      <c r="F364" s="143" t="s">
        <v>168</v>
      </c>
      <c r="G364" s="14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43" t="s">
        <v>1633</v>
      </c>
      <c r="B365" s="143" t="s">
        <v>1627</v>
      </c>
      <c r="C365" s="143" t="s">
        <v>1276</v>
      </c>
      <c r="D365" s="143" t="s">
        <v>1260</v>
      </c>
      <c r="E365" s="149">
        <v>46167.1179720023</v>
      </c>
      <c r="F365" s="143" t="s">
        <v>168</v>
      </c>
      <c r="G365" s="14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43" t="s">
        <v>1634</v>
      </c>
      <c r="B366" s="143" t="s">
        <v>1627</v>
      </c>
      <c r="C366" s="143" t="s">
        <v>1284</v>
      </c>
      <c r="D366" s="143" t="s">
        <v>1260</v>
      </c>
      <c r="E366" s="149">
        <v>46167.1179720023</v>
      </c>
      <c r="F366" s="143" t="s">
        <v>168</v>
      </c>
      <c r="G366" s="14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43" t="s">
        <v>1635</v>
      </c>
      <c r="B367" s="143" t="s">
        <v>932</v>
      </c>
      <c r="C367" s="143" t="s">
        <v>1259</v>
      </c>
      <c r="D367" s="143" t="s">
        <v>1260</v>
      </c>
      <c r="E367" s="149">
        <v>46167.1179720023</v>
      </c>
      <c r="F367" s="143" t="s">
        <v>168</v>
      </c>
      <c r="G367" s="14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43" t="s">
        <v>1636</v>
      </c>
      <c r="B368" s="143" t="s">
        <v>932</v>
      </c>
      <c r="C368" s="143" t="s">
        <v>1262</v>
      </c>
      <c r="D368" s="143" t="s">
        <v>1260</v>
      </c>
      <c r="E368" s="149">
        <v>46167.1179720023</v>
      </c>
      <c r="F368" s="143" t="s">
        <v>168</v>
      </c>
      <c r="G368" s="14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43" t="s">
        <v>1637</v>
      </c>
      <c r="B369" s="143" t="s">
        <v>932</v>
      </c>
      <c r="C369" s="143" t="s">
        <v>1264</v>
      </c>
      <c r="D369" s="143" t="s">
        <v>1260</v>
      </c>
      <c r="E369" s="149">
        <v>46167.1179720023</v>
      </c>
      <c r="F369" s="143" t="s">
        <v>168</v>
      </c>
      <c r="G369" s="14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43" t="s">
        <v>1638</v>
      </c>
      <c r="B370" s="143" t="s">
        <v>932</v>
      </c>
      <c r="C370" s="143" t="s">
        <v>1266</v>
      </c>
      <c r="D370" s="143" t="s">
        <v>1260</v>
      </c>
      <c r="E370" s="149">
        <v>46167.1179720023</v>
      </c>
      <c r="F370" s="143" t="s">
        <v>168</v>
      </c>
      <c r="G370" s="14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43" t="s">
        <v>1639</v>
      </c>
      <c r="B371" s="143" t="s">
        <v>932</v>
      </c>
      <c r="C371" s="143" t="s">
        <v>1268</v>
      </c>
      <c r="D371" s="143" t="s">
        <v>1260</v>
      </c>
      <c r="E371" s="149">
        <v>46167.1179720023</v>
      </c>
      <c r="F371" s="143" t="s">
        <v>168</v>
      </c>
      <c r="G371" s="14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43" t="s">
        <v>1640</v>
      </c>
      <c r="B372" s="143" t="s">
        <v>932</v>
      </c>
      <c r="C372" s="143" t="s">
        <v>1274</v>
      </c>
      <c r="D372" s="143" t="s">
        <v>1260</v>
      </c>
      <c r="E372" s="149">
        <v>46167.1179720023</v>
      </c>
      <c r="F372" s="143" t="s">
        <v>168</v>
      </c>
      <c r="G372" s="14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43" t="s">
        <v>1641</v>
      </c>
      <c r="B373" s="143" t="s">
        <v>932</v>
      </c>
      <c r="C373" s="143" t="s">
        <v>1276</v>
      </c>
      <c r="D373" s="143" t="s">
        <v>1260</v>
      </c>
      <c r="E373" s="149">
        <v>46167.1179720023</v>
      </c>
      <c r="F373" s="143" t="s">
        <v>168</v>
      </c>
      <c r="G373" s="14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43" t="s">
        <v>1642</v>
      </c>
      <c r="B374" s="143" t="s">
        <v>932</v>
      </c>
      <c r="C374" s="143" t="s">
        <v>1284</v>
      </c>
      <c r="D374" s="143" t="s">
        <v>1260</v>
      </c>
      <c r="E374" s="149">
        <v>46167.1179720023</v>
      </c>
      <c r="F374" s="143" t="s">
        <v>168</v>
      </c>
      <c r="G374" s="14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43" t="s">
        <v>1643</v>
      </c>
      <c r="B375" s="143" t="s">
        <v>933</v>
      </c>
      <c r="C375" s="143" t="s">
        <v>1259</v>
      </c>
      <c r="D375" s="143" t="s">
        <v>1260</v>
      </c>
      <c r="E375" s="149">
        <v>46167.1179720023</v>
      </c>
      <c r="F375" s="143" t="s">
        <v>168</v>
      </c>
      <c r="G375" s="14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43" t="s">
        <v>1644</v>
      </c>
      <c r="B376" s="143" t="s">
        <v>933</v>
      </c>
      <c r="C376" s="143" t="s">
        <v>1262</v>
      </c>
      <c r="D376" s="143" t="s">
        <v>1260</v>
      </c>
      <c r="E376" s="149">
        <v>46167.1179720023</v>
      </c>
      <c r="F376" s="143" t="s">
        <v>168</v>
      </c>
      <c r="G376" s="14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43" t="s">
        <v>1645</v>
      </c>
      <c r="B377" s="143" t="s">
        <v>933</v>
      </c>
      <c r="C377" s="143" t="s">
        <v>1264</v>
      </c>
      <c r="D377" s="143" t="s">
        <v>1260</v>
      </c>
      <c r="E377" s="149">
        <v>46167.1179720023</v>
      </c>
      <c r="F377" s="143" t="s">
        <v>168</v>
      </c>
      <c r="G377" s="14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43" t="s">
        <v>1646</v>
      </c>
      <c r="B378" s="143" t="s">
        <v>933</v>
      </c>
      <c r="C378" s="143" t="s">
        <v>1266</v>
      </c>
      <c r="D378" s="143" t="s">
        <v>1260</v>
      </c>
      <c r="E378" s="149">
        <v>46167.1179720023</v>
      </c>
      <c r="F378" s="143" t="s">
        <v>168</v>
      </c>
      <c r="G378" s="14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43" t="s">
        <v>1647</v>
      </c>
      <c r="B379" s="143" t="s">
        <v>933</v>
      </c>
      <c r="C379" s="143" t="s">
        <v>1268</v>
      </c>
      <c r="D379" s="143" t="s">
        <v>1260</v>
      </c>
      <c r="E379" s="149">
        <v>46167.1179720023</v>
      </c>
      <c r="F379" s="143" t="s">
        <v>168</v>
      </c>
      <c r="G379" s="14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43" t="s">
        <v>1648</v>
      </c>
      <c r="B380" s="143" t="s">
        <v>933</v>
      </c>
      <c r="C380" s="143" t="s">
        <v>1274</v>
      </c>
      <c r="D380" s="143" t="s">
        <v>1260</v>
      </c>
      <c r="E380" s="149">
        <v>46167.1179720023</v>
      </c>
      <c r="F380" s="143" t="s">
        <v>168</v>
      </c>
      <c r="G380" s="14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43" t="s">
        <v>1649</v>
      </c>
      <c r="B381" s="143" t="s">
        <v>933</v>
      </c>
      <c r="C381" s="143" t="s">
        <v>1276</v>
      </c>
      <c r="D381" s="143" t="s">
        <v>1260</v>
      </c>
      <c r="E381" s="149">
        <v>46167.1179720023</v>
      </c>
      <c r="F381" s="143" t="s">
        <v>168</v>
      </c>
      <c r="G381" s="14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43" t="s">
        <v>1650</v>
      </c>
      <c r="B382" s="143" t="s">
        <v>933</v>
      </c>
      <c r="C382" s="143" t="s">
        <v>1284</v>
      </c>
      <c r="D382" s="143" t="s">
        <v>1260</v>
      </c>
      <c r="E382" s="149">
        <v>46167.1179720023</v>
      </c>
      <c r="F382" s="143" t="s">
        <v>168</v>
      </c>
      <c r="G382" s="14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43" t="s">
        <v>1651</v>
      </c>
      <c r="B383" s="143" t="s">
        <v>934</v>
      </c>
      <c r="C383" s="143" t="s">
        <v>1259</v>
      </c>
      <c r="D383" s="143" t="s">
        <v>1260</v>
      </c>
      <c r="E383" s="149">
        <v>46167.1179720023</v>
      </c>
      <c r="F383" s="143" t="s">
        <v>168</v>
      </c>
      <c r="G383" s="14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43" t="s">
        <v>1652</v>
      </c>
      <c r="B384" s="143" t="s">
        <v>934</v>
      </c>
      <c r="C384" s="143" t="s">
        <v>1262</v>
      </c>
      <c r="D384" s="143" t="s">
        <v>1260</v>
      </c>
      <c r="E384" s="149">
        <v>46167.1179720023</v>
      </c>
      <c r="F384" s="143" t="s">
        <v>168</v>
      </c>
      <c r="G384" s="14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43" t="s">
        <v>1653</v>
      </c>
      <c r="B385" s="143" t="s">
        <v>934</v>
      </c>
      <c r="C385" s="143" t="s">
        <v>1264</v>
      </c>
      <c r="D385" s="143" t="s">
        <v>1260</v>
      </c>
      <c r="E385" s="149">
        <v>46167.1179720023</v>
      </c>
      <c r="F385" s="143" t="s">
        <v>168</v>
      </c>
      <c r="G385" s="14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43" t="s">
        <v>1654</v>
      </c>
      <c r="B386" s="143" t="s">
        <v>934</v>
      </c>
      <c r="C386" s="143" t="s">
        <v>1266</v>
      </c>
      <c r="D386" s="143" t="s">
        <v>1260</v>
      </c>
      <c r="E386" s="149">
        <v>46167.1179720023</v>
      </c>
      <c r="F386" s="143" t="s">
        <v>168</v>
      </c>
      <c r="G386" s="14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43" t="s">
        <v>1655</v>
      </c>
      <c r="B387" s="143" t="s">
        <v>934</v>
      </c>
      <c r="C387" s="143" t="s">
        <v>1268</v>
      </c>
      <c r="D387" s="143" t="s">
        <v>1260</v>
      </c>
      <c r="E387" s="149">
        <v>46167.1179720023</v>
      </c>
      <c r="F387" s="143" t="s">
        <v>168</v>
      </c>
      <c r="G387" s="14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43" t="s">
        <v>1656</v>
      </c>
      <c r="B388" s="143" t="s">
        <v>934</v>
      </c>
      <c r="C388" s="143" t="s">
        <v>1274</v>
      </c>
      <c r="D388" s="143" t="s">
        <v>1260</v>
      </c>
      <c r="E388" s="149">
        <v>46167.1179720023</v>
      </c>
      <c r="F388" s="143" t="s">
        <v>168</v>
      </c>
      <c r="G388" s="14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43" t="s">
        <v>1657</v>
      </c>
      <c r="B389" s="143" t="s">
        <v>936</v>
      </c>
      <c r="C389" s="143" t="s">
        <v>1259</v>
      </c>
      <c r="D389" s="143" t="s">
        <v>1260</v>
      </c>
      <c r="E389" s="149">
        <v>46167.1179720023</v>
      </c>
      <c r="F389" s="143" t="s">
        <v>168</v>
      </c>
      <c r="G389" s="14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43" t="s">
        <v>1658</v>
      </c>
      <c r="B390" s="143" t="s">
        <v>936</v>
      </c>
      <c r="C390" s="143" t="s">
        <v>1262</v>
      </c>
      <c r="D390" s="143" t="s">
        <v>1260</v>
      </c>
      <c r="E390" s="149">
        <v>46167.1179720023</v>
      </c>
      <c r="F390" s="143" t="s">
        <v>168</v>
      </c>
      <c r="G390" s="14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43" t="s">
        <v>1659</v>
      </c>
      <c r="B391" s="143" t="s">
        <v>936</v>
      </c>
      <c r="C391" s="143" t="s">
        <v>1264</v>
      </c>
      <c r="D391" s="143" t="s">
        <v>1260</v>
      </c>
      <c r="E391" s="149">
        <v>46167.1179720023</v>
      </c>
      <c r="F391" s="143" t="s">
        <v>168</v>
      </c>
      <c r="G391" s="14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43" t="s">
        <v>1660</v>
      </c>
      <c r="B392" s="143" t="s">
        <v>936</v>
      </c>
      <c r="C392" s="143" t="s">
        <v>1266</v>
      </c>
      <c r="D392" s="143" t="s">
        <v>1260</v>
      </c>
      <c r="E392" s="149">
        <v>46167.1179720023</v>
      </c>
      <c r="F392" s="143" t="s">
        <v>168</v>
      </c>
      <c r="G392" s="14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43" t="s">
        <v>1661</v>
      </c>
      <c r="B393" s="143" t="s">
        <v>936</v>
      </c>
      <c r="C393" s="143" t="s">
        <v>1268</v>
      </c>
      <c r="D393" s="143" t="s">
        <v>1260</v>
      </c>
      <c r="E393" s="149">
        <v>46167.1179720023</v>
      </c>
      <c r="F393" s="143" t="s">
        <v>168</v>
      </c>
      <c r="G393" s="14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43" t="s">
        <v>1662</v>
      </c>
      <c r="B394" s="143" t="s">
        <v>936</v>
      </c>
      <c r="C394" s="143" t="s">
        <v>1274</v>
      </c>
      <c r="D394" s="143" t="s">
        <v>1260</v>
      </c>
      <c r="E394" s="149">
        <v>46167.1179720023</v>
      </c>
      <c r="F394" s="143" t="s">
        <v>168</v>
      </c>
      <c r="G394" s="14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43" t="s">
        <v>1663</v>
      </c>
      <c r="B395" s="143" t="s">
        <v>936</v>
      </c>
      <c r="C395" s="143" t="s">
        <v>1276</v>
      </c>
      <c r="D395" s="143" t="s">
        <v>1260</v>
      </c>
      <c r="E395" s="149">
        <v>46167.1179720023</v>
      </c>
      <c r="F395" s="143" t="s">
        <v>168</v>
      </c>
      <c r="G395" s="14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43" t="s">
        <v>1664</v>
      </c>
      <c r="B396" s="143" t="s">
        <v>936</v>
      </c>
      <c r="C396" s="143" t="s">
        <v>1284</v>
      </c>
      <c r="D396" s="143" t="s">
        <v>1260</v>
      </c>
      <c r="E396" s="149">
        <v>46167.1179720023</v>
      </c>
      <c r="F396" s="143" t="s">
        <v>168</v>
      </c>
      <c r="G396" s="14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43" t="s">
        <v>1665</v>
      </c>
      <c r="B397" s="143" t="s">
        <v>938</v>
      </c>
      <c r="C397" s="143" t="s">
        <v>1259</v>
      </c>
      <c r="D397" s="143" t="s">
        <v>1260</v>
      </c>
      <c r="E397" s="149">
        <v>46167.1179720023</v>
      </c>
      <c r="F397" s="143" t="s">
        <v>168</v>
      </c>
      <c r="G397" s="14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43" t="s">
        <v>1666</v>
      </c>
      <c r="B398" s="143" t="s">
        <v>938</v>
      </c>
      <c r="C398" s="143" t="s">
        <v>1262</v>
      </c>
      <c r="D398" s="143" t="s">
        <v>1260</v>
      </c>
      <c r="E398" s="149">
        <v>46167.1179720023</v>
      </c>
      <c r="F398" s="143" t="s">
        <v>168</v>
      </c>
      <c r="G398" s="14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43" t="s">
        <v>1667</v>
      </c>
      <c r="B399" s="143" t="s">
        <v>938</v>
      </c>
      <c r="C399" s="143" t="s">
        <v>1264</v>
      </c>
      <c r="D399" s="143" t="s">
        <v>1260</v>
      </c>
      <c r="E399" s="149">
        <v>46167.1179720023</v>
      </c>
      <c r="F399" s="143" t="s">
        <v>168</v>
      </c>
      <c r="G399" s="14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43" t="s">
        <v>1668</v>
      </c>
      <c r="B400" s="143" t="s">
        <v>938</v>
      </c>
      <c r="C400" s="143" t="s">
        <v>1266</v>
      </c>
      <c r="D400" s="143" t="s">
        <v>1260</v>
      </c>
      <c r="E400" s="149">
        <v>46167.1179720023</v>
      </c>
      <c r="F400" s="143" t="s">
        <v>168</v>
      </c>
      <c r="G400" s="14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43" t="s">
        <v>1669</v>
      </c>
      <c r="B401" s="143" t="s">
        <v>938</v>
      </c>
      <c r="C401" s="143" t="s">
        <v>1268</v>
      </c>
      <c r="D401" s="143" t="s">
        <v>1260</v>
      </c>
      <c r="E401" s="149">
        <v>46167.1179720023</v>
      </c>
      <c r="F401" s="143" t="s">
        <v>168</v>
      </c>
      <c r="G401" s="14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43" t="s">
        <v>1670</v>
      </c>
      <c r="B402" s="143" t="s">
        <v>938</v>
      </c>
      <c r="C402" s="143" t="s">
        <v>1270</v>
      </c>
      <c r="D402" s="143" t="s">
        <v>1260</v>
      </c>
      <c r="E402" s="149">
        <v>46167.1179720023</v>
      </c>
      <c r="F402" s="143" t="s">
        <v>168</v>
      </c>
      <c r="G402" s="14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43" t="s">
        <v>1671</v>
      </c>
      <c r="B403" s="143" t="s">
        <v>938</v>
      </c>
      <c r="C403" s="143" t="s">
        <v>1274</v>
      </c>
      <c r="D403" s="143" t="s">
        <v>1260</v>
      </c>
      <c r="E403" s="149">
        <v>46167.1179720023</v>
      </c>
      <c r="F403" s="143" t="s">
        <v>168</v>
      </c>
      <c r="G403" s="14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43" t="s">
        <v>1672</v>
      </c>
      <c r="B404" s="143" t="s">
        <v>938</v>
      </c>
      <c r="C404" s="143" t="s">
        <v>1276</v>
      </c>
      <c r="D404" s="143" t="s">
        <v>1260</v>
      </c>
      <c r="E404" s="149">
        <v>46167.1179720023</v>
      </c>
      <c r="F404" s="143" t="s">
        <v>168</v>
      </c>
      <c r="G404" s="14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43" t="s">
        <v>1673</v>
      </c>
      <c r="B405" s="143" t="s">
        <v>938</v>
      </c>
      <c r="C405" s="143" t="s">
        <v>1284</v>
      </c>
      <c r="D405" s="143" t="s">
        <v>1260</v>
      </c>
      <c r="E405" s="149">
        <v>46167.1179720023</v>
      </c>
      <c r="F405" s="143" t="s">
        <v>168</v>
      </c>
      <c r="G405" s="14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43" t="s">
        <v>1674</v>
      </c>
      <c r="B406" s="143" t="s">
        <v>943</v>
      </c>
      <c r="C406" s="143" t="s">
        <v>1259</v>
      </c>
      <c r="D406" s="143" t="s">
        <v>1260</v>
      </c>
      <c r="E406" s="149">
        <v>46167.1179720023</v>
      </c>
      <c r="F406" s="143" t="s">
        <v>168</v>
      </c>
      <c r="G406" s="14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43" t="s">
        <v>1675</v>
      </c>
      <c r="B407" s="143" t="s">
        <v>943</v>
      </c>
      <c r="C407" s="143" t="s">
        <v>1262</v>
      </c>
      <c r="D407" s="143" t="s">
        <v>1260</v>
      </c>
      <c r="E407" s="149">
        <v>46167.1179720023</v>
      </c>
      <c r="F407" s="143" t="s">
        <v>168</v>
      </c>
      <c r="G407" s="14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43" t="s">
        <v>1676</v>
      </c>
      <c r="B408" s="143" t="s">
        <v>943</v>
      </c>
      <c r="C408" s="143" t="s">
        <v>1264</v>
      </c>
      <c r="D408" s="143" t="s">
        <v>1260</v>
      </c>
      <c r="E408" s="149">
        <v>46167.1179720023</v>
      </c>
      <c r="F408" s="143" t="s">
        <v>168</v>
      </c>
      <c r="G408" s="14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43" t="s">
        <v>1677</v>
      </c>
      <c r="B409" s="143" t="s">
        <v>943</v>
      </c>
      <c r="C409" s="143" t="s">
        <v>1266</v>
      </c>
      <c r="D409" s="143" t="s">
        <v>1260</v>
      </c>
      <c r="E409" s="149">
        <v>46167.1179720023</v>
      </c>
      <c r="F409" s="143" t="s">
        <v>168</v>
      </c>
      <c r="G409" s="14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43" t="s">
        <v>1678</v>
      </c>
      <c r="B410" s="143" t="s">
        <v>943</v>
      </c>
      <c r="C410" s="143" t="s">
        <v>1268</v>
      </c>
      <c r="D410" s="143" t="s">
        <v>1260</v>
      </c>
      <c r="E410" s="149">
        <v>46167.1179720023</v>
      </c>
      <c r="F410" s="143" t="s">
        <v>168</v>
      </c>
      <c r="G410" s="14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43" t="s">
        <v>1679</v>
      </c>
      <c r="B411" s="143" t="s">
        <v>943</v>
      </c>
      <c r="C411" s="143" t="s">
        <v>1276</v>
      </c>
      <c r="D411" s="143" t="s">
        <v>1260</v>
      </c>
      <c r="E411" s="149">
        <v>46167.1179720023</v>
      </c>
      <c r="F411" s="143" t="s">
        <v>168</v>
      </c>
      <c r="G411" s="14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43" t="s">
        <v>1680</v>
      </c>
      <c r="B412" s="143" t="s">
        <v>943</v>
      </c>
      <c r="C412" s="143" t="s">
        <v>1284</v>
      </c>
      <c r="D412" s="143" t="s">
        <v>1260</v>
      </c>
      <c r="E412" s="149">
        <v>46167.1179720023</v>
      </c>
      <c r="F412" s="143" t="s">
        <v>168</v>
      </c>
      <c r="G412" s="14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43" t="s">
        <v>1681</v>
      </c>
      <c r="B413" s="143" t="s">
        <v>946</v>
      </c>
      <c r="C413" s="143" t="s">
        <v>1259</v>
      </c>
      <c r="D413" s="143" t="s">
        <v>1260</v>
      </c>
      <c r="E413" s="149">
        <v>46167.1179720023</v>
      </c>
      <c r="F413" s="143" t="s">
        <v>168</v>
      </c>
      <c r="G413" s="14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43" t="s">
        <v>1682</v>
      </c>
      <c r="B414" s="143" t="s">
        <v>946</v>
      </c>
      <c r="C414" s="143" t="s">
        <v>1262</v>
      </c>
      <c r="D414" s="143" t="s">
        <v>1260</v>
      </c>
      <c r="E414" s="149">
        <v>46167.1179720023</v>
      </c>
      <c r="F414" s="143" t="s">
        <v>168</v>
      </c>
      <c r="G414" s="14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43" t="s">
        <v>1683</v>
      </c>
      <c r="B415" s="143" t="s">
        <v>946</v>
      </c>
      <c r="C415" s="143" t="s">
        <v>1264</v>
      </c>
      <c r="D415" s="143" t="s">
        <v>1260</v>
      </c>
      <c r="E415" s="149">
        <v>46167.1179720023</v>
      </c>
      <c r="F415" s="143" t="s">
        <v>168</v>
      </c>
      <c r="G415" s="14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43" t="s">
        <v>1684</v>
      </c>
      <c r="B416" s="143" t="s">
        <v>946</v>
      </c>
      <c r="C416" s="143" t="s">
        <v>1266</v>
      </c>
      <c r="D416" s="143" t="s">
        <v>1260</v>
      </c>
      <c r="E416" s="149">
        <v>46167.1179720023</v>
      </c>
      <c r="F416" s="143" t="s">
        <v>168</v>
      </c>
      <c r="G416" s="14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43" t="s">
        <v>1685</v>
      </c>
      <c r="B417" s="143" t="s">
        <v>946</v>
      </c>
      <c r="C417" s="143" t="s">
        <v>1268</v>
      </c>
      <c r="D417" s="143" t="s">
        <v>1260</v>
      </c>
      <c r="E417" s="149">
        <v>46167.1179720023</v>
      </c>
      <c r="F417" s="143" t="s">
        <v>168</v>
      </c>
      <c r="G417" s="14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43" t="s">
        <v>1686</v>
      </c>
      <c r="B418" s="143" t="s">
        <v>948</v>
      </c>
      <c r="C418" s="143" t="s">
        <v>1259</v>
      </c>
      <c r="D418" s="143" t="s">
        <v>1260</v>
      </c>
      <c r="E418" s="149">
        <v>46167.1179720023</v>
      </c>
      <c r="F418" s="143" t="s">
        <v>168</v>
      </c>
      <c r="G418" s="14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43" t="s">
        <v>1687</v>
      </c>
      <c r="B419" s="143" t="s">
        <v>948</v>
      </c>
      <c r="C419" s="143" t="s">
        <v>1262</v>
      </c>
      <c r="D419" s="143" t="s">
        <v>1260</v>
      </c>
      <c r="E419" s="149">
        <v>46167.1179720023</v>
      </c>
      <c r="F419" s="143" t="s">
        <v>168</v>
      </c>
      <c r="G419" s="14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43" t="s">
        <v>1688</v>
      </c>
      <c r="B420" s="143" t="s">
        <v>948</v>
      </c>
      <c r="C420" s="143" t="s">
        <v>1264</v>
      </c>
      <c r="D420" s="143" t="s">
        <v>1260</v>
      </c>
      <c r="E420" s="149">
        <v>46167.1179720023</v>
      </c>
      <c r="F420" s="143" t="s">
        <v>168</v>
      </c>
      <c r="G420" s="14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43" t="s">
        <v>1689</v>
      </c>
      <c r="B421" s="143" t="s">
        <v>948</v>
      </c>
      <c r="C421" s="143" t="s">
        <v>1266</v>
      </c>
      <c r="D421" s="143" t="s">
        <v>1260</v>
      </c>
      <c r="E421" s="149">
        <v>46167.1179720023</v>
      </c>
      <c r="F421" s="143" t="s">
        <v>168</v>
      </c>
      <c r="G421" s="14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43" t="s">
        <v>1690</v>
      </c>
      <c r="B422" s="143" t="s">
        <v>948</v>
      </c>
      <c r="C422" s="143" t="s">
        <v>1268</v>
      </c>
      <c r="D422" s="143" t="s">
        <v>1260</v>
      </c>
      <c r="E422" s="149">
        <v>46167.1179720023</v>
      </c>
      <c r="F422" s="143" t="s">
        <v>168</v>
      </c>
      <c r="G422" s="14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43" t="s">
        <v>1691</v>
      </c>
      <c r="B423" s="143" t="s">
        <v>948</v>
      </c>
      <c r="C423" s="143" t="s">
        <v>1274</v>
      </c>
      <c r="D423" s="143" t="s">
        <v>1260</v>
      </c>
      <c r="E423" s="149">
        <v>46167.1179720023</v>
      </c>
      <c r="F423" s="143" t="s">
        <v>168</v>
      </c>
      <c r="G423" s="14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43" t="s">
        <v>1692</v>
      </c>
      <c r="B424" s="143" t="s">
        <v>955</v>
      </c>
      <c r="C424" s="143" t="s">
        <v>1259</v>
      </c>
      <c r="D424" s="143" t="s">
        <v>1260</v>
      </c>
      <c r="E424" s="149">
        <v>46167.1179720023</v>
      </c>
      <c r="F424" s="143" t="s">
        <v>168</v>
      </c>
      <c r="G424" s="14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43" t="s">
        <v>1693</v>
      </c>
      <c r="B425" s="143" t="s">
        <v>955</v>
      </c>
      <c r="C425" s="143" t="s">
        <v>1262</v>
      </c>
      <c r="D425" s="143" t="s">
        <v>1260</v>
      </c>
      <c r="E425" s="149">
        <v>46167.1179720023</v>
      </c>
      <c r="F425" s="143" t="s">
        <v>168</v>
      </c>
      <c r="G425" s="14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43" t="s">
        <v>1694</v>
      </c>
      <c r="B426" s="143" t="s">
        <v>955</v>
      </c>
      <c r="C426" s="143" t="s">
        <v>1264</v>
      </c>
      <c r="D426" s="143" t="s">
        <v>1260</v>
      </c>
      <c r="E426" s="149">
        <v>46167.1179720023</v>
      </c>
      <c r="F426" s="143" t="s">
        <v>168</v>
      </c>
      <c r="G426" s="14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43" t="s">
        <v>1695</v>
      </c>
      <c r="B427" s="143" t="s">
        <v>955</v>
      </c>
      <c r="C427" s="143" t="s">
        <v>1266</v>
      </c>
      <c r="D427" s="143" t="s">
        <v>1260</v>
      </c>
      <c r="E427" s="149">
        <v>46167.1179720023</v>
      </c>
      <c r="F427" s="143" t="s">
        <v>168</v>
      </c>
      <c r="G427" s="14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43" t="s">
        <v>1696</v>
      </c>
      <c r="B428" s="143" t="s">
        <v>955</v>
      </c>
      <c r="C428" s="143" t="s">
        <v>1268</v>
      </c>
      <c r="D428" s="143" t="s">
        <v>1260</v>
      </c>
      <c r="E428" s="149">
        <v>46167.1179720023</v>
      </c>
      <c r="F428" s="143" t="s">
        <v>168</v>
      </c>
      <c r="G428" s="14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43" t="s">
        <v>1697</v>
      </c>
      <c r="B429" s="143" t="s">
        <v>955</v>
      </c>
      <c r="C429" s="143" t="s">
        <v>1274</v>
      </c>
      <c r="D429" s="143" t="s">
        <v>1260</v>
      </c>
      <c r="E429" s="149">
        <v>46167.1179720023</v>
      </c>
      <c r="F429" s="143" t="s">
        <v>168</v>
      </c>
      <c r="G429" s="14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43" t="s">
        <v>1698</v>
      </c>
      <c r="B430" s="143" t="s">
        <v>955</v>
      </c>
      <c r="C430" s="143" t="s">
        <v>1276</v>
      </c>
      <c r="D430" s="143" t="s">
        <v>1260</v>
      </c>
      <c r="E430" s="149">
        <v>46167.1179720023</v>
      </c>
      <c r="F430" s="143" t="s">
        <v>168</v>
      </c>
      <c r="G430" s="14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43" t="s">
        <v>1699</v>
      </c>
      <c r="B431" s="143" t="s">
        <v>955</v>
      </c>
      <c r="C431" s="143" t="s">
        <v>1284</v>
      </c>
      <c r="D431" s="143" t="s">
        <v>1260</v>
      </c>
      <c r="E431" s="149">
        <v>46167.1179720023</v>
      </c>
      <c r="F431" s="143" t="s">
        <v>168</v>
      </c>
      <c r="G431" s="14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43" t="s">
        <v>1700</v>
      </c>
      <c r="B432" s="143" t="s">
        <v>958</v>
      </c>
      <c r="C432" s="143" t="s">
        <v>1259</v>
      </c>
      <c r="D432" s="143" t="s">
        <v>1260</v>
      </c>
      <c r="E432" s="149">
        <v>46167.1179720023</v>
      </c>
      <c r="F432" s="143" t="s">
        <v>168</v>
      </c>
      <c r="G432" s="14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43" t="s">
        <v>1701</v>
      </c>
      <c r="B433" s="143" t="s">
        <v>958</v>
      </c>
      <c r="C433" s="143" t="s">
        <v>1262</v>
      </c>
      <c r="D433" s="143" t="s">
        <v>1260</v>
      </c>
      <c r="E433" s="149">
        <v>46167.1179720023</v>
      </c>
      <c r="F433" s="143" t="s">
        <v>168</v>
      </c>
      <c r="G433" s="14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43" t="s">
        <v>1702</v>
      </c>
      <c r="B434" s="143" t="s">
        <v>958</v>
      </c>
      <c r="C434" s="143" t="s">
        <v>1264</v>
      </c>
      <c r="D434" s="143" t="s">
        <v>1260</v>
      </c>
      <c r="E434" s="149">
        <v>46167.1179720023</v>
      </c>
      <c r="F434" s="143" t="s">
        <v>168</v>
      </c>
      <c r="G434" s="14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43" t="s">
        <v>1703</v>
      </c>
      <c r="B435" s="143" t="s">
        <v>958</v>
      </c>
      <c r="C435" s="143" t="s">
        <v>1266</v>
      </c>
      <c r="D435" s="143" t="s">
        <v>1260</v>
      </c>
      <c r="E435" s="149">
        <v>46167.1179720023</v>
      </c>
      <c r="F435" s="143" t="s">
        <v>168</v>
      </c>
      <c r="G435" s="14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43" t="s">
        <v>1704</v>
      </c>
      <c r="B436" s="143" t="s">
        <v>958</v>
      </c>
      <c r="C436" s="143" t="s">
        <v>1268</v>
      </c>
      <c r="D436" s="143" t="s">
        <v>1260</v>
      </c>
      <c r="E436" s="149">
        <v>46167.1179720023</v>
      </c>
      <c r="F436" s="143" t="s">
        <v>168</v>
      </c>
      <c r="G436" s="14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43" t="s">
        <v>1705</v>
      </c>
      <c r="B437" s="143" t="s">
        <v>958</v>
      </c>
      <c r="C437" s="143" t="s">
        <v>1276</v>
      </c>
      <c r="D437" s="143" t="s">
        <v>1260</v>
      </c>
      <c r="E437" s="149">
        <v>46167.1179720023</v>
      </c>
      <c r="F437" s="143" t="s">
        <v>168</v>
      </c>
      <c r="G437" s="14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43" t="s">
        <v>1706</v>
      </c>
      <c r="B438" s="143" t="s">
        <v>958</v>
      </c>
      <c r="C438" s="143" t="s">
        <v>1284</v>
      </c>
      <c r="D438" s="143" t="s">
        <v>1260</v>
      </c>
      <c r="E438" s="149">
        <v>46167.1179720023</v>
      </c>
      <c r="F438" s="143" t="s">
        <v>168</v>
      </c>
      <c r="G438" s="14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43" t="s">
        <v>1707</v>
      </c>
      <c r="B439" s="143" t="s">
        <v>960</v>
      </c>
      <c r="C439" s="143" t="s">
        <v>1259</v>
      </c>
      <c r="D439" s="143" t="s">
        <v>1260</v>
      </c>
      <c r="E439" s="149">
        <v>46167.1179720023</v>
      </c>
      <c r="F439" s="143" t="s">
        <v>168</v>
      </c>
      <c r="G439" s="14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43" t="s">
        <v>1708</v>
      </c>
      <c r="B440" s="143" t="s">
        <v>960</v>
      </c>
      <c r="C440" s="143" t="s">
        <v>1262</v>
      </c>
      <c r="D440" s="143" t="s">
        <v>1260</v>
      </c>
      <c r="E440" s="149">
        <v>46167.1179720023</v>
      </c>
      <c r="F440" s="143" t="s">
        <v>168</v>
      </c>
      <c r="G440" s="14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43" t="s">
        <v>1709</v>
      </c>
      <c r="B441" s="143" t="s">
        <v>960</v>
      </c>
      <c r="C441" s="143" t="s">
        <v>1264</v>
      </c>
      <c r="D441" s="143" t="s">
        <v>1260</v>
      </c>
      <c r="E441" s="149">
        <v>46167.1179720023</v>
      </c>
      <c r="F441" s="143" t="s">
        <v>168</v>
      </c>
      <c r="G441" s="14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43" t="s">
        <v>1710</v>
      </c>
      <c r="B442" s="143" t="s">
        <v>960</v>
      </c>
      <c r="C442" s="143" t="s">
        <v>1268</v>
      </c>
      <c r="D442" s="143" t="s">
        <v>1260</v>
      </c>
      <c r="E442" s="149">
        <v>46167.1179720023</v>
      </c>
      <c r="F442" s="143" t="s">
        <v>168</v>
      </c>
      <c r="G442" s="14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43" t="s">
        <v>1711</v>
      </c>
      <c r="B443" s="143" t="s">
        <v>960</v>
      </c>
      <c r="C443" s="143" t="s">
        <v>1270</v>
      </c>
      <c r="D443" s="143" t="s">
        <v>1260</v>
      </c>
      <c r="E443" s="149">
        <v>46167.1179720023</v>
      </c>
      <c r="F443" s="143" t="s">
        <v>168</v>
      </c>
      <c r="G443" s="14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43" t="s">
        <v>1712</v>
      </c>
      <c r="B444" s="143" t="s">
        <v>960</v>
      </c>
      <c r="C444" s="143" t="s">
        <v>1272</v>
      </c>
      <c r="D444" s="143" t="s">
        <v>1260</v>
      </c>
      <c r="E444" s="149">
        <v>46167.1179720023</v>
      </c>
      <c r="F444" s="143" t="s">
        <v>168</v>
      </c>
      <c r="G444" s="14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43" t="s">
        <v>1713</v>
      </c>
      <c r="B445" s="143" t="s">
        <v>960</v>
      </c>
      <c r="C445" s="143" t="s">
        <v>1274</v>
      </c>
      <c r="D445" s="143" t="s">
        <v>1260</v>
      </c>
      <c r="E445" s="149">
        <v>46167.1179720023</v>
      </c>
      <c r="F445" s="143" t="s">
        <v>168</v>
      </c>
      <c r="G445" s="14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43" t="s">
        <v>1714</v>
      </c>
      <c r="B446" s="143" t="s">
        <v>960</v>
      </c>
      <c r="C446" s="143" t="s">
        <v>1276</v>
      </c>
      <c r="D446" s="143" t="s">
        <v>1260</v>
      </c>
      <c r="E446" s="149">
        <v>46167.1179720023</v>
      </c>
      <c r="F446" s="143" t="s">
        <v>168</v>
      </c>
      <c r="G446" s="14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43" t="s">
        <v>1715</v>
      </c>
      <c r="B447" s="143" t="s">
        <v>960</v>
      </c>
      <c r="C447" s="143" t="s">
        <v>1284</v>
      </c>
      <c r="D447" s="143" t="s">
        <v>1260</v>
      </c>
      <c r="E447" s="149">
        <v>46167.1179720023</v>
      </c>
      <c r="F447" s="143" t="s">
        <v>168</v>
      </c>
      <c r="G447" s="14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43" t="s">
        <v>1716</v>
      </c>
      <c r="B448" s="143" t="s">
        <v>962</v>
      </c>
      <c r="C448" s="143" t="s">
        <v>1259</v>
      </c>
      <c r="D448" s="143" t="s">
        <v>1260</v>
      </c>
      <c r="E448" s="149">
        <v>46167.1179720023</v>
      </c>
      <c r="F448" s="143" t="s">
        <v>168</v>
      </c>
      <c r="G448" s="14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43" t="s">
        <v>1717</v>
      </c>
      <c r="B449" s="143" t="s">
        <v>962</v>
      </c>
      <c r="C449" s="143" t="s">
        <v>1262</v>
      </c>
      <c r="D449" s="143" t="s">
        <v>1260</v>
      </c>
      <c r="E449" s="149">
        <v>46167.1179720023</v>
      </c>
      <c r="F449" s="143" t="s">
        <v>168</v>
      </c>
      <c r="G449" s="14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43" t="s">
        <v>1718</v>
      </c>
      <c r="B450" s="143" t="s">
        <v>962</v>
      </c>
      <c r="C450" s="143" t="s">
        <v>1264</v>
      </c>
      <c r="D450" s="143" t="s">
        <v>1260</v>
      </c>
      <c r="E450" s="149">
        <v>46167.1179720023</v>
      </c>
      <c r="F450" s="143" t="s">
        <v>168</v>
      </c>
      <c r="G450" s="14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43" t="s">
        <v>1719</v>
      </c>
      <c r="B451" s="143" t="s">
        <v>962</v>
      </c>
      <c r="C451" s="143" t="s">
        <v>1266</v>
      </c>
      <c r="D451" s="143" t="s">
        <v>1260</v>
      </c>
      <c r="E451" s="149">
        <v>46167.1179720023</v>
      </c>
      <c r="F451" s="143" t="s">
        <v>168</v>
      </c>
      <c r="G451" s="14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43" t="s">
        <v>1720</v>
      </c>
      <c r="B452" s="143" t="s">
        <v>962</v>
      </c>
      <c r="C452" s="143" t="s">
        <v>1268</v>
      </c>
      <c r="D452" s="143" t="s">
        <v>1260</v>
      </c>
      <c r="E452" s="149">
        <v>46167.1179720023</v>
      </c>
      <c r="F452" s="143" t="s">
        <v>168</v>
      </c>
      <c r="G452" s="14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43" t="s">
        <v>1721</v>
      </c>
      <c r="B453" s="143" t="s">
        <v>962</v>
      </c>
      <c r="C453" s="143" t="s">
        <v>1274</v>
      </c>
      <c r="D453" s="143" t="s">
        <v>1260</v>
      </c>
      <c r="E453" s="149">
        <v>46167.1179720023</v>
      </c>
      <c r="F453" s="143" t="s">
        <v>168</v>
      </c>
      <c r="G453" s="14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43" t="s">
        <v>1722</v>
      </c>
      <c r="B454" s="143" t="s">
        <v>966</v>
      </c>
      <c r="C454" s="143" t="s">
        <v>1259</v>
      </c>
      <c r="D454" s="143" t="s">
        <v>1260</v>
      </c>
      <c r="E454" s="149">
        <v>46167.1179720023</v>
      </c>
      <c r="F454" s="143" t="s">
        <v>168</v>
      </c>
      <c r="G454" s="14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43" t="s">
        <v>1723</v>
      </c>
      <c r="B455" s="143" t="s">
        <v>966</v>
      </c>
      <c r="C455" s="143" t="s">
        <v>1262</v>
      </c>
      <c r="D455" s="143" t="s">
        <v>1260</v>
      </c>
      <c r="E455" s="149">
        <v>46167.1179720023</v>
      </c>
      <c r="F455" s="143" t="s">
        <v>168</v>
      </c>
      <c r="G455" s="14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43" t="s">
        <v>1724</v>
      </c>
      <c r="B456" s="143" t="s">
        <v>966</v>
      </c>
      <c r="C456" s="143" t="s">
        <v>1264</v>
      </c>
      <c r="D456" s="143" t="s">
        <v>1260</v>
      </c>
      <c r="E456" s="149">
        <v>46167.1179720023</v>
      </c>
      <c r="F456" s="143" t="s">
        <v>168</v>
      </c>
      <c r="G456" s="14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43" t="s">
        <v>1725</v>
      </c>
      <c r="B457" s="143" t="s">
        <v>966</v>
      </c>
      <c r="C457" s="143" t="s">
        <v>1266</v>
      </c>
      <c r="D457" s="143" t="s">
        <v>1260</v>
      </c>
      <c r="E457" s="149">
        <v>46167.1179720023</v>
      </c>
      <c r="F457" s="143" t="s">
        <v>168</v>
      </c>
      <c r="G457" s="14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43" t="s">
        <v>1726</v>
      </c>
      <c r="B458" s="143" t="s">
        <v>966</v>
      </c>
      <c r="C458" s="143" t="s">
        <v>1268</v>
      </c>
      <c r="D458" s="143" t="s">
        <v>1260</v>
      </c>
      <c r="E458" s="149">
        <v>46167.1179720023</v>
      </c>
      <c r="F458" s="143" t="s">
        <v>168</v>
      </c>
      <c r="G458" s="14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43" t="s">
        <v>1727</v>
      </c>
      <c r="B459" s="143" t="s">
        <v>966</v>
      </c>
      <c r="C459" s="143" t="s">
        <v>1270</v>
      </c>
      <c r="D459" s="143" t="s">
        <v>1260</v>
      </c>
      <c r="E459" s="149">
        <v>46167.1179720023</v>
      </c>
      <c r="F459" s="143" t="s">
        <v>168</v>
      </c>
      <c r="G459" s="14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43" t="s">
        <v>1728</v>
      </c>
      <c r="B460" s="143" t="s">
        <v>966</v>
      </c>
      <c r="C460" s="143" t="s">
        <v>1272</v>
      </c>
      <c r="D460" s="143" t="s">
        <v>1260</v>
      </c>
      <c r="E460" s="149">
        <v>46167.1179720023</v>
      </c>
      <c r="F460" s="143" t="s">
        <v>168</v>
      </c>
      <c r="G460" s="14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43" t="s">
        <v>1729</v>
      </c>
      <c r="B461" s="143" t="s">
        <v>968</v>
      </c>
      <c r="C461" s="143" t="s">
        <v>1259</v>
      </c>
      <c r="D461" s="143" t="s">
        <v>1260</v>
      </c>
      <c r="E461" s="149">
        <v>46167.1179720023</v>
      </c>
      <c r="F461" s="143" t="s">
        <v>168</v>
      </c>
      <c r="G461" s="14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43" t="s">
        <v>1730</v>
      </c>
      <c r="B462" s="143" t="s">
        <v>968</v>
      </c>
      <c r="C462" s="143" t="s">
        <v>1262</v>
      </c>
      <c r="D462" s="143" t="s">
        <v>1260</v>
      </c>
      <c r="E462" s="149">
        <v>46167.1179720023</v>
      </c>
      <c r="F462" s="143" t="s">
        <v>168</v>
      </c>
      <c r="G462" s="14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43" t="s">
        <v>1731</v>
      </c>
      <c r="B463" s="143" t="s">
        <v>968</v>
      </c>
      <c r="C463" s="143" t="s">
        <v>1264</v>
      </c>
      <c r="D463" s="143" t="s">
        <v>1260</v>
      </c>
      <c r="E463" s="149">
        <v>46167.1179720023</v>
      </c>
      <c r="F463" s="143" t="s">
        <v>168</v>
      </c>
      <c r="G463" s="14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43" t="s">
        <v>1732</v>
      </c>
      <c r="B464" s="143" t="s">
        <v>968</v>
      </c>
      <c r="C464" s="143" t="s">
        <v>1266</v>
      </c>
      <c r="D464" s="143" t="s">
        <v>1260</v>
      </c>
      <c r="E464" s="149">
        <v>46167.1179720023</v>
      </c>
      <c r="F464" s="143" t="s">
        <v>168</v>
      </c>
      <c r="G464" s="14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43" t="s">
        <v>1733</v>
      </c>
      <c r="B465" s="143" t="s">
        <v>968</v>
      </c>
      <c r="C465" s="143" t="s">
        <v>1268</v>
      </c>
      <c r="D465" s="143" t="s">
        <v>1260</v>
      </c>
      <c r="E465" s="149">
        <v>46167.1179720023</v>
      </c>
      <c r="F465" s="143" t="s">
        <v>168</v>
      </c>
      <c r="G465" s="14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43" t="s">
        <v>1734</v>
      </c>
      <c r="B466" s="143" t="s">
        <v>968</v>
      </c>
      <c r="C466" s="143" t="s">
        <v>1274</v>
      </c>
      <c r="D466" s="143" t="s">
        <v>1260</v>
      </c>
      <c r="E466" s="149">
        <v>46167.1179720023</v>
      </c>
      <c r="F466" s="143" t="s">
        <v>168</v>
      </c>
      <c r="G466" s="14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43" t="s">
        <v>1735</v>
      </c>
      <c r="B467" s="143" t="s">
        <v>970</v>
      </c>
      <c r="C467" s="143" t="s">
        <v>1259</v>
      </c>
      <c r="D467" s="143" t="s">
        <v>1260</v>
      </c>
      <c r="E467" s="149">
        <v>46167.1179720023</v>
      </c>
      <c r="F467" s="143" t="s">
        <v>168</v>
      </c>
      <c r="G467" s="14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43" t="s">
        <v>1736</v>
      </c>
      <c r="B468" s="143" t="s">
        <v>970</v>
      </c>
      <c r="C468" s="143" t="s">
        <v>1262</v>
      </c>
      <c r="D468" s="143" t="s">
        <v>1260</v>
      </c>
      <c r="E468" s="149">
        <v>46167.1179720023</v>
      </c>
      <c r="F468" s="143" t="s">
        <v>168</v>
      </c>
      <c r="G468" s="14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43" t="s">
        <v>1737</v>
      </c>
      <c r="B469" s="143" t="s">
        <v>970</v>
      </c>
      <c r="C469" s="143" t="s">
        <v>1264</v>
      </c>
      <c r="D469" s="143" t="s">
        <v>1260</v>
      </c>
      <c r="E469" s="149">
        <v>46167.1179720023</v>
      </c>
      <c r="F469" s="143" t="s">
        <v>168</v>
      </c>
      <c r="G469" s="14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43" t="s">
        <v>1738</v>
      </c>
      <c r="B470" s="143" t="s">
        <v>970</v>
      </c>
      <c r="C470" s="143" t="s">
        <v>1266</v>
      </c>
      <c r="D470" s="143" t="s">
        <v>1260</v>
      </c>
      <c r="E470" s="149">
        <v>46167.1179720023</v>
      </c>
      <c r="F470" s="143" t="s">
        <v>168</v>
      </c>
      <c r="G470" s="14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43" t="s">
        <v>1739</v>
      </c>
      <c r="B471" s="143" t="s">
        <v>970</v>
      </c>
      <c r="C471" s="143" t="s">
        <v>1268</v>
      </c>
      <c r="D471" s="143" t="s">
        <v>1260</v>
      </c>
      <c r="E471" s="149">
        <v>46167.1179720023</v>
      </c>
      <c r="F471" s="143" t="s">
        <v>168</v>
      </c>
      <c r="G471" s="14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43" t="s">
        <v>1740</v>
      </c>
      <c r="B472" s="143" t="s">
        <v>970</v>
      </c>
      <c r="C472" s="143" t="s">
        <v>1274</v>
      </c>
      <c r="D472" s="143" t="s">
        <v>1260</v>
      </c>
      <c r="E472" s="149">
        <v>46167.1179720023</v>
      </c>
      <c r="F472" s="143" t="s">
        <v>168</v>
      </c>
      <c r="G472" s="14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43" t="s">
        <v>1741</v>
      </c>
      <c r="B473" s="143" t="s">
        <v>970</v>
      </c>
      <c r="C473" s="143" t="s">
        <v>1276</v>
      </c>
      <c r="D473" s="143" t="s">
        <v>1260</v>
      </c>
      <c r="E473" s="149">
        <v>46167.1179720023</v>
      </c>
      <c r="F473" s="143" t="s">
        <v>168</v>
      </c>
      <c r="G473" s="14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43" t="s">
        <v>1742</v>
      </c>
      <c r="B474" s="143" t="s">
        <v>970</v>
      </c>
      <c r="C474" s="143" t="s">
        <v>1284</v>
      </c>
      <c r="D474" s="143" t="s">
        <v>1260</v>
      </c>
      <c r="E474" s="149">
        <v>46167.1179720023</v>
      </c>
      <c r="F474" s="143" t="s">
        <v>168</v>
      </c>
      <c r="G474" s="14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43" t="s">
        <v>1743</v>
      </c>
      <c r="B475" s="143" t="s">
        <v>974</v>
      </c>
      <c r="C475" s="143" t="s">
        <v>1259</v>
      </c>
      <c r="D475" s="143" t="s">
        <v>1260</v>
      </c>
      <c r="E475" s="149">
        <v>46167.1179720023</v>
      </c>
      <c r="F475" s="143" t="s">
        <v>168</v>
      </c>
      <c r="G475" s="14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43" t="s">
        <v>1744</v>
      </c>
      <c r="B476" s="143" t="s">
        <v>974</v>
      </c>
      <c r="C476" s="143" t="s">
        <v>1262</v>
      </c>
      <c r="D476" s="143" t="s">
        <v>1260</v>
      </c>
      <c r="E476" s="149">
        <v>46167.1179720023</v>
      </c>
      <c r="F476" s="143" t="s">
        <v>168</v>
      </c>
      <c r="G476" s="14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43" t="s">
        <v>1745</v>
      </c>
      <c r="B477" s="143" t="s">
        <v>974</v>
      </c>
      <c r="C477" s="143" t="s">
        <v>1264</v>
      </c>
      <c r="D477" s="143" t="s">
        <v>1260</v>
      </c>
      <c r="E477" s="149">
        <v>46167.1179720023</v>
      </c>
      <c r="F477" s="143" t="s">
        <v>168</v>
      </c>
      <c r="G477" s="14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43" t="s">
        <v>1746</v>
      </c>
      <c r="B478" s="143" t="s">
        <v>974</v>
      </c>
      <c r="C478" s="143" t="s">
        <v>1266</v>
      </c>
      <c r="D478" s="143" t="s">
        <v>1260</v>
      </c>
      <c r="E478" s="149">
        <v>46167.1179720023</v>
      </c>
      <c r="F478" s="143" t="s">
        <v>168</v>
      </c>
      <c r="G478" s="14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43" t="s">
        <v>1747</v>
      </c>
      <c r="B479" s="143" t="s">
        <v>974</v>
      </c>
      <c r="C479" s="143" t="s">
        <v>1268</v>
      </c>
      <c r="D479" s="143" t="s">
        <v>1260</v>
      </c>
      <c r="E479" s="149">
        <v>46167.1179720023</v>
      </c>
      <c r="F479" s="143" t="s">
        <v>168</v>
      </c>
      <c r="G479" s="14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43" t="s">
        <v>1748</v>
      </c>
      <c r="B480" s="143" t="s">
        <v>974</v>
      </c>
      <c r="C480" s="143" t="s">
        <v>1274</v>
      </c>
      <c r="D480" s="143" t="s">
        <v>1260</v>
      </c>
      <c r="E480" s="149">
        <v>46167.1179720023</v>
      </c>
      <c r="F480" s="143" t="s">
        <v>168</v>
      </c>
      <c r="G480" s="14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43" t="s">
        <v>1749</v>
      </c>
      <c r="B481" s="143" t="s">
        <v>974</v>
      </c>
      <c r="C481" s="143" t="s">
        <v>1276</v>
      </c>
      <c r="D481" s="143" t="s">
        <v>1260</v>
      </c>
      <c r="E481" s="149">
        <v>46167.1179720023</v>
      </c>
      <c r="F481" s="143" t="s">
        <v>168</v>
      </c>
      <c r="G481" s="14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43" t="s">
        <v>1750</v>
      </c>
      <c r="B482" s="143" t="s">
        <v>974</v>
      </c>
      <c r="C482" s="143" t="s">
        <v>1284</v>
      </c>
      <c r="D482" s="143" t="s">
        <v>1260</v>
      </c>
      <c r="E482" s="149">
        <v>46167.1179720023</v>
      </c>
      <c r="F482" s="143" t="s">
        <v>168</v>
      </c>
      <c r="G482" s="14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43" t="s">
        <v>1751</v>
      </c>
      <c r="B483" s="143" t="s">
        <v>978</v>
      </c>
      <c r="C483" s="143" t="s">
        <v>1259</v>
      </c>
      <c r="D483" s="143" t="s">
        <v>1260</v>
      </c>
      <c r="E483" s="149">
        <v>46167.1179720023</v>
      </c>
      <c r="F483" s="143" t="s">
        <v>168</v>
      </c>
      <c r="G483" s="14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43" t="s">
        <v>1752</v>
      </c>
      <c r="B484" s="143" t="s">
        <v>978</v>
      </c>
      <c r="C484" s="143" t="s">
        <v>1262</v>
      </c>
      <c r="D484" s="143" t="s">
        <v>1260</v>
      </c>
      <c r="E484" s="149">
        <v>46167.1179720023</v>
      </c>
      <c r="F484" s="143" t="s">
        <v>168</v>
      </c>
      <c r="G484" s="14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43" t="s">
        <v>1753</v>
      </c>
      <c r="B485" s="143" t="s">
        <v>978</v>
      </c>
      <c r="C485" s="143" t="s">
        <v>1264</v>
      </c>
      <c r="D485" s="143" t="s">
        <v>1260</v>
      </c>
      <c r="E485" s="149">
        <v>46167.1179720023</v>
      </c>
      <c r="F485" s="143" t="s">
        <v>168</v>
      </c>
      <c r="G485" s="14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43" t="s">
        <v>1754</v>
      </c>
      <c r="B486" s="143" t="s">
        <v>978</v>
      </c>
      <c r="C486" s="143" t="s">
        <v>1266</v>
      </c>
      <c r="D486" s="143" t="s">
        <v>1260</v>
      </c>
      <c r="E486" s="149">
        <v>46167.1179720023</v>
      </c>
      <c r="F486" s="143" t="s">
        <v>168</v>
      </c>
      <c r="G486" s="14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43" t="s">
        <v>1755</v>
      </c>
      <c r="B487" s="143" t="s">
        <v>978</v>
      </c>
      <c r="C487" s="143" t="s">
        <v>1268</v>
      </c>
      <c r="D487" s="143" t="s">
        <v>1260</v>
      </c>
      <c r="E487" s="149">
        <v>46167.1179720023</v>
      </c>
      <c r="F487" s="143" t="s">
        <v>168</v>
      </c>
      <c r="G487" s="14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43" t="s">
        <v>1756</v>
      </c>
      <c r="B488" s="143" t="s">
        <v>978</v>
      </c>
      <c r="C488" s="143" t="s">
        <v>1270</v>
      </c>
      <c r="D488" s="143" t="s">
        <v>1260</v>
      </c>
      <c r="E488" s="149">
        <v>46167.1179720023</v>
      </c>
      <c r="F488" s="143" t="s">
        <v>168</v>
      </c>
      <c r="G488" s="14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43" t="s">
        <v>1757</v>
      </c>
      <c r="B489" s="143" t="s">
        <v>978</v>
      </c>
      <c r="C489" s="143" t="s">
        <v>1272</v>
      </c>
      <c r="D489" s="143" t="s">
        <v>1260</v>
      </c>
      <c r="E489" s="149">
        <v>46167.1179720023</v>
      </c>
      <c r="F489" s="143" t="s">
        <v>168</v>
      </c>
      <c r="G489" s="14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43" t="s">
        <v>1758</v>
      </c>
      <c r="B490" s="143" t="s">
        <v>978</v>
      </c>
      <c r="C490" s="143" t="s">
        <v>1274</v>
      </c>
      <c r="D490" s="143" t="s">
        <v>1260</v>
      </c>
      <c r="E490" s="149">
        <v>46167.1179720023</v>
      </c>
      <c r="F490" s="143" t="s">
        <v>168</v>
      </c>
      <c r="G490" s="14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43" t="s">
        <v>1759</v>
      </c>
      <c r="B491" s="143" t="s">
        <v>984</v>
      </c>
      <c r="C491" s="143" t="s">
        <v>1259</v>
      </c>
      <c r="D491" s="143" t="s">
        <v>1260</v>
      </c>
      <c r="E491" s="149">
        <v>46167.1179720023</v>
      </c>
      <c r="F491" s="143" t="s">
        <v>168</v>
      </c>
      <c r="G491" s="14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43" t="s">
        <v>1760</v>
      </c>
      <c r="B492" s="143" t="s">
        <v>984</v>
      </c>
      <c r="C492" s="143" t="s">
        <v>1262</v>
      </c>
      <c r="D492" s="143" t="s">
        <v>1260</v>
      </c>
      <c r="E492" s="149">
        <v>46167.1179720023</v>
      </c>
      <c r="F492" s="143" t="s">
        <v>168</v>
      </c>
      <c r="G492" s="14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43" t="s">
        <v>1761</v>
      </c>
      <c r="B493" s="143" t="s">
        <v>984</v>
      </c>
      <c r="C493" s="143" t="s">
        <v>1264</v>
      </c>
      <c r="D493" s="143" t="s">
        <v>1260</v>
      </c>
      <c r="E493" s="149">
        <v>46167.1179720023</v>
      </c>
      <c r="F493" s="143" t="s">
        <v>168</v>
      </c>
      <c r="G493" s="14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43" t="s">
        <v>1762</v>
      </c>
      <c r="B494" s="143" t="s">
        <v>984</v>
      </c>
      <c r="C494" s="143" t="s">
        <v>1266</v>
      </c>
      <c r="D494" s="143" t="s">
        <v>1260</v>
      </c>
      <c r="E494" s="149">
        <v>46167.1179720023</v>
      </c>
      <c r="F494" s="143" t="s">
        <v>168</v>
      </c>
      <c r="G494" s="14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43" t="s">
        <v>1763</v>
      </c>
      <c r="B495" s="143" t="s">
        <v>984</v>
      </c>
      <c r="C495" s="143" t="s">
        <v>1268</v>
      </c>
      <c r="D495" s="143" t="s">
        <v>1260</v>
      </c>
      <c r="E495" s="149">
        <v>46167.1179720023</v>
      </c>
      <c r="F495" s="143" t="s">
        <v>168</v>
      </c>
      <c r="G495" s="14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43" t="s">
        <v>1764</v>
      </c>
      <c r="B496" s="143" t="s">
        <v>984</v>
      </c>
      <c r="C496" s="143" t="s">
        <v>1276</v>
      </c>
      <c r="D496" s="143" t="s">
        <v>1260</v>
      </c>
      <c r="E496" s="149">
        <v>46167.1179720023</v>
      </c>
      <c r="F496" s="143" t="s">
        <v>168</v>
      </c>
      <c r="G496" s="14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43" t="s">
        <v>1765</v>
      </c>
      <c r="B497" s="143" t="s">
        <v>984</v>
      </c>
      <c r="C497" s="143" t="s">
        <v>1284</v>
      </c>
      <c r="D497" s="143" t="s">
        <v>1260</v>
      </c>
      <c r="E497" s="149">
        <v>46167.1179720023</v>
      </c>
      <c r="F497" s="143" t="s">
        <v>168</v>
      </c>
      <c r="G497" s="14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43" t="s">
        <v>1766</v>
      </c>
      <c r="B498" s="143" t="s">
        <v>987</v>
      </c>
      <c r="C498" s="143" t="s">
        <v>1259</v>
      </c>
      <c r="D498" s="143" t="s">
        <v>1260</v>
      </c>
      <c r="E498" s="149">
        <v>46167.1179720023</v>
      </c>
      <c r="F498" s="143" t="s">
        <v>168</v>
      </c>
      <c r="G498" s="14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43" t="s">
        <v>1767</v>
      </c>
      <c r="B499" s="143" t="s">
        <v>987</v>
      </c>
      <c r="C499" s="143" t="s">
        <v>1262</v>
      </c>
      <c r="D499" s="143" t="s">
        <v>1260</v>
      </c>
      <c r="E499" s="149">
        <v>46167.1179720023</v>
      </c>
      <c r="F499" s="143" t="s">
        <v>168</v>
      </c>
      <c r="G499" s="14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43" t="s">
        <v>1768</v>
      </c>
      <c r="B500" s="143" t="s">
        <v>987</v>
      </c>
      <c r="C500" s="143" t="s">
        <v>1264</v>
      </c>
      <c r="D500" s="143" t="s">
        <v>1260</v>
      </c>
      <c r="E500" s="149">
        <v>46167.1179720023</v>
      </c>
      <c r="F500" s="143" t="s">
        <v>168</v>
      </c>
      <c r="G500" s="14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43" t="s">
        <v>1769</v>
      </c>
      <c r="B501" s="143" t="s">
        <v>987</v>
      </c>
      <c r="C501" s="143" t="s">
        <v>1266</v>
      </c>
      <c r="D501" s="143" t="s">
        <v>1260</v>
      </c>
      <c r="E501" s="149">
        <v>46167.1179720023</v>
      </c>
      <c r="F501" s="143" t="s">
        <v>168</v>
      </c>
      <c r="G501" s="14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43" t="s">
        <v>1770</v>
      </c>
      <c r="B502" s="143" t="s">
        <v>987</v>
      </c>
      <c r="C502" s="143" t="s">
        <v>1268</v>
      </c>
      <c r="D502" s="143" t="s">
        <v>1260</v>
      </c>
      <c r="E502" s="149">
        <v>46167.1179720023</v>
      </c>
      <c r="F502" s="143" t="s">
        <v>168</v>
      </c>
      <c r="G502" s="14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43" t="s">
        <v>1771</v>
      </c>
      <c r="B503" s="143" t="s">
        <v>987</v>
      </c>
      <c r="C503" s="143" t="s">
        <v>1274</v>
      </c>
      <c r="D503" s="143" t="s">
        <v>1260</v>
      </c>
      <c r="E503" s="149">
        <v>46167.1179720023</v>
      </c>
      <c r="F503" s="143" t="s">
        <v>168</v>
      </c>
      <c r="G503" s="14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43" t="s">
        <v>1772</v>
      </c>
      <c r="B504" s="143" t="s">
        <v>987</v>
      </c>
      <c r="C504" s="143" t="s">
        <v>1276</v>
      </c>
      <c r="D504" s="143" t="s">
        <v>1260</v>
      </c>
      <c r="E504" s="149">
        <v>46167.1179720023</v>
      </c>
      <c r="F504" s="143" t="s">
        <v>168</v>
      </c>
      <c r="G504" s="14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43" t="s">
        <v>1773</v>
      </c>
      <c r="B505" s="143" t="s">
        <v>987</v>
      </c>
      <c r="C505" s="143" t="s">
        <v>1284</v>
      </c>
      <c r="D505" s="143" t="s">
        <v>1260</v>
      </c>
      <c r="E505" s="149">
        <v>46167.1179720023</v>
      </c>
      <c r="F505" s="143" t="s">
        <v>168</v>
      </c>
      <c r="G505" s="14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43" t="s">
        <v>1774</v>
      </c>
      <c r="B506" s="143" t="s">
        <v>989</v>
      </c>
      <c r="C506" s="143" t="s">
        <v>1259</v>
      </c>
      <c r="D506" s="143" t="s">
        <v>1260</v>
      </c>
      <c r="E506" s="149">
        <v>46167.1179720023</v>
      </c>
      <c r="F506" s="143" t="s">
        <v>168</v>
      </c>
      <c r="G506" s="14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43" t="s">
        <v>1775</v>
      </c>
      <c r="B507" s="143" t="s">
        <v>989</v>
      </c>
      <c r="C507" s="143" t="s">
        <v>1262</v>
      </c>
      <c r="D507" s="143" t="s">
        <v>1260</v>
      </c>
      <c r="E507" s="149">
        <v>46167.1179720023</v>
      </c>
      <c r="F507" s="143" t="s">
        <v>168</v>
      </c>
      <c r="G507" s="14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43" t="s">
        <v>1776</v>
      </c>
      <c r="B508" s="143" t="s">
        <v>989</v>
      </c>
      <c r="C508" s="143" t="s">
        <v>1264</v>
      </c>
      <c r="D508" s="143" t="s">
        <v>1260</v>
      </c>
      <c r="E508" s="149">
        <v>46167.1179720023</v>
      </c>
      <c r="F508" s="143" t="s">
        <v>168</v>
      </c>
      <c r="G508" s="14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43" t="s">
        <v>1777</v>
      </c>
      <c r="B509" s="143" t="s">
        <v>989</v>
      </c>
      <c r="C509" s="143" t="s">
        <v>1266</v>
      </c>
      <c r="D509" s="143" t="s">
        <v>1260</v>
      </c>
      <c r="E509" s="149">
        <v>46167.1179720023</v>
      </c>
      <c r="F509" s="143" t="s">
        <v>168</v>
      </c>
      <c r="G509" s="14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43" t="s">
        <v>1778</v>
      </c>
      <c r="B510" s="143" t="s">
        <v>989</v>
      </c>
      <c r="C510" s="143" t="s">
        <v>1268</v>
      </c>
      <c r="D510" s="143" t="s">
        <v>1260</v>
      </c>
      <c r="E510" s="149">
        <v>46167.1179720023</v>
      </c>
      <c r="F510" s="143" t="s">
        <v>168</v>
      </c>
      <c r="G510" s="14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43" t="s">
        <v>1779</v>
      </c>
      <c r="B511" s="143" t="s">
        <v>989</v>
      </c>
      <c r="C511" s="143" t="s">
        <v>1274</v>
      </c>
      <c r="D511" s="143" t="s">
        <v>1260</v>
      </c>
      <c r="E511" s="149">
        <v>46167.1179720023</v>
      </c>
      <c r="F511" s="143" t="s">
        <v>168</v>
      </c>
      <c r="G511" s="14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43" t="s">
        <v>1780</v>
      </c>
      <c r="B512" s="143" t="s">
        <v>989</v>
      </c>
      <c r="C512" s="143" t="s">
        <v>1284</v>
      </c>
      <c r="D512" s="143" t="s">
        <v>1260</v>
      </c>
      <c r="E512" s="149">
        <v>46167.1179720023</v>
      </c>
      <c r="F512" s="143" t="s">
        <v>168</v>
      </c>
      <c r="G512" s="14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43" t="s">
        <v>1781</v>
      </c>
      <c r="B513" s="143" t="s">
        <v>991</v>
      </c>
      <c r="C513" s="143" t="s">
        <v>1259</v>
      </c>
      <c r="D513" s="143" t="s">
        <v>1260</v>
      </c>
      <c r="E513" s="149">
        <v>46167.1179720023</v>
      </c>
      <c r="F513" s="143" t="s">
        <v>168</v>
      </c>
      <c r="G513" s="14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43" t="s">
        <v>1782</v>
      </c>
      <c r="B514" s="143" t="s">
        <v>991</v>
      </c>
      <c r="C514" s="143" t="s">
        <v>1262</v>
      </c>
      <c r="D514" s="143" t="s">
        <v>1260</v>
      </c>
      <c r="E514" s="149">
        <v>46167.1179720023</v>
      </c>
      <c r="F514" s="143" t="s">
        <v>168</v>
      </c>
      <c r="G514" s="14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43" t="s">
        <v>1783</v>
      </c>
      <c r="B515" s="143" t="s">
        <v>991</v>
      </c>
      <c r="C515" s="143" t="s">
        <v>1264</v>
      </c>
      <c r="D515" s="143" t="s">
        <v>1260</v>
      </c>
      <c r="E515" s="149">
        <v>46167.1179720023</v>
      </c>
      <c r="F515" s="143" t="s">
        <v>168</v>
      </c>
      <c r="G515" s="14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43" t="s">
        <v>1784</v>
      </c>
      <c r="B516" s="143" t="s">
        <v>991</v>
      </c>
      <c r="C516" s="143" t="s">
        <v>1268</v>
      </c>
      <c r="D516" s="143" t="s">
        <v>1260</v>
      </c>
      <c r="E516" s="149">
        <v>46167.1179720023</v>
      </c>
      <c r="F516" s="143" t="s">
        <v>168</v>
      </c>
      <c r="G516" s="14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43" t="s">
        <v>1785</v>
      </c>
      <c r="B517" s="143" t="s">
        <v>991</v>
      </c>
      <c r="C517" s="143" t="s">
        <v>1274</v>
      </c>
      <c r="D517" s="143" t="s">
        <v>1260</v>
      </c>
      <c r="E517" s="149">
        <v>46167.1179720023</v>
      </c>
      <c r="F517" s="143" t="s">
        <v>168</v>
      </c>
      <c r="G517" s="14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43" t="s">
        <v>1786</v>
      </c>
      <c r="B518" s="143" t="s">
        <v>992</v>
      </c>
      <c r="C518" s="143" t="s">
        <v>1259</v>
      </c>
      <c r="D518" s="143" t="s">
        <v>1260</v>
      </c>
      <c r="E518" s="149">
        <v>46167.1179720023</v>
      </c>
      <c r="F518" s="143" t="s">
        <v>168</v>
      </c>
      <c r="G518" s="14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43" t="s">
        <v>1787</v>
      </c>
      <c r="B519" s="143" t="s">
        <v>992</v>
      </c>
      <c r="C519" s="143" t="s">
        <v>1262</v>
      </c>
      <c r="D519" s="143" t="s">
        <v>1260</v>
      </c>
      <c r="E519" s="149">
        <v>46167.1179720023</v>
      </c>
      <c r="F519" s="143" t="s">
        <v>168</v>
      </c>
      <c r="G519" s="14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43" t="s">
        <v>1788</v>
      </c>
      <c r="B520" s="143" t="s">
        <v>992</v>
      </c>
      <c r="C520" s="143" t="s">
        <v>1264</v>
      </c>
      <c r="D520" s="143" t="s">
        <v>1260</v>
      </c>
      <c r="E520" s="149">
        <v>46167.1179720023</v>
      </c>
      <c r="F520" s="143" t="s">
        <v>168</v>
      </c>
      <c r="G520" s="14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43" t="s">
        <v>1789</v>
      </c>
      <c r="B521" s="143" t="s">
        <v>992</v>
      </c>
      <c r="C521" s="143" t="s">
        <v>1266</v>
      </c>
      <c r="D521" s="143" t="s">
        <v>1260</v>
      </c>
      <c r="E521" s="149">
        <v>46167.1179720023</v>
      </c>
      <c r="F521" s="143" t="s">
        <v>168</v>
      </c>
      <c r="G521" s="14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43" t="s">
        <v>1790</v>
      </c>
      <c r="B522" s="143" t="s">
        <v>992</v>
      </c>
      <c r="C522" s="143" t="s">
        <v>1268</v>
      </c>
      <c r="D522" s="143" t="s">
        <v>1260</v>
      </c>
      <c r="E522" s="149">
        <v>46167.1179720023</v>
      </c>
      <c r="F522" s="143" t="s">
        <v>168</v>
      </c>
      <c r="G522" s="14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43" t="s">
        <v>1791</v>
      </c>
      <c r="B523" s="143" t="s">
        <v>992</v>
      </c>
      <c r="C523" s="143" t="s">
        <v>1274</v>
      </c>
      <c r="D523" s="143" t="s">
        <v>1260</v>
      </c>
      <c r="E523" s="149">
        <v>46167.1179720023</v>
      </c>
      <c r="F523" s="143" t="s">
        <v>168</v>
      </c>
      <c r="G523" s="14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43" t="s">
        <v>1792</v>
      </c>
      <c r="B524" s="143" t="s">
        <v>993</v>
      </c>
      <c r="C524" s="143" t="s">
        <v>1259</v>
      </c>
      <c r="D524" s="143" t="s">
        <v>1260</v>
      </c>
      <c r="E524" s="149">
        <v>46167.1179720023</v>
      </c>
      <c r="F524" s="143" t="s">
        <v>168</v>
      </c>
      <c r="G524" s="14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43" t="s">
        <v>1793</v>
      </c>
      <c r="B525" s="143" t="s">
        <v>993</v>
      </c>
      <c r="C525" s="143" t="s">
        <v>1262</v>
      </c>
      <c r="D525" s="143" t="s">
        <v>1260</v>
      </c>
      <c r="E525" s="149">
        <v>46167.1179720023</v>
      </c>
      <c r="F525" s="143" t="s">
        <v>168</v>
      </c>
      <c r="G525" s="14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43" t="s">
        <v>1794</v>
      </c>
      <c r="B526" s="143" t="s">
        <v>993</v>
      </c>
      <c r="C526" s="143" t="s">
        <v>1264</v>
      </c>
      <c r="D526" s="143" t="s">
        <v>1260</v>
      </c>
      <c r="E526" s="149">
        <v>46167.1179720023</v>
      </c>
      <c r="F526" s="143" t="s">
        <v>168</v>
      </c>
      <c r="G526" s="14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43" t="s">
        <v>1795</v>
      </c>
      <c r="B527" s="143" t="s">
        <v>993</v>
      </c>
      <c r="C527" s="143" t="s">
        <v>1266</v>
      </c>
      <c r="D527" s="143" t="s">
        <v>1260</v>
      </c>
      <c r="E527" s="149">
        <v>46167.1179720023</v>
      </c>
      <c r="F527" s="143" t="s">
        <v>168</v>
      </c>
      <c r="G527" s="14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43" t="s">
        <v>1796</v>
      </c>
      <c r="B528" s="143" t="s">
        <v>993</v>
      </c>
      <c r="C528" s="143" t="s">
        <v>1268</v>
      </c>
      <c r="D528" s="143" t="s">
        <v>1260</v>
      </c>
      <c r="E528" s="149">
        <v>46167.1179720023</v>
      </c>
      <c r="F528" s="143" t="s">
        <v>168</v>
      </c>
      <c r="G528" s="14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43" t="s">
        <v>1797</v>
      </c>
      <c r="B529" s="143" t="s">
        <v>993</v>
      </c>
      <c r="C529" s="143" t="s">
        <v>1270</v>
      </c>
      <c r="D529" s="143" t="s">
        <v>1260</v>
      </c>
      <c r="E529" s="149">
        <v>46167.1179720023</v>
      </c>
      <c r="F529" s="143" t="s">
        <v>168</v>
      </c>
      <c r="G529" s="14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43" t="s">
        <v>1798</v>
      </c>
      <c r="B530" s="143" t="s">
        <v>993</v>
      </c>
      <c r="C530" s="143" t="s">
        <v>1272</v>
      </c>
      <c r="D530" s="143" t="s">
        <v>1260</v>
      </c>
      <c r="E530" s="149">
        <v>46167.1179720023</v>
      </c>
      <c r="F530" s="143" t="s">
        <v>168</v>
      </c>
      <c r="G530" s="14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43" t="s">
        <v>1799</v>
      </c>
      <c r="B531" s="143" t="s">
        <v>996</v>
      </c>
      <c r="C531" s="143" t="s">
        <v>1259</v>
      </c>
      <c r="D531" s="143" t="s">
        <v>1260</v>
      </c>
      <c r="E531" s="149">
        <v>46167.1179720023</v>
      </c>
      <c r="F531" s="143" t="s">
        <v>168</v>
      </c>
      <c r="G531" s="14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43" t="s">
        <v>1800</v>
      </c>
      <c r="B532" s="143" t="s">
        <v>996</v>
      </c>
      <c r="C532" s="143" t="s">
        <v>1262</v>
      </c>
      <c r="D532" s="143" t="s">
        <v>1260</v>
      </c>
      <c r="E532" s="149">
        <v>46167.1179720023</v>
      </c>
      <c r="F532" s="143" t="s">
        <v>168</v>
      </c>
      <c r="G532" s="14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43" t="s">
        <v>1801</v>
      </c>
      <c r="B533" s="143" t="s">
        <v>996</v>
      </c>
      <c r="C533" s="143" t="s">
        <v>1264</v>
      </c>
      <c r="D533" s="143" t="s">
        <v>1260</v>
      </c>
      <c r="E533" s="149">
        <v>46167.1179720023</v>
      </c>
      <c r="F533" s="143" t="s">
        <v>168</v>
      </c>
      <c r="G533" s="14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43" t="s">
        <v>1802</v>
      </c>
      <c r="B534" s="143" t="s">
        <v>996</v>
      </c>
      <c r="C534" s="143" t="s">
        <v>1266</v>
      </c>
      <c r="D534" s="143" t="s">
        <v>1260</v>
      </c>
      <c r="E534" s="149">
        <v>46167.1179720023</v>
      </c>
      <c r="F534" s="143" t="s">
        <v>168</v>
      </c>
      <c r="G534" s="14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43" t="s">
        <v>1803</v>
      </c>
      <c r="B535" s="143" t="s">
        <v>996</v>
      </c>
      <c r="C535" s="143" t="s">
        <v>1268</v>
      </c>
      <c r="D535" s="143" t="s">
        <v>1260</v>
      </c>
      <c r="E535" s="149">
        <v>46167.1179720023</v>
      </c>
      <c r="F535" s="143" t="s">
        <v>168</v>
      </c>
      <c r="G535" s="14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43" t="s">
        <v>1804</v>
      </c>
      <c r="B536" s="143" t="s">
        <v>996</v>
      </c>
      <c r="C536" s="143" t="s">
        <v>1274</v>
      </c>
      <c r="D536" s="143" t="s">
        <v>1260</v>
      </c>
      <c r="E536" s="149">
        <v>46167.1179720023</v>
      </c>
      <c r="F536" s="143" t="s">
        <v>168</v>
      </c>
      <c r="G536" s="14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43" t="s">
        <v>1805</v>
      </c>
      <c r="B537" s="143" t="s">
        <v>999</v>
      </c>
      <c r="C537" s="143" t="s">
        <v>1259</v>
      </c>
      <c r="D537" s="143" t="s">
        <v>1260</v>
      </c>
      <c r="E537" s="149">
        <v>46167.1179720023</v>
      </c>
      <c r="F537" s="143" t="s">
        <v>168</v>
      </c>
      <c r="G537" s="14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43" t="s">
        <v>1806</v>
      </c>
      <c r="B538" s="143" t="s">
        <v>999</v>
      </c>
      <c r="C538" s="143" t="s">
        <v>1262</v>
      </c>
      <c r="D538" s="143" t="s">
        <v>1260</v>
      </c>
      <c r="E538" s="149">
        <v>46167.1179720023</v>
      </c>
      <c r="F538" s="143" t="s">
        <v>168</v>
      </c>
      <c r="G538" s="14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43" t="s">
        <v>1807</v>
      </c>
      <c r="B539" s="143" t="s">
        <v>999</v>
      </c>
      <c r="C539" s="143" t="s">
        <v>1264</v>
      </c>
      <c r="D539" s="143" t="s">
        <v>1260</v>
      </c>
      <c r="E539" s="149">
        <v>46167.1179720023</v>
      </c>
      <c r="F539" s="143" t="s">
        <v>168</v>
      </c>
      <c r="G539" s="14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43" t="s">
        <v>1808</v>
      </c>
      <c r="B540" s="143" t="s">
        <v>999</v>
      </c>
      <c r="C540" s="143" t="s">
        <v>1266</v>
      </c>
      <c r="D540" s="143" t="s">
        <v>1260</v>
      </c>
      <c r="E540" s="149">
        <v>46167.1179720023</v>
      </c>
      <c r="F540" s="143" t="s">
        <v>168</v>
      </c>
      <c r="G540" s="14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43" t="s">
        <v>1809</v>
      </c>
      <c r="B541" s="143" t="s">
        <v>999</v>
      </c>
      <c r="C541" s="143" t="s">
        <v>1268</v>
      </c>
      <c r="D541" s="143" t="s">
        <v>1260</v>
      </c>
      <c r="E541" s="149">
        <v>46167.1179720023</v>
      </c>
      <c r="F541" s="143" t="s">
        <v>168</v>
      </c>
      <c r="G541" s="14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43" t="s">
        <v>1810</v>
      </c>
      <c r="B542" s="143" t="s">
        <v>999</v>
      </c>
      <c r="C542" s="143" t="s">
        <v>1274</v>
      </c>
      <c r="D542" s="143" t="s">
        <v>1260</v>
      </c>
      <c r="E542" s="149">
        <v>46167.1179720023</v>
      </c>
      <c r="F542" s="143" t="s">
        <v>168</v>
      </c>
      <c r="G542" s="14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43" t="s">
        <v>1811</v>
      </c>
      <c r="B543" s="143" t="s">
        <v>1001</v>
      </c>
      <c r="C543" s="143" t="s">
        <v>1259</v>
      </c>
      <c r="D543" s="143" t="s">
        <v>1260</v>
      </c>
      <c r="E543" s="149">
        <v>46167.1179720023</v>
      </c>
      <c r="F543" s="143" t="s">
        <v>168</v>
      </c>
      <c r="G543" s="14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43" t="s">
        <v>1812</v>
      </c>
      <c r="B544" s="143" t="s">
        <v>1001</v>
      </c>
      <c r="C544" s="143" t="s">
        <v>1262</v>
      </c>
      <c r="D544" s="143" t="s">
        <v>1260</v>
      </c>
      <c r="E544" s="149">
        <v>46167.1179720023</v>
      </c>
      <c r="F544" s="143" t="s">
        <v>168</v>
      </c>
      <c r="G544" s="14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43" t="s">
        <v>1813</v>
      </c>
      <c r="B545" s="143" t="s">
        <v>1001</v>
      </c>
      <c r="C545" s="143" t="s">
        <v>1264</v>
      </c>
      <c r="D545" s="143" t="s">
        <v>1260</v>
      </c>
      <c r="E545" s="149">
        <v>46167.1179720023</v>
      </c>
      <c r="F545" s="143" t="s">
        <v>168</v>
      </c>
      <c r="G545" s="14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43" t="s">
        <v>1814</v>
      </c>
      <c r="B546" s="143" t="s">
        <v>1001</v>
      </c>
      <c r="C546" s="143" t="s">
        <v>1266</v>
      </c>
      <c r="D546" s="143" t="s">
        <v>1260</v>
      </c>
      <c r="E546" s="149">
        <v>46167.1179720023</v>
      </c>
      <c r="F546" s="143" t="s">
        <v>168</v>
      </c>
      <c r="G546" s="14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43" t="s">
        <v>1815</v>
      </c>
      <c r="B547" s="143" t="s">
        <v>1001</v>
      </c>
      <c r="C547" s="143" t="s">
        <v>1268</v>
      </c>
      <c r="D547" s="143" t="s">
        <v>1260</v>
      </c>
      <c r="E547" s="149">
        <v>46167.1179720023</v>
      </c>
      <c r="F547" s="143" t="s">
        <v>168</v>
      </c>
      <c r="G547" s="14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43" t="s">
        <v>1816</v>
      </c>
      <c r="B548" s="143" t="s">
        <v>1001</v>
      </c>
      <c r="C548" s="143" t="s">
        <v>1270</v>
      </c>
      <c r="D548" s="143" t="s">
        <v>1260</v>
      </c>
      <c r="E548" s="149">
        <v>46167.1179720023</v>
      </c>
      <c r="F548" s="143" t="s">
        <v>168</v>
      </c>
      <c r="G548" s="14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43" t="s">
        <v>1817</v>
      </c>
      <c r="B549" s="143" t="s">
        <v>1001</v>
      </c>
      <c r="C549" s="143" t="s">
        <v>1272</v>
      </c>
      <c r="D549" s="143" t="s">
        <v>1260</v>
      </c>
      <c r="E549" s="149">
        <v>46167.1179720023</v>
      </c>
      <c r="F549" s="143" t="s">
        <v>168</v>
      </c>
      <c r="G549" s="14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43" t="s">
        <v>1818</v>
      </c>
      <c r="B550" s="143" t="s">
        <v>1001</v>
      </c>
      <c r="C550" s="143" t="s">
        <v>1274</v>
      </c>
      <c r="D550" s="143" t="s">
        <v>1260</v>
      </c>
      <c r="E550" s="149">
        <v>46167.1179720023</v>
      </c>
      <c r="F550" s="143" t="s">
        <v>168</v>
      </c>
      <c r="G550" s="14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43" t="s">
        <v>1819</v>
      </c>
      <c r="B551" s="143" t="s">
        <v>1001</v>
      </c>
      <c r="C551" s="143" t="s">
        <v>1276</v>
      </c>
      <c r="D551" s="143" t="s">
        <v>1260</v>
      </c>
      <c r="E551" s="149">
        <v>46167.1179720023</v>
      </c>
      <c r="F551" s="143" t="s">
        <v>168</v>
      </c>
      <c r="G551" s="14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43" t="s">
        <v>1820</v>
      </c>
      <c r="B552" s="143" t="s">
        <v>1001</v>
      </c>
      <c r="C552" s="143" t="s">
        <v>1284</v>
      </c>
      <c r="D552" s="143" t="s">
        <v>1260</v>
      </c>
      <c r="E552" s="149">
        <v>46167.1179720023</v>
      </c>
      <c r="F552" s="143" t="s">
        <v>168</v>
      </c>
      <c r="G552" s="14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43" t="s">
        <v>1821</v>
      </c>
      <c r="B553" s="143" t="s">
        <v>1001</v>
      </c>
      <c r="C553" s="143" t="s">
        <v>1822</v>
      </c>
      <c r="D553" s="143" t="s">
        <v>1260</v>
      </c>
      <c r="E553" s="149">
        <v>46167.1179720023</v>
      </c>
      <c r="F553" s="143" t="s">
        <v>168</v>
      </c>
      <c r="G553" s="14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43" t="s">
        <v>1823</v>
      </c>
      <c r="B554" s="143" t="s">
        <v>1001</v>
      </c>
      <c r="C554" s="143" t="s">
        <v>1824</v>
      </c>
      <c r="D554" s="143" t="s">
        <v>1260</v>
      </c>
      <c r="E554" s="149">
        <v>46167.1179720023</v>
      </c>
      <c r="F554" s="143" t="s">
        <v>168</v>
      </c>
      <c r="G554" s="14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43" t="s">
        <v>1825</v>
      </c>
      <c r="B555" s="143" t="s">
        <v>1009</v>
      </c>
      <c r="C555" s="143" t="s">
        <v>1259</v>
      </c>
      <c r="D555" s="143" t="s">
        <v>1260</v>
      </c>
      <c r="E555" s="149">
        <v>46167.1179720023</v>
      </c>
      <c r="F555" s="143" t="s">
        <v>168</v>
      </c>
      <c r="G555" s="14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43" t="s">
        <v>1826</v>
      </c>
      <c r="B556" s="143" t="s">
        <v>1009</v>
      </c>
      <c r="C556" s="143" t="s">
        <v>1262</v>
      </c>
      <c r="D556" s="143" t="s">
        <v>1260</v>
      </c>
      <c r="E556" s="149">
        <v>46167.1179720023</v>
      </c>
      <c r="F556" s="143" t="s">
        <v>168</v>
      </c>
      <c r="G556" s="14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43" t="s">
        <v>1827</v>
      </c>
      <c r="B557" s="143" t="s">
        <v>1009</v>
      </c>
      <c r="C557" s="143" t="s">
        <v>1264</v>
      </c>
      <c r="D557" s="143" t="s">
        <v>1260</v>
      </c>
      <c r="E557" s="149">
        <v>46167.1179720023</v>
      </c>
      <c r="F557" s="143" t="s">
        <v>168</v>
      </c>
      <c r="G557" s="14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43" t="s">
        <v>1828</v>
      </c>
      <c r="B558" s="143" t="s">
        <v>1009</v>
      </c>
      <c r="C558" s="143" t="s">
        <v>1266</v>
      </c>
      <c r="D558" s="143" t="s">
        <v>1260</v>
      </c>
      <c r="E558" s="149">
        <v>46167.1179720023</v>
      </c>
      <c r="F558" s="143" t="s">
        <v>168</v>
      </c>
      <c r="G558" s="14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43" t="s">
        <v>1829</v>
      </c>
      <c r="B559" s="143" t="s">
        <v>1009</v>
      </c>
      <c r="C559" s="143" t="s">
        <v>1268</v>
      </c>
      <c r="D559" s="143" t="s">
        <v>1260</v>
      </c>
      <c r="E559" s="149">
        <v>46167.1179720023</v>
      </c>
      <c r="F559" s="143" t="s">
        <v>168</v>
      </c>
      <c r="G559" s="14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43" t="s">
        <v>1830</v>
      </c>
      <c r="B560" s="143" t="s">
        <v>1009</v>
      </c>
      <c r="C560" s="143" t="s">
        <v>1276</v>
      </c>
      <c r="D560" s="143" t="s">
        <v>1260</v>
      </c>
      <c r="E560" s="149">
        <v>46167.1179720023</v>
      </c>
      <c r="F560" s="143" t="s">
        <v>168</v>
      </c>
      <c r="G560" s="14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43" t="s">
        <v>1831</v>
      </c>
      <c r="B561" s="143" t="s">
        <v>1009</v>
      </c>
      <c r="C561" s="143" t="s">
        <v>1284</v>
      </c>
      <c r="D561" s="143" t="s">
        <v>1260</v>
      </c>
      <c r="E561" s="149">
        <v>46167.1179720023</v>
      </c>
      <c r="F561" s="143" t="s">
        <v>168</v>
      </c>
      <c r="G561" s="14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43" t="s">
        <v>1832</v>
      </c>
      <c r="B562" s="143" t="s">
        <v>1012</v>
      </c>
      <c r="C562" s="143" t="s">
        <v>1259</v>
      </c>
      <c r="D562" s="143" t="s">
        <v>1260</v>
      </c>
      <c r="E562" s="149">
        <v>46167.1179720023</v>
      </c>
      <c r="F562" s="143" t="s">
        <v>168</v>
      </c>
      <c r="G562" s="14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43" t="s">
        <v>1833</v>
      </c>
      <c r="B563" s="143" t="s">
        <v>1012</v>
      </c>
      <c r="C563" s="143" t="s">
        <v>1262</v>
      </c>
      <c r="D563" s="143" t="s">
        <v>1260</v>
      </c>
      <c r="E563" s="149">
        <v>46167.1179720023</v>
      </c>
      <c r="F563" s="143" t="s">
        <v>168</v>
      </c>
      <c r="G563" s="14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43" t="s">
        <v>1834</v>
      </c>
      <c r="B564" s="143" t="s">
        <v>1012</v>
      </c>
      <c r="C564" s="143" t="s">
        <v>1264</v>
      </c>
      <c r="D564" s="143" t="s">
        <v>1260</v>
      </c>
      <c r="E564" s="149">
        <v>46167.1179720023</v>
      </c>
      <c r="F564" s="143" t="s">
        <v>168</v>
      </c>
      <c r="G564" s="14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43" t="s">
        <v>1835</v>
      </c>
      <c r="B565" s="143" t="s">
        <v>1012</v>
      </c>
      <c r="C565" s="143" t="s">
        <v>1266</v>
      </c>
      <c r="D565" s="143" t="s">
        <v>1260</v>
      </c>
      <c r="E565" s="149">
        <v>46167.1179720023</v>
      </c>
      <c r="F565" s="143" t="s">
        <v>168</v>
      </c>
      <c r="G565" s="14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43" t="s">
        <v>1836</v>
      </c>
      <c r="B566" s="143" t="s">
        <v>1012</v>
      </c>
      <c r="C566" s="143" t="s">
        <v>1268</v>
      </c>
      <c r="D566" s="143" t="s">
        <v>1260</v>
      </c>
      <c r="E566" s="149">
        <v>46167.1179720023</v>
      </c>
      <c r="F566" s="143" t="s">
        <v>168</v>
      </c>
      <c r="G566" s="14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43" t="s">
        <v>1837</v>
      </c>
      <c r="B567" s="143" t="s">
        <v>1015</v>
      </c>
      <c r="C567" s="143" t="s">
        <v>1259</v>
      </c>
      <c r="D567" s="143" t="s">
        <v>1260</v>
      </c>
      <c r="E567" s="149">
        <v>46167.1179720023</v>
      </c>
      <c r="F567" s="143" t="s">
        <v>168</v>
      </c>
      <c r="G567" s="14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43" t="s">
        <v>1838</v>
      </c>
      <c r="B568" s="143" t="s">
        <v>1015</v>
      </c>
      <c r="C568" s="143" t="s">
        <v>1262</v>
      </c>
      <c r="D568" s="143" t="s">
        <v>1260</v>
      </c>
      <c r="E568" s="149">
        <v>46167.1179720023</v>
      </c>
      <c r="F568" s="143" t="s">
        <v>168</v>
      </c>
      <c r="G568" s="14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43" t="s">
        <v>1839</v>
      </c>
      <c r="B569" s="143" t="s">
        <v>1015</v>
      </c>
      <c r="C569" s="143" t="s">
        <v>1264</v>
      </c>
      <c r="D569" s="143" t="s">
        <v>1260</v>
      </c>
      <c r="E569" s="149">
        <v>46167.1179720023</v>
      </c>
      <c r="F569" s="143" t="s">
        <v>168</v>
      </c>
      <c r="G569" s="14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43" t="s">
        <v>1840</v>
      </c>
      <c r="B570" s="143" t="s">
        <v>1015</v>
      </c>
      <c r="C570" s="143" t="s">
        <v>1266</v>
      </c>
      <c r="D570" s="143" t="s">
        <v>1260</v>
      </c>
      <c r="E570" s="149">
        <v>46167.1179720023</v>
      </c>
      <c r="F570" s="143" t="s">
        <v>168</v>
      </c>
      <c r="G570" s="14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43" t="s">
        <v>1841</v>
      </c>
      <c r="B571" s="143" t="s">
        <v>1015</v>
      </c>
      <c r="C571" s="143" t="s">
        <v>1268</v>
      </c>
      <c r="D571" s="143" t="s">
        <v>1260</v>
      </c>
      <c r="E571" s="149">
        <v>46167.1179720023</v>
      </c>
      <c r="F571" s="143" t="s">
        <v>168</v>
      </c>
      <c r="G571" s="14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43" t="s">
        <v>1842</v>
      </c>
      <c r="B572" s="143" t="s">
        <v>1017</v>
      </c>
      <c r="C572" s="143" t="s">
        <v>1262</v>
      </c>
      <c r="D572" s="143" t="s">
        <v>1260</v>
      </c>
      <c r="E572" s="149">
        <v>46167.1179720023</v>
      </c>
      <c r="F572" s="143" t="s">
        <v>168</v>
      </c>
      <c r="G572" s="14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43" t="s">
        <v>1843</v>
      </c>
      <c r="B573" s="143" t="s">
        <v>1017</v>
      </c>
      <c r="C573" s="143" t="s">
        <v>1264</v>
      </c>
      <c r="D573" s="143" t="s">
        <v>1260</v>
      </c>
      <c r="E573" s="149">
        <v>46167.1179720023</v>
      </c>
      <c r="F573" s="143" t="s">
        <v>168</v>
      </c>
      <c r="G573" s="14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43" t="s">
        <v>1844</v>
      </c>
      <c r="B574" s="143" t="s">
        <v>1017</v>
      </c>
      <c r="C574" s="143" t="s">
        <v>1266</v>
      </c>
      <c r="D574" s="143" t="s">
        <v>1260</v>
      </c>
      <c r="E574" s="149">
        <v>46167.1179720023</v>
      </c>
      <c r="F574" s="143" t="s">
        <v>168</v>
      </c>
      <c r="G574" s="14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43" t="s">
        <v>1845</v>
      </c>
      <c r="B575" s="143" t="s">
        <v>1017</v>
      </c>
      <c r="C575" s="143" t="s">
        <v>1268</v>
      </c>
      <c r="D575" s="143" t="s">
        <v>1260</v>
      </c>
      <c r="E575" s="149">
        <v>46167.1179720023</v>
      </c>
      <c r="F575" s="143" t="s">
        <v>168</v>
      </c>
      <c r="G575" s="14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43" t="s">
        <v>1846</v>
      </c>
      <c r="B576" s="143" t="s">
        <v>1017</v>
      </c>
      <c r="C576" s="143" t="s">
        <v>1270</v>
      </c>
      <c r="D576" s="143" t="s">
        <v>1260</v>
      </c>
      <c r="E576" s="149">
        <v>46167.1179720023</v>
      </c>
      <c r="F576" s="143" t="s">
        <v>168</v>
      </c>
      <c r="G576" s="14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43" t="s">
        <v>1847</v>
      </c>
      <c r="B577" s="143" t="s">
        <v>1017</v>
      </c>
      <c r="C577" s="143" t="s">
        <v>1274</v>
      </c>
      <c r="D577" s="143" t="s">
        <v>1260</v>
      </c>
      <c r="E577" s="149">
        <v>46167.1179720023</v>
      </c>
      <c r="F577" s="143" t="s">
        <v>168</v>
      </c>
      <c r="G577" s="14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43" t="s">
        <v>1848</v>
      </c>
      <c r="B578" s="143" t="s">
        <v>1017</v>
      </c>
      <c r="C578" s="143" t="s">
        <v>1276</v>
      </c>
      <c r="D578" s="143" t="s">
        <v>1260</v>
      </c>
      <c r="E578" s="149">
        <v>46167.1179720023</v>
      </c>
      <c r="F578" s="143" t="s">
        <v>168</v>
      </c>
      <c r="G578" s="14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43" t="s">
        <v>1849</v>
      </c>
      <c r="B579" s="143" t="s">
        <v>1017</v>
      </c>
      <c r="C579" s="143" t="s">
        <v>1284</v>
      </c>
      <c r="D579" s="143" t="s">
        <v>1260</v>
      </c>
      <c r="E579" s="149">
        <v>46167.1179720023</v>
      </c>
      <c r="F579" s="143" t="s">
        <v>168</v>
      </c>
      <c r="G579" s="14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43" t="s">
        <v>1850</v>
      </c>
      <c r="B580" s="143" t="s">
        <v>1032</v>
      </c>
      <c r="C580" s="143" t="s">
        <v>1274</v>
      </c>
      <c r="D580" s="143" t="s">
        <v>1260</v>
      </c>
      <c r="E580" s="149">
        <v>46167.1179720023</v>
      </c>
      <c r="F580" s="143" t="s">
        <v>168</v>
      </c>
      <c r="G580" s="14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43" t="s">
        <v>1851</v>
      </c>
      <c r="B581" s="143" t="s">
        <v>1040</v>
      </c>
      <c r="C581" s="143" t="s">
        <v>1274</v>
      </c>
      <c r="D581" s="143" t="s">
        <v>1260</v>
      </c>
      <c r="E581" s="149">
        <v>46167.1179720023</v>
      </c>
      <c r="F581" s="143" t="s">
        <v>168</v>
      </c>
      <c r="G581" s="14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43" t="s">
        <v>1347</v>
      </c>
      <c r="B582" s="143" t="s">
        <v>779</v>
      </c>
      <c r="C582" s="143" t="s">
        <v>1259</v>
      </c>
      <c r="D582" s="143" t="s">
        <v>1260</v>
      </c>
      <c r="E582" s="149">
        <v>46167.1179720023</v>
      </c>
      <c r="F582" s="143" t="s">
        <v>168</v>
      </c>
      <c r="G582" s="14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43" t="s">
        <v>1348</v>
      </c>
      <c r="B583" s="143" t="s">
        <v>779</v>
      </c>
      <c r="C583" s="143" t="s">
        <v>1262</v>
      </c>
      <c r="D583" s="143" t="s">
        <v>1260</v>
      </c>
      <c r="E583" s="149">
        <v>46167.1179720023</v>
      </c>
      <c r="F583" s="143" t="s">
        <v>168</v>
      </c>
      <c r="G583" s="14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43" t="s">
        <v>1349</v>
      </c>
      <c r="B584" s="143" t="s">
        <v>779</v>
      </c>
      <c r="C584" s="143" t="s">
        <v>1264</v>
      </c>
      <c r="D584" s="143" t="s">
        <v>1260</v>
      </c>
      <c r="E584" s="149">
        <v>46167.1179720023</v>
      </c>
      <c r="F584" s="143" t="s">
        <v>168</v>
      </c>
      <c r="G584" s="14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43" t="s">
        <v>1852</v>
      </c>
      <c r="B585" s="143" t="s">
        <v>1052</v>
      </c>
      <c r="C585" s="143" t="s">
        <v>1259</v>
      </c>
      <c r="D585" s="143" t="s">
        <v>1260</v>
      </c>
      <c r="E585" s="149">
        <v>46167.1179720023</v>
      </c>
      <c r="F585" s="143" t="s">
        <v>168</v>
      </c>
      <c r="G585" s="14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43" t="s">
        <v>1853</v>
      </c>
      <c r="B586" s="143" t="s">
        <v>1052</v>
      </c>
      <c r="C586" s="143" t="s">
        <v>1274</v>
      </c>
      <c r="D586" s="143" t="s">
        <v>1260</v>
      </c>
      <c r="E586" s="149">
        <v>46167.1179720023</v>
      </c>
      <c r="F586" s="143" t="s">
        <v>168</v>
      </c>
      <c r="G586" s="14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43" t="s">
        <v>1854</v>
      </c>
      <c r="B587" s="143" t="s">
        <v>1056</v>
      </c>
      <c r="C587" s="143" t="s">
        <v>1259</v>
      </c>
      <c r="D587" s="143" t="s">
        <v>1260</v>
      </c>
      <c r="E587" s="149">
        <v>46167.1179720023</v>
      </c>
      <c r="F587" s="143" t="s">
        <v>168</v>
      </c>
      <c r="G587" s="14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43" t="s">
        <v>1855</v>
      </c>
      <c r="B588" s="143" t="s">
        <v>1056</v>
      </c>
      <c r="C588" s="143" t="s">
        <v>1262</v>
      </c>
      <c r="D588" s="143" t="s">
        <v>1260</v>
      </c>
      <c r="E588" s="149">
        <v>46167.1179720023</v>
      </c>
      <c r="F588" s="143" t="s">
        <v>168</v>
      </c>
      <c r="G588" s="14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43" t="s">
        <v>1856</v>
      </c>
      <c r="B589" s="143" t="s">
        <v>1056</v>
      </c>
      <c r="C589" s="143" t="s">
        <v>1264</v>
      </c>
      <c r="D589" s="143" t="s">
        <v>1260</v>
      </c>
      <c r="E589" s="149">
        <v>46167.1179720023</v>
      </c>
      <c r="F589" s="143" t="s">
        <v>168</v>
      </c>
      <c r="G589" s="14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43" t="s">
        <v>1857</v>
      </c>
      <c r="B590" s="143" t="s">
        <v>1056</v>
      </c>
      <c r="C590" s="143" t="s">
        <v>1274</v>
      </c>
      <c r="D590" s="143" t="s">
        <v>1260</v>
      </c>
      <c r="E590" s="149">
        <v>46167.1179720023</v>
      </c>
      <c r="F590" s="143" t="s">
        <v>168</v>
      </c>
      <c r="G590" s="14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43" t="s">
        <v>1858</v>
      </c>
      <c r="B591" s="143" t="s">
        <v>1061</v>
      </c>
      <c r="C591" s="143" t="s">
        <v>1259</v>
      </c>
      <c r="D591" s="143" t="s">
        <v>1260</v>
      </c>
      <c r="E591" s="149">
        <v>46167.1179720023</v>
      </c>
      <c r="F591" s="143" t="s">
        <v>168</v>
      </c>
      <c r="G591" s="14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43" t="s">
        <v>1859</v>
      </c>
      <c r="B592" s="143" t="s">
        <v>1067</v>
      </c>
      <c r="C592" s="143" t="s">
        <v>1262</v>
      </c>
      <c r="D592" s="143" t="s">
        <v>1260</v>
      </c>
      <c r="E592" s="149">
        <v>46167.1179720023</v>
      </c>
      <c r="F592" s="143" t="s">
        <v>168</v>
      </c>
      <c r="G592" s="14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43" t="s">
        <v>1860</v>
      </c>
      <c r="B593" s="143" t="s">
        <v>1067</v>
      </c>
      <c r="C593" s="143" t="s">
        <v>1264</v>
      </c>
      <c r="D593" s="143" t="s">
        <v>1260</v>
      </c>
      <c r="E593" s="149">
        <v>46167.1179720023</v>
      </c>
      <c r="F593" s="143" t="s">
        <v>168</v>
      </c>
      <c r="G593" s="14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43" t="s">
        <v>1861</v>
      </c>
      <c r="B594" s="143" t="s">
        <v>1067</v>
      </c>
      <c r="C594" s="143" t="s">
        <v>1274</v>
      </c>
      <c r="D594" s="143" t="s">
        <v>1260</v>
      </c>
      <c r="E594" s="149">
        <v>46167.1179720023</v>
      </c>
      <c r="F594" s="143" t="s">
        <v>168</v>
      </c>
      <c r="G594" s="14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43" t="s">
        <v>1862</v>
      </c>
      <c r="B595" s="143" t="s">
        <v>1072</v>
      </c>
      <c r="C595" s="143" t="s">
        <v>1259</v>
      </c>
      <c r="D595" s="143" t="s">
        <v>1260</v>
      </c>
      <c r="E595" s="149">
        <v>46167.1179720023</v>
      </c>
      <c r="F595" s="143" t="s">
        <v>168</v>
      </c>
      <c r="G595" s="14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43" t="s">
        <v>1863</v>
      </c>
      <c r="B596" s="143" t="s">
        <v>1072</v>
      </c>
      <c r="C596" s="143" t="s">
        <v>1262</v>
      </c>
      <c r="D596" s="143" t="s">
        <v>1260</v>
      </c>
      <c r="E596" s="149">
        <v>46167.1179720023</v>
      </c>
      <c r="F596" s="143" t="s">
        <v>168</v>
      </c>
      <c r="G596" s="14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43" t="s">
        <v>1864</v>
      </c>
      <c r="B597" s="143" t="s">
        <v>1072</v>
      </c>
      <c r="C597" s="143" t="s">
        <v>1264</v>
      </c>
      <c r="D597" s="143" t="s">
        <v>1260</v>
      </c>
      <c r="E597" s="149">
        <v>46167.1179720023</v>
      </c>
      <c r="F597" s="143" t="s">
        <v>168</v>
      </c>
      <c r="G597" s="14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43" t="s">
        <v>1865</v>
      </c>
      <c r="B598" s="143" t="s">
        <v>1072</v>
      </c>
      <c r="C598" s="143" t="s">
        <v>1274</v>
      </c>
      <c r="D598" s="143" t="s">
        <v>1260</v>
      </c>
      <c r="E598" s="149">
        <v>46167.1179720023</v>
      </c>
      <c r="F598" s="143" t="s">
        <v>168</v>
      </c>
      <c r="G598" s="14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43" t="s">
        <v>1866</v>
      </c>
      <c r="B599" s="143" t="s">
        <v>1075</v>
      </c>
      <c r="C599" s="143" t="s">
        <v>1259</v>
      </c>
      <c r="D599" s="143" t="s">
        <v>1260</v>
      </c>
      <c r="E599" s="149">
        <v>46167.1179720023</v>
      </c>
      <c r="F599" s="143" t="s">
        <v>168</v>
      </c>
      <c r="G599" s="14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43" t="s">
        <v>1867</v>
      </c>
      <c r="B600" s="143" t="s">
        <v>1075</v>
      </c>
      <c r="C600" s="143" t="s">
        <v>1262</v>
      </c>
      <c r="D600" s="143" t="s">
        <v>1260</v>
      </c>
      <c r="E600" s="149">
        <v>46167.1179720023</v>
      </c>
      <c r="F600" s="143" t="s">
        <v>168</v>
      </c>
      <c r="G600" s="14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43" t="s">
        <v>1868</v>
      </c>
      <c r="B601" s="143" t="s">
        <v>1075</v>
      </c>
      <c r="C601" s="143" t="s">
        <v>1264</v>
      </c>
      <c r="D601" s="143" t="s">
        <v>1260</v>
      </c>
      <c r="E601" s="149">
        <v>46167.1179720023</v>
      </c>
      <c r="F601" s="143" t="s">
        <v>168</v>
      </c>
      <c r="G601" s="14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43" t="s">
        <v>1869</v>
      </c>
      <c r="B602" s="143" t="s">
        <v>1075</v>
      </c>
      <c r="C602" s="143" t="s">
        <v>1268</v>
      </c>
      <c r="D602" s="143" t="s">
        <v>1260</v>
      </c>
      <c r="E602" s="149">
        <v>46167.1179720023</v>
      </c>
      <c r="F602" s="143" t="s">
        <v>168</v>
      </c>
      <c r="G602" s="14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43" t="s">
        <v>1870</v>
      </c>
      <c r="B603" s="143" t="s">
        <v>1075</v>
      </c>
      <c r="C603" s="143" t="s">
        <v>1274</v>
      </c>
      <c r="D603" s="143" t="s">
        <v>1260</v>
      </c>
      <c r="E603" s="149">
        <v>46167.1179720023</v>
      </c>
      <c r="F603" s="143" t="s">
        <v>168</v>
      </c>
      <c r="G603" s="14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43" t="s">
        <v>1871</v>
      </c>
      <c r="B604" s="143" t="s">
        <v>1075</v>
      </c>
      <c r="C604" s="143" t="s">
        <v>1276</v>
      </c>
      <c r="D604" s="143" t="s">
        <v>1260</v>
      </c>
      <c r="E604" s="149">
        <v>46167.1179720023</v>
      </c>
      <c r="F604" s="143" t="s">
        <v>168</v>
      </c>
      <c r="G604" s="14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43" t="s">
        <v>1872</v>
      </c>
      <c r="B605" s="143" t="s">
        <v>1075</v>
      </c>
      <c r="C605" s="143" t="s">
        <v>1284</v>
      </c>
      <c r="D605" s="143" t="s">
        <v>1260</v>
      </c>
      <c r="E605" s="149">
        <v>46167.1179720023</v>
      </c>
      <c r="F605" s="143" t="s">
        <v>168</v>
      </c>
      <c r="G605" s="14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43" t="s">
        <v>1873</v>
      </c>
      <c r="B606" s="143" t="s">
        <v>1080</v>
      </c>
      <c r="C606" s="143" t="s">
        <v>1259</v>
      </c>
      <c r="D606" s="143" t="s">
        <v>1260</v>
      </c>
      <c r="E606" s="149">
        <v>46167.1179720023</v>
      </c>
      <c r="F606" s="143" t="s">
        <v>168</v>
      </c>
      <c r="G606" s="14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43" t="s">
        <v>1874</v>
      </c>
      <c r="B607" s="143" t="s">
        <v>1080</v>
      </c>
      <c r="C607" s="143" t="s">
        <v>1262</v>
      </c>
      <c r="D607" s="143" t="s">
        <v>1260</v>
      </c>
      <c r="E607" s="149">
        <v>46167.1179720023</v>
      </c>
      <c r="F607" s="143" t="s">
        <v>168</v>
      </c>
      <c r="G607" s="14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43" t="s">
        <v>1875</v>
      </c>
      <c r="B608" s="143" t="s">
        <v>1080</v>
      </c>
      <c r="C608" s="143" t="s">
        <v>1264</v>
      </c>
      <c r="D608" s="143" t="s">
        <v>1260</v>
      </c>
      <c r="E608" s="149">
        <v>46167.1179720023</v>
      </c>
      <c r="F608" s="143" t="s">
        <v>168</v>
      </c>
      <c r="G608" s="14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43" t="s">
        <v>1876</v>
      </c>
      <c r="B609" s="143" t="s">
        <v>1080</v>
      </c>
      <c r="C609" s="143" t="s">
        <v>1268</v>
      </c>
      <c r="D609" s="143" t="s">
        <v>1260</v>
      </c>
      <c r="E609" s="149">
        <v>46167.1179720023</v>
      </c>
      <c r="F609" s="143" t="s">
        <v>168</v>
      </c>
      <c r="G609" s="14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43" t="s">
        <v>1877</v>
      </c>
      <c r="B610" s="143" t="s">
        <v>1080</v>
      </c>
      <c r="C610" s="143" t="s">
        <v>1274</v>
      </c>
      <c r="D610" s="143" t="s">
        <v>1260</v>
      </c>
      <c r="E610" s="149">
        <v>46167.1179720023</v>
      </c>
      <c r="F610" s="143" t="s">
        <v>168</v>
      </c>
      <c r="G610" s="14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43" t="s">
        <v>1878</v>
      </c>
      <c r="B611" s="143" t="s">
        <v>1080</v>
      </c>
      <c r="C611" s="143" t="s">
        <v>1276</v>
      </c>
      <c r="D611" s="143" t="s">
        <v>1260</v>
      </c>
      <c r="E611" s="149">
        <v>46167.1179720023</v>
      </c>
      <c r="F611" s="143" t="s">
        <v>168</v>
      </c>
      <c r="G611" s="14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43" t="s">
        <v>1879</v>
      </c>
      <c r="B612" s="143" t="s">
        <v>1080</v>
      </c>
      <c r="C612" s="143" t="s">
        <v>1284</v>
      </c>
      <c r="D612" s="143" t="s">
        <v>1260</v>
      </c>
      <c r="E612" s="149">
        <v>46167.1179720023</v>
      </c>
      <c r="F612" s="143" t="s">
        <v>168</v>
      </c>
      <c r="G612" s="14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43" t="s">
        <v>1880</v>
      </c>
      <c r="B613" s="143" t="s">
        <v>1082</v>
      </c>
      <c r="C613" s="143" t="s">
        <v>1259</v>
      </c>
      <c r="D613" s="143" t="s">
        <v>1260</v>
      </c>
      <c r="E613" s="149">
        <v>46167.1179720023</v>
      </c>
      <c r="F613" s="143" t="s">
        <v>168</v>
      </c>
      <c r="G613" s="14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43" t="s">
        <v>1881</v>
      </c>
      <c r="B614" s="143" t="s">
        <v>1082</v>
      </c>
      <c r="C614" s="143" t="s">
        <v>1262</v>
      </c>
      <c r="D614" s="143" t="s">
        <v>1260</v>
      </c>
      <c r="E614" s="149">
        <v>46167.1179720023</v>
      </c>
      <c r="F614" s="143" t="s">
        <v>168</v>
      </c>
      <c r="G614" s="14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43" t="s">
        <v>1882</v>
      </c>
      <c r="B615" s="143" t="s">
        <v>1082</v>
      </c>
      <c r="C615" s="143" t="s">
        <v>1264</v>
      </c>
      <c r="D615" s="143" t="s">
        <v>1260</v>
      </c>
      <c r="E615" s="149">
        <v>46167.1179720023</v>
      </c>
      <c r="F615" s="143" t="s">
        <v>168</v>
      </c>
      <c r="G615" s="14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43" t="s">
        <v>1883</v>
      </c>
      <c r="B616" s="143" t="s">
        <v>1082</v>
      </c>
      <c r="C616" s="143" t="s">
        <v>1268</v>
      </c>
      <c r="D616" s="143" t="s">
        <v>1260</v>
      </c>
      <c r="E616" s="149">
        <v>46167.1179720023</v>
      </c>
      <c r="F616" s="143" t="s">
        <v>168</v>
      </c>
      <c r="G616" s="14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43" t="s">
        <v>1884</v>
      </c>
      <c r="B617" s="143" t="s">
        <v>1082</v>
      </c>
      <c r="C617" s="143" t="s">
        <v>1274</v>
      </c>
      <c r="D617" s="143" t="s">
        <v>1260</v>
      </c>
      <c r="E617" s="149">
        <v>46167.1179720023</v>
      </c>
      <c r="F617" s="143" t="s">
        <v>168</v>
      </c>
      <c r="G617" s="14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43" t="s">
        <v>1885</v>
      </c>
      <c r="B618" s="143" t="s">
        <v>1082</v>
      </c>
      <c r="C618" s="143" t="s">
        <v>1276</v>
      </c>
      <c r="D618" s="143" t="s">
        <v>1260</v>
      </c>
      <c r="E618" s="149">
        <v>46167.1179720023</v>
      </c>
      <c r="F618" s="143" t="s">
        <v>168</v>
      </c>
      <c r="G618" s="14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43" t="s">
        <v>1886</v>
      </c>
      <c r="B619" s="143" t="s">
        <v>1082</v>
      </c>
      <c r="C619" s="143" t="s">
        <v>1284</v>
      </c>
      <c r="D619" s="143" t="s">
        <v>1260</v>
      </c>
      <c r="E619" s="149">
        <v>46167.1179720023</v>
      </c>
      <c r="F619" s="143" t="s">
        <v>168</v>
      </c>
      <c r="G619" s="14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43" t="s">
        <v>1887</v>
      </c>
      <c r="B620" s="143" t="s">
        <v>1084</v>
      </c>
      <c r="C620" s="143" t="s">
        <v>1259</v>
      </c>
      <c r="D620" s="143" t="s">
        <v>1260</v>
      </c>
      <c r="E620" s="149">
        <v>46167.1179720023</v>
      </c>
      <c r="F620" s="143" t="s">
        <v>168</v>
      </c>
      <c r="G620" s="14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43" t="s">
        <v>1888</v>
      </c>
      <c r="B621" s="143" t="s">
        <v>1084</v>
      </c>
      <c r="C621" s="143" t="s">
        <v>1262</v>
      </c>
      <c r="D621" s="143" t="s">
        <v>1260</v>
      </c>
      <c r="E621" s="149">
        <v>46167.1179720023</v>
      </c>
      <c r="F621" s="143" t="s">
        <v>168</v>
      </c>
      <c r="G621" s="14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43" t="s">
        <v>1889</v>
      </c>
      <c r="B622" s="143" t="s">
        <v>1084</v>
      </c>
      <c r="C622" s="143" t="s">
        <v>1264</v>
      </c>
      <c r="D622" s="143" t="s">
        <v>1260</v>
      </c>
      <c r="E622" s="149">
        <v>46167.1179720023</v>
      </c>
      <c r="F622" s="143" t="s">
        <v>168</v>
      </c>
      <c r="G622" s="14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43" t="s">
        <v>1890</v>
      </c>
      <c r="B623" s="143" t="s">
        <v>1084</v>
      </c>
      <c r="C623" s="143" t="s">
        <v>1268</v>
      </c>
      <c r="D623" s="143" t="s">
        <v>1260</v>
      </c>
      <c r="E623" s="149">
        <v>46167.1179720023</v>
      </c>
      <c r="F623" s="143" t="s">
        <v>168</v>
      </c>
      <c r="G623" s="14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43" t="s">
        <v>1891</v>
      </c>
      <c r="B624" s="143" t="s">
        <v>1084</v>
      </c>
      <c r="C624" s="143" t="s">
        <v>1274</v>
      </c>
      <c r="D624" s="143" t="s">
        <v>1260</v>
      </c>
      <c r="E624" s="149">
        <v>46167.1179720023</v>
      </c>
      <c r="F624" s="143" t="s">
        <v>168</v>
      </c>
      <c r="G624" s="14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43" t="s">
        <v>1892</v>
      </c>
      <c r="B625" s="143" t="s">
        <v>1084</v>
      </c>
      <c r="C625" s="143" t="s">
        <v>1276</v>
      </c>
      <c r="D625" s="143" t="s">
        <v>1260</v>
      </c>
      <c r="E625" s="149">
        <v>46167.1179720023</v>
      </c>
      <c r="F625" s="143" t="s">
        <v>168</v>
      </c>
      <c r="G625" s="14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43" t="s">
        <v>1893</v>
      </c>
      <c r="B626" s="143" t="s">
        <v>1084</v>
      </c>
      <c r="C626" s="143" t="s">
        <v>1284</v>
      </c>
      <c r="D626" s="143" t="s">
        <v>1260</v>
      </c>
      <c r="E626" s="149">
        <v>46167.1179720023</v>
      </c>
      <c r="F626" s="143" t="s">
        <v>168</v>
      </c>
      <c r="G626" s="14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43" t="s">
        <v>1894</v>
      </c>
      <c r="B627" s="143" t="s">
        <v>1087</v>
      </c>
      <c r="C627" s="143" t="s">
        <v>1259</v>
      </c>
      <c r="D627" s="143" t="s">
        <v>1260</v>
      </c>
      <c r="E627" s="149">
        <v>46167.1179720023</v>
      </c>
      <c r="F627" s="143" t="s">
        <v>168</v>
      </c>
      <c r="G627" s="14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43" t="s">
        <v>1895</v>
      </c>
      <c r="B628" s="143" t="s">
        <v>1087</v>
      </c>
      <c r="C628" s="143" t="s">
        <v>1262</v>
      </c>
      <c r="D628" s="143" t="s">
        <v>1260</v>
      </c>
      <c r="E628" s="149">
        <v>46167.1179720023</v>
      </c>
      <c r="F628" s="143" t="s">
        <v>168</v>
      </c>
      <c r="G628" s="14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43" t="s">
        <v>1896</v>
      </c>
      <c r="B629" s="143" t="s">
        <v>1087</v>
      </c>
      <c r="C629" s="143" t="s">
        <v>1264</v>
      </c>
      <c r="D629" s="143" t="s">
        <v>1260</v>
      </c>
      <c r="E629" s="149">
        <v>46167.1179720023</v>
      </c>
      <c r="F629" s="143" t="s">
        <v>168</v>
      </c>
      <c r="G629" s="14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43" t="s">
        <v>1897</v>
      </c>
      <c r="B630" s="143" t="s">
        <v>1087</v>
      </c>
      <c r="C630" s="143" t="s">
        <v>1268</v>
      </c>
      <c r="D630" s="143" t="s">
        <v>1260</v>
      </c>
      <c r="E630" s="149">
        <v>46167.1179720023</v>
      </c>
      <c r="F630" s="143" t="s">
        <v>168</v>
      </c>
      <c r="G630" s="14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43" t="s">
        <v>1898</v>
      </c>
      <c r="B631" s="143" t="s">
        <v>1087</v>
      </c>
      <c r="C631" s="143" t="s">
        <v>1276</v>
      </c>
      <c r="D631" s="143" t="s">
        <v>1260</v>
      </c>
      <c r="E631" s="149">
        <v>46167.1179720023</v>
      </c>
      <c r="F631" s="143" t="s">
        <v>168</v>
      </c>
      <c r="G631" s="14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43" t="s">
        <v>1899</v>
      </c>
      <c r="B632" s="143" t="s">
        <v>1087</v>
      </c>
      <c r="C632" s="143" t="s">
        <v>1284</v>
      </c>
      <c r="D632" s="143" t="s">
        <v>1260</v>
      </c>
      <c r="E632" s="149">
        <v>46167.1179720023</v>
      </c>
      <c r="F632" s="143" t="s">
        <v>168</v>
      </c>
      <c r="G632" s="14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43" t="s">
        <v>1900</v>
      </c>
      <c r="B633" s="143" t="s">
        <v>1089</v>
      </c>
      <c r="C633" s="143" t="s">
        <v>1259</v>
      </c>
      <c r="D633" s="143" t="s">
        <v>1260</v>
      </c>
      <c r="E633" s="149">
        <v>46167.1179720023</v>
      </c>
      <c r="F633" s="143" t="s">
        <v>168</v>
      </c>
      <c r="G633" s="14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43" t="s">
        <v>1901</v>
      </c>
      <c r="B634" s="143" t="s">
        <v>1089</v>
      </c>
      <c r="C634" s="143" t="s">
        <v>1262</v>
      </c>
      <c r="D634" s="143" t="s">
        <v>1260</v>
      </c>
      <c r="E634" s="149">
        <v>46167.1179720023</v>
      </c>
      <c r="F634" s="143" t="s">
        <v>168</v>
      </c>
      <c r="G634" s="14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43" t="s">
        <v>1902</v>
      </c>
      <c r="B635" s="143" t="s">
        <v>1089</v>
      </c>
      <c r="C635" s="143" t="s">
        <v>1264</v>
      </c>
      <c r="D635" s="143" t="s">
        <v>1260</v>
      </c>
      <c r="E635" s="149">
        <v>46167.1179720023</v>
      </c>
      <c r="F635" s="143" t="s">
        <v>168</v>
      </c>
      <c r="G635" s="14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43" t="s">
        <v>1903</v>
      </c>
      <c r="B636" s="143" t="s">
        <v>1089</v>
      </c>
      <c r="C636" s="143" t="s">
        <v>1268</v>
      </c>
      <c r="D636" s="143" t="s">
        <v>1260</v>
      </c>
      <c r="E636" s="149">
        <v>46167.1179720023</v>
      </c>
      <c r="F636" s="143" t="s">
        <v>168</v>
      </c>
      <c r="G636" s="14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43" t="s">
        <v>1904</v>
      </c>
      <c r="B637" s="143" t="s">
        <v>1089</v>
      </c>
      <c r="C637" s="143" t="s">
        <v>1274</v>
      </c>
      <c r="D637" s="143" t="s">
        <v>1260</v>
      </c>
      <c r="E637" s="149">
        <v>46167.1179720023</v>
      </c>
      <c r="F637" s="143" t="s">
        <v>168</v>
      </c>
      <c r="G637" s="14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43" t="s">
        <v>1905</v>
      </c>
      <c r="B638" s="143" t="s">
        <v>1089</v>
      </c>
      <c r="C638" s="143" t="s">
        <v>1276</v>
      </c>
      <c r="D638" s="143" t="s">
        <v>1260</v>
      </c>
      <c r="E638" s="149">
        <v>46167.1179720023</v>
      </c>
      <c r="F638" s="143" t="s">
        <v>168</v>
      </c>
      <c r="G638" s="14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43" t="s">
        <v>1906</v>
      </c>
      <c r="B639" s="143" t="s">
        <v>1089</v>
      </c>
      <c r="C639" s="143" t="s">
        <v>1284</v>
      </c>
      <c r="D639" s="143" t="s">
        <v>1260</v>
      </c>
      <c r="E639" s="149">
        <v>46167.1179720023</v>
      </c>
      <c r="F639" s="143" t="s">
        <v>168</v>
      </c>
      <c r="G639" s="14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43" t="s">
        <v>1907</v>
      </c>
      <c r="B640" s="143" t="s">
        <v>1091</v>
      </c>
      <c r="C640" s="143" t="s">
        <v>1259</v>
      </c>
      <c r="D640" s="143" t="s">
        <v>1260</v>
      </c>
      <c r="E640" s="149">
        <v>46167.1179720023</v>
      </c>
      <c r="F640" s="143" t="s">
        <v>168</v>
      </c>
      <c r="G640" s="14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43" t="s">
        <v>1908</v>
      </c>
      <c r="B641" s="143" t="s">
        <v>1091</v>
      </c>
      <c r="C641" s="143" t="s">
        <v>1262</v>
      </c>
      <c r="D641" s="143" t="s">
        <v>1260</v>
      </c>
      <c r="E641" s="149">
        <v>46167.1179720023</v>
      </c>
      <c r="F641" s="143" t="s">
        <v>168</v>
      </c>
      <c r="G641" s="14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43" t="s">
        <v>1909</v>
      </c>
      <c r="B642" s="143" t="s">
        <v>1091</v>
      </c>
      <c r="C642" s="143" t="s">
        <v>1264</v>
      </c>
      <c r="D642" s="143" t="s">
        <v>1260</v>
      </c>
      <c r="E642" s="149">
        <v>46167.1179720023</v>
      </c>
      <c r="F642" s="143" t="s">
        <v>168</v>
      </c>
      <c r="G642" s="14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43" t="s">
        <v>1910</v>
      </c>
      <c r="B643" s="143" t="s">
        <v>1091</v>
      </c>
      <c r="C643" s="143" t="s">
        <v>1268</v>
      </c>
      <c r="D643" s="143" t="s">
        <v>1260</v>
      </c>
      <c r="E643" s="149">
        <v>46167.1179720023</v>
      </c>
      <c r="F643" s="143" t="s">
        <v>168</v>
      </c>
      <c r="G643" s="14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43" t="s">
        <v>1911</v>
      </c>
      <c r="B644" s="143" t="s">
        <v>1091</v>
      </c>
      <c r="C644" s="143" t="s">
        <v>1274</v>
      </c>
      <c r="D644" s="143" t="s">
        <v>1260</v>
      </c>
      <c r="E644" s="149">
        <v>46167.1179720023</v>
      </c>
      <c r="F644" s="143" t="s">
        <v>168</v>
      </c>
      <c r="G644" s="14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43" t="s">
        <v>1912</v>
      </c>
      <c r="B645" s="143" t="s">
        <v>1091</v>
      </c>
      <c r="C645" s="143" t="s">
        <v>1276</v>
      </c>
      <c r="D645" s="143" t="s">
        <v>1260</v>
      </c>
      <c r="E645" s="149">
        <v>46167.1179720023</v>
      </c>
      <c r="F645" s="143" t="s">
        <v>168</v>
      </c>
      <c r="G645" s="14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43" t="s">
        <v>1913</v>
      </c>
      <c r="B646" s="143" t="s">
        <v>1091</v>
      </c>
      <c r="C646" s="143" t="s">
        <v>1284</v>
      </c>
      <c r="D646" s="143" t="s">
        <v>1260</v>
      </c>
      <c r="E646" s="149">
        <v>46167.1179720023</v>
      </c>
      <c r="F646" s="143" t="s">
        <v>168</v>
      </c>
      <c r="G646" s="14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43" t="s">
        <v>1914</v>
      </c>
      <c r="B647" s="143" t="s">
        <v>1095</v>
      </c>
      <c r="C647" s="143" t="s">
        <v>1259</v>
      </c>
      <c r="D647" s="143" t="s">
        <v>1260</v>
      </c>
      <c r="E647" s="149">
        <v>46167.1179720023</v>
      </c>
      <c r="F647" s="143" t="s">
        <v>168</v>
      </c>
      <c r="G647" s="14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43" t="s">
        <v>1915</v>
      </c>
      <c r="B648" s="143" t="s">
        <v>1095</v>
      </c>
      <c r="C648" s="143" t="s">
        <v>1262</v>
      </c>
      <c r="D648" s="143" t="s">
        <v>1260</v>
      </c>
      <c r="E648" s="149">
        <v>46167.1179720023</v>
      </c>
      <c r="F648" s="143" t="s">
        <v>168</v>
      </c>
      <c r="G648" s="14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43" t="s">
        <v>1916</v>
      </c>
      <c r="B649" s="143" t="s">
        <v>1095</v>
      </c>
      <c r="C649" s="143" t="s">
        <v>1264</v>
      </c>
      <c r="D649" s="143" t="s">
        <v>1260</v>
      </c>
      <c r="E649" s="149">
        <v>46167.1179720023</v>
      </c>
      <c r="F649" s="143" t="s">
        <v>168</v>
      </c>
      <c r="G649" s="14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43" t="s">
        <v>1917</v>
      </c>
      <c r="B650" s="143" t="s">
        <v>1095</v>
      </c>
      <c r="C650" s="143" t="s">
        <v>1268</v>
      </c>
      <c r="D650" s="143" t="s">
        <v>1260</v>
      </c>
      <c r="E650" s="149">
        <v>46167.1179720023</v>
      </c>
      <c r="F650" s="143" t="s">
        <v>168</v>
      </c>
      <c r="G650" s="14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43" t="s">
        <v>1918</v>
      </c>
      <c r="B651" s="143" t="s">
        <v>1095</v>
      </c>
      <c r="C651" s="143" t="s">
        <v>1274</v>
      </c>
      <c r="D651" s="143" t="s">
        <v>1260</v>
      </c>
      <c r="E651" s="149">
        <v>46167.1179720023</v>
      </c>
      <c r="F651" s="143" t="s">
        <v>168</v>
      </c>
      <c r="G651" s="14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43" t="s">
        <v>1919</v>
      </c>
      <c r="B652" s="143" t="s">
        <v>1095</v>
      </c>
      <c r="C652" s="143" t="s">
        <v>1276</v>
      </c>
      <c r="D652" s="143" t="s">
        <v>1260</v>
      </c>
      <c r="E652" s="149">
        <v>46167.1179720023</v>
      </c>
      <c r="F652" s="143" t="s">
        <v>168</v>
      </c>
      <c r="G652" s="14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43" t="s">
        <v>1920</v>
      </c>
      <c r="B653" s="143" t="s">
        <v>1095</v>
      </c>
      <c r="C653" s="143" t="s">
        <v>1284</v>
      </c>
      <c r="D653" s="143" t="s">
        <v>1260</v>
      </c>
      <c r="E653" s="149">
        <v>46167.1179720023</v>
      </c>
      <c r="F653" s="143" t="s">
        <v>168</v>
      </c>
      <c r="G653" s="14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43" t="s">
        <v>1921</v>
      </c>
      <c r="B654" s="143" t="s">
        <v>1097</v>
      </c>
      <c r="C654" s="143" t="s">
        <v>1259</v>
      </c>
      <c r="D654" s="143" t="s">
        <v>1260</v>
      </c>
      <c r="E654" s="149">
        <v>46167.1179720023</v>
      </c>
      <c r="F654" s="143" t="s">
        <v>168</v>
      </c>
      <c r="G654" s="14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43" t="s">
        <v>1922</v>
      </c>
      <c r="B655" s="143" t="s">
        <v>1097</v>
      </c>
      <c r="C655" s="143" t="s">
        <v>1262</v>
      </c>
      <c r="D655" s="143" t="s">
        <v>1260</v>
      </c>
      <c r="E655" s="149">
        <v>46167.1179720023</v>
      </c>
      <c r="F655" s="143" t="s">
        <v>168</v>
      </c>
      <c r="G655" s="14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43" t="s">
        <v>1923</v>
      </c>
      <c r="B656" s="143" t="s">
        <v>1097</v>
      </c>
      <c r="C656" s="143" t="s">
        <v>1264</v>
      </c>
      <c r="D656" s="143" t="s">
        <v>1260</v>
      </c>
      <c r="E656" s="149">
        <v>46167.1179720023</v>
      </c>
      <c r="F656" s="143" t="s">
        <v>168</v>
      </c>
      <c r="G656" s="14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43" t="s">
        <v>1924</v>
      </c>
      <c r="B657" s="143" t="s">
        <v>1097</v>
      </c>
      <c r="C657" s="143" t="s">
        <v>1268</v>
      </c>
      <c r="D657" s="143" t="s">
        <v>1260</v>
      </c>
      <c r="E657" s="149">
        <v>46167.1179720023</v>
      </c>
      <c r="F657" s="143" t="s">
        <v>168</v>
      </c>
      <c r="G657" s="14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43" t="s">
        <v>1925</v>
      </c>
      <c r="B658" s="143" t="s">
        <v>1097</v>
      </c>
      <c r="C658" s="143" t="s">
        <v>1274</v>
      </c>
      <c r="D658" s="143" t="s">
        <v>1260</v>
      </c>
      <c r="E658" s="149">
        <v>46167.1179720023</v>
      </c>
      <c r="F658" s="143" t="s">
        <v>168</v>
      </c>
      <c r="G658" s="14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43" t="s">
        <v>1926</v>
      </c>
      <c r="B659" s="143" t="s">
        <v>1097</v>
      </c>
      <c r="C659" s="143" t="s">
        <v>1276</v>
      </c>
      <c r="D659" s="143" t="s">
        <v>1260</v>
      </c>
      <c r="E659" s="149">
        <v>46167.1179720023</v>
      </c>
      <c r="F659" s="143" t="s">
        <v>168</v>
      </c>
      <c r="G659" s="14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43" t="s">
        <v>1927</v>
      </c>
      <c r="B660" s="143" t="s">
        <v>1097</v>
      </c>
      <c r="C660" s="143" t="s">
        <v>1284</v>
      </c>
      <c r="D660" s="143" t="s">
        <v>1260</v>
      </c>
      <c r="E660" s="149">
        <v>46167.1179720023</v>
      </c>
      <c r="F660" s="143" t="s">
        <v>168</v>
      </c>
      <c r="G660" s="14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43" t="s">
        <v>1928</v>
      </c>
      <c r="B661" s="143" t="s">
        <v>1929</v>
      </c>
      <c r="C661" s="143" t="s">
        <v>1930</v>
      </c>
      <c r="D661" s="143" t="s">
        <v>1260</v>
      </c>
      <c r="E661" s="149">
        <v>46167.1179720023</v>
      </c>
      <c r="F661" s="143" t="s">
        <v>168</v>
      </c>
      <c r="G661" s="14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43" t="s">
        <v>1931</v>
      </c>
      <c r="B662" s="143" t="s">
        <v>827</v>
      </c>
      <c r="C662" s="143" t="s">
        <v>1930</v>
      </c>
      <c r="D662" s="143" t="s">
        <v>1260</v>
      </c>
      <c r="E662" s="149">
        <v>46167.1179720023</v>
      </c>
      <c r="F662" s="143" t="s">
        <v>168</v>
      </c>
      <c r="G662" s="14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43" t="s">
        <v>1932</v>
      </c>
      <c r="B663" s="143" t="s">
        <v>878</v>
      </c>
      <c r="C663" s="143" t="s">
        <v>1930</v>
      </c>
      <c r="D663" s="143" t="s">
        <v>1260</v>
      </c>
      <c r="E663" s="149">
        <v>46167.1179720023</v>
      </c>
      <c r="F663" s="143" t="s">
        <v>168</v>
      </c>
      <c r="G663" s="14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43" t="s">
        <v>1933</v>
      </c>
      <c r="B664" s="143" t="s">
        <v>934</v>
      </c>
      <c r="C664" s="143" t="s">
        <v>1930</v>
      </c>
      <c r="D664" s="143" t="s">
        <v>1260</v>
      </c>
      <c r="E664" s="149">
        <v>46167.1179720023</v>
      </c>
      <c r="F664" s="143" t="s">
        <v>168</v>
      </c>
      <c r="G664" s="14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43" t="s">
        <v>1934</v>
      </c>
      <c r="B665" s="143" t="s">
        <v>938</v>
      </c>
      <c r="C665" s="143" t="s">
        <v>1930</v>
      </c>
      <c r="D665" s="143" t="s">
        <v>1260</v>
      </c>
      <c r="E665" s="149">
        <v>46167.1179720023</v>
      </c>
      <c r="F665" s="143" t="s">
        <v>168</v>
      </c>
      <c r="G665" s="14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43" t="s">
        <v>1935</v>
      </c>
      <c r="B666" s="143" t="s">
        <v>978</v>
      </c>
      <c r="C666" s="143" t="s">
        <v>1930</v>
      </c>
      <c r="D666" s="143" t="s">
        <v>1260</v>
      </c>
      <c r="E666" s="149">
        <v>46167.1179720023</v>
      </c>
      <c r="F666" s="143" t="s">
        <v>168</v>
      </c>
      <c r="G666" s="14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43" t="s">
        <v>1936</v>
      </c>
      <c r="B667" s="143" t="s">
        <v>1015</v>
      </c>
      <c r="C667" s="143" t="s">
        <v>1930</v>
      </c>
      <c r="D667" s="143" t="s">
        <v>1260</v>
      </c>
      <c r="E667" s="149">
        <v>46167.1179720023</v>
      </c>
      <c r="F667" s="143" t="s">
        <v>168</v>
      </c>
      <c r="G667" s="14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43" t="s">
        <v>1937</v>
      </c>
      <c r="B668" s="143" t="s">
        <v>800</v>
      </c>
      <c r="C668" s="143" t="s">
        <v>1930</v>
      </c>
      <c r="D668" s="143" t="s">
        <v>1260</v>
      </c>
      <c r="E668" s="149">
        <v>46167.1179720023</v>
      </c>
      <c r="F668" s="143" t="s">
        <v>168</v>
      </c>
      <c r="G668" s="14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43" t="s">
        <v>1938</v>
      </c>
      <c r="B669" s="143" t="s">
        <v>854</v>
      </c>
      <c r="C669" s="143" t="s">
        <v>1930</v>
      </c>
      <c r="D669" s="143" t="s">
        <v>1260</v>
      </c>
      <c r="E669" s="149">
        <v>46167.1179720023</v>
      </c>
      <c r="F669" s="143" t="s">
        <v>168</v>
      </c>
      <c r="G669" s="14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43" t="s">
        <v>1939</v>
      </c>
      <c r="B670" s="143" t="s">
        <v>871</v>
      </c>
      <c r="C670" s="143" t="s">
        <v>1930</v>
      </c>
      <c r="D670" s="143" t="s">
        <v>1260</v>
      </c>
      <c r="E670" s="149">
        <v>46167.1179720023</v>
      </c>
      <c r="F670" s="143" t="s">
        <v>168</v>
      </c>
      <c r="G670" s="14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43" t="s">
        <v>1940</v>
      </c>
      <c r="B671" s="143" t="s">
        <v>897</v>
      </c>
      <c r="C671" s="143" t="s">
        <v>1930</v>
      </c>
      <c r="D671" s="143" t="s">
        <v>1260</v>
      </c>
      <c r="E671" s="149">
        <v>46167.1179720023</v>
      </c>
      <c r="F671" s="143" t="s">
        <v>168</v>
      </c>
      <c r="G671" s="14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43" t="s">
        <v>1941</v>
      </c>
      <c r="B672" s="143" t="s">
        <v>907</v>
      </c>
      <c r="C672" s="143" t="s">
        <v>1930</v>
      </c>
      <c r="D672" s="143" t="s">
        <v>1260</v>
      </c>
      <c r="E672" s="149">
        <v>46167.1179720023</v>
      </c>
      <c r="F672" s="143" t="s">
        <v>168</v>
      </c>
      <c r="G672" s="14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43" t="s">
        <v>1942</v>
      </c>
      <c r="B673" s="143" t="s">
        <v>933</v>
      </c>
      <c r="C673" s="143" t="s">
        <v>1930</v>
      </c>
      <c r="D673" s="143" t="s">
        <v>1260</v>
      </c>
      <c r="E673" s="149">
        <v>46167.1179720023</v>
      </c>
      <c r="F673" s="143" t="s">
        <v>168</v>
      </c>
      <c r="G673" s="14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43" t="s">
        <v>1943</v>
      </c>
      <c r="B674" s="143" t="s">
        <v>1944</v>
      </c>
      <c r="C674" s="143" t="s">
        <v>1930</v>
      </c>
      <c r="D674" s="143" t="s">
        <v>1260</v>
      </c>
      <c r="E674" s="149">
        <v>46167.1179720023</v>
      </c>
      <c r="F674" s="143" t="s">
        <v>168</v>
      </c>
      <c r="G674" s="14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43" t="s">
        <v>1945</v>
      </c>
      <c r="B675" s="143" t="s">
        <v>1017</v>
      </c>
      <c r="C675" s="143" t="s">
        <v>1930</v>
      </c>
      <c r="D675" s="143" t="s">
        <v>1260</v>
      </c>
      <c r="E675" s="149">
        <v>46167.1179720023</v>
      </c>
      <c r="F675" s="143" t="s">
        <v>168</v>
      </c>
      <c r="G675" s="14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43" t="s">
        <v>1946</v>
      </c>
      <c r="B676" s="143" t="s">
        <v>763</v>
      </c>
      <c r="C676" s="143" t="s">
        <v>1930</v>
      </c>
      <c r="D676" s="143" t="s">
        <v>1260</v>
      </c>
      <c r="E676" s="149">
        <v>46167.1179720023</v>
      </c>
      <c r="F676" s="143" t="s">
        <v>168</v>
      </c>
      <c r="G676" s="14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43" t="s">
        <v>1947</v>
      </c>
      <c r="B677" s="143" t="s">
        <v>769</v>
      </c>
      <c r="C677" s="143" t="s">
        <v>1930</v>
      </c>
      <c r="D677" s="143" t="s">
        <v>1260</v>
      </c>
      <c r="E677" s="149">
        <v>46167.1179720023</v>
      </c>
      <c r="F677" s="143" t="s">
        <v>168</v>
      </c>
      <c r="G677" s="14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43" t="s">
        <v>1948</v>
      </c>
      <c r="B678" s="143" t="s">
        <v>845</v>
      </c>
      <c r="C678" s="143" t="s">
        <v>1930</v>
      </c>
      <c r="D678" s="143" t="s">
        <v>1260</v>
      </c>
      <c r="E678" s="149">
        <v>46167.1179720023</v>
      </c>
      <c r="F678" s="143" t="s">
        <v>168</v>
      </c>
      <c r="G678" s="14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43" t="s">
        <v>1949</v>
      </c>
      <c r="B679" s="143" t="s">
        <v>917</v>
      </c>
      <c r="C679" s="143" t="s">
        <v>1930</v>
      </c>
      <c r="D679" s="143" t="s">
        <v>1260</v>
      </c>
      <c r="E679" s="149">
        <v>46167.1179720023</v>
      </c>
      <c r="F679" s="143" t="s">
        <v>168</v>
      </c>
      <c r="G679" s="14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43" t="s">
        <v>1950</v>
      </c>
      <c r="B680" s="143" t="s">
        <v>923</v>
      </c>
      <c r="C680" s="143" t="s">
        <v>1930</v>
      </c>
      <c r="D680" s="143" t="s">
        <v>1260</v>
      </c>
      <c r="E680" s="149">
        <v>46167.1179720023</v>
      </c>
      <c r="F680" s="143" t="s">
        <v>168</v>
      </c>
      <c r="G680" s="14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43" t="s">
        <v>1951</v>
      </c>
      <c r="B681" s="143" t="s">
        <v>932</v>
      </c>
      <c r="C681" s="143" t="s">
        <v>1930</v>
      </c>
      <c r="D681" s="143" t="s">
        <v>1260</v>
      </c>
      <c r="E681" s="149">
        <v>46167.1179720023</v>
      </c>
      <c r="F681" s="143" t="s">
        <v>168</v>
      </c>
      <c r="G681" s="14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43" t="s">
        <v>1933</v>
      </c>
      <c r="B682" s="143" t="s">
        <v>934</v>
      </c>
      <c r="C682" s="143" t="s">
        <v>1930</v>
      </c>
      <c r="D682" s="143" t="s">
        <v>1260</v>
      </c>
      <c r="E682" s="149">
        <v>46167.1179720023</v>
      </c>
      <c r="F682" s="143" t="s">
        <v>168</v>
      </c>
      <c r="G682" s="14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43" t="s">
        <v>1952</v>
      </c>
      <c r="B683" s="143" t="s">
        <v>943</v>
      </c>
      <c r="C683" s="143" t="s">
        <v>1930</v>
      </c>
      <c r="D683" s="143" t="s">
        <v>1260</v>
      </c>
      <c r="E683" s="149">
        <v>46167.1179720023</v>
      </c>
      <c r="F683" s="143" t="s">
        <v>168</v>
      </c>
      <c r="G683" s="14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43" t="s">
        <v>1953</v>
      </c>
      <c r="B684" s="143" t="s">
        <v>958</v>
      </c>
      <c r="C684" s="143" t="s">
        <v>1930</v>
      </c>
      <c r="D684" s="143" t="s">
        <v>1260</v>
      </c>
      <c r="E684" s="149">
        <v>46167.1179720023</v>
      </c>
      <c r="F684" s="143" t="s">
        <v>168</v>
      </c>
      <c r="G684" s="14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43" t="s">
        <v>1954</v>
      </c>
      <c r="B685" s="143" t="s">
        <v>984</v>
      </c>
      <c r="C685" s="143" t="s">
        <v>1930</v>
      </c>
      <c r="D685" s="143" t="s">
        <v>1260</v>
      </c>
      <c r="E685" s="149">
        <v>46167.1179720023</v>
      </c>
      <c r="F685" s="143" t="s">
        <v>168</v>
      </c>
      <c r="G685" s="14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43" t="s">
        <v>1955</v>
      </c>
      <c r="B686" s="143" t="s">
        <v>835</v>
      </c>
      <c r="C686" s="143" t="s">
        <v>1930</v>
      </c>
      <c r="D686" s="143" t="s">
        <v>1260</v>
      </c>
      <c r="E686" s="149">
        <v>46167.1179720023</v>
      </c>
      <c r="F686" s="143" t="s">
        <v>168</v>
      </c>
      <c r="G686" s="14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43" t="s">
        <v>1956</v>
      </c>
      <c r="B687" s="143" t="s">
        <v>722</v>
      </c>
      <c r="C687" s="143" t="s">
        <v>1930</v>
      </c>
      <c r="D687" s="143" t="s">
        <v>1260</v>
      </c>
      <c r="E687" s="149">
        <v>46167.1179720023</v>
      </c>
      <c r="F687" s="143" t="s">
        <v>168</v>
      </c>
      <c r="G687" s="14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43" t="s">
        <v>1957</v>
      </c>
      <c r="B688" s="143" t="s">
        <v>753</v>
      </c>
      <c r="C688" s="143" t="s">
        <v>1930</v>
      </c>
      <c r="D688" s="143" t="s">
        <v>1260</v>
      </c>
      <c r="E688" s="149">
        <v>46167.1179720023</v>
      </c>
      <c r="F688" s="143" t="s">
        <v>168</v>
      </c>
      <c r="G688" s="14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43" t="s">
        <v>1958</v>
      </c>
      <c r="B689" s="143" t="s">
        <v>774</v>
      </c>
      <c r="C689" s="143" t="s">
        <v>1930</v>
      </c>
      <c r="D689" s="143" t="s">
        <v>1260</v>
      </c>
      <c r="E689" s="149">
        <v>46167.1179720023</v>
      </c>
      <c r="F689" s="143" t="s">
        <v>168</v>
      </c>
      <c r="G689" s="14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43" t="s">
        <v>1959</v>
      </c>
      <c r="B690" s="143" t="s">
        <v>779</v>
      </c>
      <c r="C690" s="143" t="s">
        <v>1930</v>
      </c>
      <c r="D690" s="143" t="s">
        <v>1260</v>
      </c>
      <c r="E690" s="149">
        <v>46167.1179720023</v>
      </c>
      <c r="F690" s="143" t="s">
        <v>168</v>
      </c>
      <c r="G690" s="14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43" t="s">
        <v>1960</v>
      </c>
      <c r="B691" s="143" t="s">
        <v>794</v>
      </c>
      <c r="C691" s="143" t="s">
        <v>1930</v>
      </c>
      <c r="D691" s="143" t="s">
        <v>1260</v>
      </c>
      <c r="E691" s="149">
        <v>46167.1179720023</v>
      </c>
      <c r="F691" s="143" t="s">
        <v>168</v>
      </c>
      <c r="G691" s="14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43" t="s">
        <v>1961</v>
      </c>
      <c r="B692" s="143" t="s">
        <v>849</v>
      </c>
      <c r="C692" s="143" t="s">
        <v>1930</v>
      </c>
      <c r="D692" s="143" t="s">
        <v>1260</v>
      </c>
      <c r="E692" s="149">
        <v>46167.1179720023</v>
      </c>
      <c r="F692" s="143" t="s">
        <v>168</v>
      </c>
      <c r="G692" s="14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43" t="s">
        <v>1962</v>
      </c>
      <c r="B693" s="143" t="s">
        <v>866</v>
      </c>
      <c r="C693" s="143" t="s">
        <v>1930</v>
      </c>
      <c r="D693" s="143" t="s">
        <v>1260</v>
      </c>
      <c r="E693" s="149">
        <v>46167.1179720023</v>
      </c>
      <c r="F693" s="143" t="s">
        <v>168</v>
      </c>
      <c r="G693" s="14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43" t="s">
        <v>1963</v>
      </c>
      <c r="B694" s="143" t="s">
        <v>989</v>
      </c>
      <c r="C694" s="143" t="s">
        <v>1930</v>
      </c>
      <c r="D694" s="143" t="s">
        <v>1260</v>
      </c>
      <c r="E694" s="149">
        <v>46167.1179720023</v>
      </c>
      <c r="F694" s="143" t="s">
        <v>168</v>
      </c>
      <c r="G694" s="14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43" t="s">
        <v>1964</v>
      </c>
      <c r="B695" s="143" t="s">
        <v>1965</v>
      </c>
      <c r="C695" s="143" t="s">
        <v>1930</v>
      </c>
      <c r="D695" s="143" t="s">
        <v>1260</v>
      </c>
      <c r="E695" s="149">
        <v>46167.1179720023</v>
      </c>
      <c r="F695" s="143" t="s">
        <v>168</v>
      </c>
      <c r="G695" s="14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43" t="s">
        <v>1966</v>
      </c>
      <c r="B696" s="143" t="s">
        <v>1009</v>
      </c>
      <c r="C696" s="143" t="s">
        <v>1930</v>
      </c>
      <c r="D696" s="143" t="s">
        <v>1260</v>
      </c>
      <c r="E696" s="149">
        <v>46167.1179720023</v>
      </c>
      <c r="F696" s="143" t="s">
        <v>168</v>
      </c>
      <c r="G696" s="14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43" t="s">
        <v>1967</v>
      </c>
      <c r="B697" s="143" t="s">
        <v>1968</v>
      </c>
      <c r="C697" s="143" t="s">
        <v>1930</v>
      </c>
      <c r="D697" s="143" t="s">
        <v>1260</v>
      </c>
      <c r="E697" s="149">
        <v>46167.1179720023</v>
      </c>
      <c r="F697" s="143" t="s">
        <v>168</v>
      </c>
      <c r="G697" s="14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43" t="s">
        <v>1969</v>
      </c>
      <c r="B698" s="143" t="s">
        <v>744</v>
      </c>
      <c r="C698" s="143" t="s">
        <v>1930</v>
      </c>
      <c r="D698" s="143" t="s">
        <v>1260</v>
      </c>
      <c r="E698" s="149">
        <v>46167.1179720023</v>
      </c>
      <c r="F698" s="143" t="s">
        <v>168</v>
      </c>
      <c r="G698" s="14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43" t="s">
        <v>1970</v>
      </c>
      <c r="B699" s="143" t="s">
        <v>881</v>
      </c>
      <c r="C699" s="143" t="s">
        <v>1930</v>
      </c>
      <c r="D699" s="143" t="s">
        <v>1260</v>
      </c>
      <c r="E699" s="149">
        <v>46167.1179720023</v>
      </c>
      <c r="F699" s="143" t="s">
        <v>168</v>
      </c>
      <c r="G699" s="14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43" t="s">
        <v>1971</v>
      </c>
      <c r="B700" s="143" t="s">
        <v>1972</v>
      </c>
      <c r="C700" s="143" t="s">
        <v>1930</v>
      </c>
      <c r="D700" s="143" t="s">
        <v>1260</v>
      </c>
      <c r="E700" s="149">
        <v>46167.1179720023</v>
      </c>
      <c r="F700" s="143" t="s">
        <v>168</v>
      </c>
      <c r="G700" s="14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43" t="s">
        <v>1973</v>
      </c>
      <c r="B701" s="143" t="s">
        <v>830</v>
      </c>
      <c r="C701" s="143" t="s">
        <v>1930</v>
      </c>
      <c r="D701" s="143" t="s">
        <v>1260</v>
      </c>
      <c r="E701" s="149">
        <v>46167.1179720023</v>
      </c>
      <c r="F701" s="143" t="s">
        <v>168</v>
      </c>
      <c r="G701" s="14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43" t="s">
        <v>1974</v>
      </c>
      <c r="B702" s="143" t="s">
        <v>885</v>
      </c>
      <c r="C702" s="143" t="s">
        <v>1930</v>
      </c>
      <c r="D702" s="143" t="s">
        <v>1260</v>
      </c>
      <c r="E702" s="149">
        <v>46167.1179720023</v>
      </c>
      <c r="F702" s="143" t="s">
        <v>168</v>
      </c>
      <c r="G702" s="14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43" t="s">
        <v>1975</v>
      </c>
      <c r="B703" s="143" t="s">
        <v>889</v>
      </c>
      <c r="C703" s="143" t="s">
        <v>1930</v>
      </c>
      <c r="D703" s="143" t="s">
        <v>1260</v>
      </c>
      <c r="E703" s="149">
        <v>46167.1179720023</v>
      </c>
      <c r="F703" s="143" t="s">
        <v>168</v>
      </c>
      <c r="G703" s="14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43" t="s">
        <v>1976</v>
      </c>
      <c r="B704" s="143" t="s">
        <v>1977</v>
      </c>
      <c r="C704" s="143" t="s">
        <v>1930</v>
      </c>
      <c r="D704" s="143" t="s">
        <v>1260</v>
      </c>
      <c r="E704" s="149">
        <v>46167.1179720023</v>
      </c>
      <c r="F704" s="143" t="s">
        <v>168</v>
      </c>
      <c r="G704" s="14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43" t="s">
        <v>1978</v>
      </c>
      <c r="B705" s="143" t="s">
        <v>895</v>
      </c>
      <c r="C705" s="143" t="s">
        <v>1930</v>
      </c>
      <c r="D705" s="143" t="s">
        <v>1260</v>
      </c>
      <c r="E705" s="149">
        <v>46167.1179720023</v>
      </c>
      <c r="F705" s="143" t="s">
        <v>168</v>
      </c>
      <c r="G705" s="14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43" t="s">
        <v>1979</v>
      </c>
      <c r="B706" s="143" t="s">
        <v>902</v>
      </c>
      <c r="C706" s="143" t="s">
        <v>1930</v>
      </c>
      <c r="D706" s="143" t="s">
        <v>1260</v>
      </c>
      <c r="E706" s="149">
        <v>46167.1179720023</v>
      </c>
      <c r="F706" s="143" t="s">
        <v>168</v>
      </c>
      <c r="G706" s="14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43" t="s">
        <v>1980</v>
      </c>
      <c r="B707" s="143" t="s">
        <v>970</v>
      </c>
      <c r="C707" s="143" t="s">
        <v>1930</v>
      </c>
      <c r="D707" s="143" t="s">
        <v>1260</v>
      </c>
      <c r="E707" s="149">
        <v>46167.1179720023</v>
      </c>
      <c r="F707" s="143" t="s">
        <v>168</v>
      </c>
      <c r="G707" s="14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43" t="s">
        <v>1981</v>
      </c>
      <c r="B708" s="143" t="s">
        <v>974</v>
      </c>
      <c r="C708" s="143" t="s">
        <v>1930</v>
      </c>
      <c r="D708" s="143" t="s">
        <v>1260</v>
      </c>
      <c r="E708" s="149">
        <v>46167.1179720023</v>
      </c>
      <c r="F708" s="143" t="s">
        <v>168</v>
      </c>
      <c r="G708" s="14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43" t="s">
        <v>1982</v>
      </c>
      <c r="B709" s="143" t="s">
        <v>999</v>
      </c>
      <c r="C709" s="143" t="s">
        <v>1930</v>
      </c>
      <c r="D709" s="143" t="s">
        <v>1260</v>
      </c>
      <c r="E709" s="149">
        <v>46167.1179720023</v>
      </c>
      <c r="F709" s="143" t="s">
        <v>168</v>
      </c>
      <c r="G709" s="14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43" t="s">
        <v>1983</v>
      </c>
      <c r="B710" s="143" t="s">
        <v>702</v>
      </c>
      <c r="C710" s="143" t="s">
        <v>1930</v>
      </c>
      <c r="D710" s="143" t="s">
        <v>1260</v>
      </c>
      <c r="E710" s="149">
        <v>46167.1179720023</v>
      </c>
      <c r="F710" s="143" t="s">
        <v>168</v>
      </c>
      <c r="G710" s="14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43" t="s">
        <v>1984</v>
      </c>
      <c r="B711" s="143" t="s">
        <v>823</v>
      </c>
      <c r="C711" s="143" t="s">
        <v>1930</v>
      </c>
      <c r="D711" s="143" t="s">
        <v>1260</v>
      </c>
      <c r="E711" s="149">
        <v>46167.1179720023</v>
      </c>
      <c r="F711" s="143" t="s">
        <v>168</v>
      </c>
      <c r="G711" s="14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43" t="s">
        <v>1948</v>
      </c>
      <c r="B712" s="143" t="s">
        <v>845</v>
      </c>
      <c r="C712" s="143" t="s">
        <v>1930</v>
      </c>
      <c r="D712" s="143" t="s">
        <v>1260</v>
      </c>
      <c r="E712" s="149">
        <v>46167.1179720023</v>
      </c>
      <c r="F712" s="143" t="s">
        <v>168</v>
      </c>
      <c r="G712" s="14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43" t="s">
        <v>1985</v>
      </c>
      <c r="B713" s="143" t="s">
        <v>914</v>
      </c>
      <c r="C713" s="143" t="s">
        <v>1930</v>
      </c>
      <c r="D713" s="143" t="s">
        <v>1260</v>
      </c>
      <c r="E713" s="149">
        <v>46167.1179720023</v>
      </c>
      <c r="F713" s="143" t="s">
        <v>168</v>
      </c>
      <c r="G713" s="14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43" t="s">
        <v>1986</v>
      </c>
      <c r="B714" s="143" t="s">
        <v>936</v>
      </c>
      <c r="C714" s="143" t="s">
        <v>1930</v>
      </c>
      <c r="D714" s="143" t="s">
        <v>1260</v>
      </c>
      <c r="E714" s="149">
        <v>46167.1179720023</v>
      </c>
      <c r="F714" s="143" t="s">
        <v>168</v>
      </c>
      <c r="G714" s="14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43" t="s">
        <v>1987</v>
      </c>
      <c r="B715" s="143" t="s">
        <v>968</v>
      </c>
      <c r="C715" s="143" t="s">
        <v>1930</v>
      </c>
      <c r="D715" s="143" t="s">
        <v>1260</v>
      </c>
      <c r="E715" s="149">
        <v>46167.1179720023</v>
      </c>
      <c r="F715" s="143" t="s">
        <v>168</v>
      </c>
      <c r="G715" s="14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43" t="s">
        <v>1988</v>
      </c>
      <c r="B716" s="143" t="s">
        <v>1012</v>
      </c>
      <c r="C716" s="143" t="s">
        <v>1930</v>
      </c>
      <c r="D716" s="143" t="s">
        <v>1260</v>
      </c>
      <c r="E716" s="149">
        <v>46167.1179720023</v>
      </c>
      <c r="F716" s="143" t="s">
        <v>168</v>
      </c>
      <c r="G716" s="14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43" t="s">
        <v>1989</v>
      </c>
      <c r="B717" s="143" t="s">
        <v>1990</v>
      </c>
      <c r="C717" s="143" t="s">
        <v>1930</v>
      </c>
      <c r="D717" s="143" t="s">
        <v>1260</v>
      </c>
      <c r="E717" s="149">
        <v>46167.1179720023</v>
      </c>
      <c r="F717" s="143" t="s">
        <v>168</v>
      </c>
      <c r="G717" s="14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43" t="s">
        <v>1991</v>
      </c>
      <c r="B718" s="143" t="s">
        <v>1992</v>
      </c>
      <c r="C718" s="143" t="s">
        <v>1930</v>
      </c>
      <c r="D718" s="143" t="s">
        <v>1260</v>
      </c>
      <c r="E718" s="149">
        <v>46167.1179720023</v>
      </c>
      <c r="F718" s="143" t="s">
        <v>168</v>
      </c>
      <c r="G718" s="14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43" t="s">
        <v>1993</v>
      </c>
      <c r="B719" s="143" t="s">
        <v>920</v>
      </c>
      <c r="C719" s="143" t="s">
        <v>1930</v>
      </c>
      <c r="D719" s="143" t="s">
        <v>1260</v>
      </c>
      <c r="E719" s="149">
        <v>46167.1179720023</v>
      </c>
      <c r="F719" s="143" t="s">
        <v>168</v>
      </c>
      <c r="G719" s="14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43" t="s">
        <v>1994</v>
      </c>
      <c r="B720" s="143" t="s">
        <v>1995</v>
      </c>
      <c r="C720" s="143" t="s">
        <v>1930</v>
      </c>
      <c r="D720" s="143" t="s">
        <v>1260</v>
      </c>
      <c r="E720" s="149">
        <v>46167.1179720023</v>
      </c>
      <c r="F720" s="143" t="s">
        <v>168</v>
      </c>
      <c r="G720" s="14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43" t="s">
        <v>1996</v>
      </c>
      <c r="B721" s="143" t="s">
        <v>948</v>
      </c>
      <c r="C721" s="143" t="s">
        <v>1930</v>
      </c>
      <c r="D721" s="143" t="s">
        <v>1260</v>
      </c>
      <c r="E721" s="149">
        <v>46167.1179720023</v>
      </c>
      <c r="F721" s="143" t="s">
        <v>168</v>
      </c>
      <c r="G721" s="14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43" t="s">
        <v>1997</v>
      </c>
      <c r="B722" s="143" t="s">
        <v>962</v>
      </c>
      <c r="C722" s="143" t="s">
        <v>1930</v>
      </c>
      <c r="D722" s="143" t="s">
        <v>1260</v>
      </c>
      <c r="E722" s="149">
        <v>46167.1179720023</v>
      </c>
      <c r="F722" s="143" t="s">
        <v>168</v>
      </c>
      <c r="G722" s="14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43" t="s">
        <v>1998</v>
      </c>
      <c r="B723" s="143" t="s">
        <v>860</v>
      </c>
      <c r="C723" s="143" t="s">
        <v>1930</v>
      </c>
      <c r="D723" s="143" t="s">
        <v>1260</v>
      </c>
      <c r="E723" s="149">
        <v>46167.1179720023</v>
      </c>
      <c r="F723" s="143" t="s">
        <v>168</v>
      </c>
      <c r="G723" s="14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43" t="s">
        <v>1999</v>
      </c>
      <c r="B724" s="143" t="s">
        <v>987</v>
      </c>
      <c r="C724" s="143" t="s">
        <v>1930</v>
      </c>
      <c r="D724" s="143" t="s">
        <v>1260</v>
      </c>
      <c r="E724" s="149">
        <v>46167.1179720023</v>
      </c>
      <c r="F724" s="143" t="s">
        <v>168</v>
      </c>
      <c r="G724" s="14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43" t="s">
        <v>2000</v>
      </c>
      <c r="B725" s="143" t="s">
        <v>841</v>
      </c>
      <c r="C725" s="143" t="s">
        <v>1930</v>
      </c>
      <c r="D725" s="143" t="s">
        <v>1260</v>
      </c>
      <c r="E725" s="149">
        <v>46167.1179720023</v>
      </c>
      <c r="F725" s="143" t="s">
        <v>168</v>
      </c>
      <c r="G725" s="14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43" t="s">
        <v>2001</v>
      </c>
      <c r="B726" s="143" t="s">
        <v>2002</v>
      </c>
      <c r="C726" s="143" t="s">
        <v>1930</v>
      </c>
      <c r="D726" s="143" t="s">
        <v>1260</v>
      </c>
      <c r="E726" s="149">
        <v>46167.1179720023</v>
      </c>
      <c r="F726" s="143" t="s">
        <v>168</v>
      </c>
      <c r="G726" s="14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43" t="s">
        <v>2003</v>
      </c>
      <c r="B727" s="143" t="s">
        <v>2004</v>
      </c>
      <c r="C727" s="143" t="s">
        <v>1930</v>
      </c>
      <c r="D727" s="143" t="s">
        <v>1260</v>
      </c>
      <c r="E727" s="149">
        <v>46167.1179720023</v>
      </c>
      <c r="F727" s="143" t="s">
        <v>168</v>
      </c>
      <c r="G727" s="14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43" t="s">
        <v>2005</v>
      </c>
      <c r="B728" s="143" t="s">
        <v>2006</v>
      </c>
      <c r="C728" s="143" t="s">
        <v>1930</v>
      </c>
      <c r="D728" s="143" t="s">
        <v>1260</v>
      </c>
      <c r="E728" s="149">
        <v>46167.1179720023</v>
      </c>
      <c r="F728" s="143" t="s">
        <v>168</v>
      </c>
      <c r="G728" s="14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43" t="s">
        <v>2007</v>
      </c>
      <c r="B729" s="143" t="s">
        <v>785</v>
      </c>
      <c r="C729" s="143" t="s">
        <v>1930</v>
      </c>
      <c r="D729" s="143" t="s">
        <v>1260</v>
      </c>
      <c r="E729" s="149">
        <v>46167.1179720023</v>
      </c>
      <c r="F729" s="143" t="s">
        <v>168</v>
      </c>
      <c r="G729" s="14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43" t="s">
        <v>2008</v>
      </c>
      <c r="B730" s="143" t="s">
        <v>796</v>
      </c>
      <c r="C730" s="143" t="s">
        <v>1930</v>
      </c>
      <c r="D730" s="143" t="s">
        <v>1260</v>
      </c>
      <c r="E730" s="149">
        <v>46167.1179720023</v>
      </c>
      <c r="F730" s="143" t="s">
        <v>168</v>
      </c>
      <c r="G730" s="14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43" t="s">
        <v>2009</v>
      </c>
      <c r="B731" s="143" t="s">
        <v>809</v>
      </c>
      <c r="C731" s="143" t="s">
        <v>1930</v>
      </c>
      <c r="D731" s="143" t="s">
        <v>1260</v>
      </c>
      <c r="E731" s="149">
        <v>46167.1179720023</v>
      </c>
      <c r="F731" s="143" t="s">
        <v>168</v>
      </c>
      <c r="G731" s="14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43" t="s">
        <v>2010</v>
      </c>
      <c r="B732" s="143" t="s">
        <v>2011</v>
      </c>
      <c r="C732" s="143" t="s">
        <v>1930</v>
      </c>
      <c r="D732" s="143" t="s">
        <v>1260</v>
      </c>
      <c r="E732" s="149">
        <v>46167.1179720023</v>
      </c>
      <c r="F732" s="143" t="s">
        <v>168</v>
      </c>
      <c r="G732" s="14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43" t="s">
        <v>2012</v>
      </c>
      <c r="B733" s="143" t="s">
        <v>960</v>
      </c>
      <c r="C733" s="143" t="s">
        <v>1930</v>
      </c>
      <c r="D733" s="143" t="s">
        <v>1260</v>
      </c>
      <c r="E733" s="149">
        <v>46167.1179720023</v>
      </c>
      <c r="F733" s="143" t="s">
        <v>168</v>
      </c>
      <c r="G733" s="14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43" t="s">
        <v>2013</v>
      </c>
      <c r="B734" s="143" t="s">
        <v>1001</v>
      </c>
      <c r="C734" s="143" t="s">
        <v>1930</v>
      </c>
      <c r="D734" s="143" t="s">
        <v>1260</v>
      </c>
      <c r="E734" s="149">
        <v>46167.1179720023</v>
      </c>
      <c r="F734" s="143" t="s">
        <v>168</v>
      </c>
      <c r="G734" s="14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43" t="s">
        <v>2014</v>
      </c>
      <c r="B735" s="143" t="s">
        <v>729</v>
      </c>
      <c r="C735" s="143" t="s">
        <v>1930</v>
      </c>
      <c r="D735" s="143" t="s">
        <v>1260</v>
      </c>
      <c r="E735" s="149">
        <v>46167.1179720023</v>
      </c>
      <c r="F735" s="143" t="s">
        <v>168</v>
      </c>
      <c r="G735" s="14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43" t="s">
        <v>2015</v>
      </c>
      <c r="B736" s="143" t="s">
        <v>812</v>
      </c>
      <c r="C736" s="143" t="s">
        <v>1930</v>
      </c>
      <c r="D736" s="143" t="s">
        <v>1260</v>
      </c>
      <c r="E736" s="149">
        <v>46167.1179720023</v>
      </c>
      <c r="F736" s="143" t="s">
        <v>168</v>
      </c>
      <c r="G736" s="14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43" t="s">
        <v>2016</v>
      </c>
      <c r="B737" s="143" t="s">
        <v>905</v>
      </c>
      <c r="C737" s="143" t="s">
        <v>1930</v>
      </c>
      <c r="D737" s="143" t="s">
        <v>1260</v>
      </c>
      <c r="E737" s="149">
        <v>46167.1179720023</v>
      </c>
      <c r="F737" s="143" t="s">
        <v>168</v>
      </c>
      <c r="G737" s="14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43" t="s">
        <v>2017</v>
      </c>
      <c r="B738" s="143" t="s">
        <v>911</v>
      </c>
      <c r="C738" s="143" t="s">
        <v>1930</v>
      </c>
      <c r="D738" s="143" t="s">
        <v>1260</v>
      </c>
      <c r="E738" s="149">
        <v>46167.1179720023</v>
      </c>
      <c r="F738" s="143" t="s">
        <v>168</v>
      </c>
      <c r="G738" s="14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43" t="s">
        <v>2018</v>
      </c>
      <c r="B739" s="143" t="s">
        <v>1627</v>
      </c>
      <c r="C739" s="143" t="s">
        <v>1930</v>
      </c>
      <c r="D739" s="143" t="s">
        <v>1260</v>
      </c>
      <c r="E739" s="149">
        <v>46167.1179720023</v>
      </c>
      <c r="F739" s="143" t="s">
        <v>168</v>
      </c>
      <c r="G739" s="14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43" t="s">
        <v>2019</v>
      </c>
      <c r="B740" s="143" t="s">
        <v>992</v>
      </c>
      <c r="C740" s="143" t="s">
        <v>1930</v>
      </c>
      <c r="D740" s="143" t="s">
        <v>1260</v>
      </c>
      <c r="E740" s="149">
        <v>46167.1179720023</v>
      </c>
      <c r="F740" s="143" t="s">
        <v>168</v>
      </c>
      <c r="G740" s="14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43" t="s">
        <v>1998</v>
      </c>
      <c r="B741" s="143" t="s">
        <v>860</v>
      </c>
      <c r="C741" s="143" t="s">
        <v>1930</v>
      </c>
      <c r="D741" s="143" t="s">
        <v>1260</v>
      </c>
      <c r="E741" s="149">
        <v>46167.1179720023</v>
      </c>
      <c r="F741" s="143" t="s">
        <v>168</v>
      </c>
      <c r="G741" s="14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43" t="s">
        <v>2020</v>
      </c>
      <c r="B742" s="143" t="s">
        <v>735</v>
      </c>
      <c r="C742" s="143" t="s">
        <v>1930</v>
      </c>
      <c r="D742" s="143" t="s">
        <v>1260</v>
      </c>
      <c r="E742" s="149">
        <v>46167.1179720023</v>
      </c>
      <c r="F742" s="143" t="s">
        <v>168</v>
      </c>
      <c r="G742" s="14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43" t="s">
        <v>2021</v>
      </c>
      <c r="B743" s="143" t="s">
        <v>791</v>
      </c>
      <c r="C743" s="143" t="s">
        <v>1930</v>
      </c>
      <c r="D743" s="143" t="s">
        <v>1260</v>
      </c>
      <c r="E743" s="149">
        <v>46167.1179720023</v>
      </c>
      <c r="F743" s="143" t="s">
        <v>168</v>
      </c>
      <c r="G743" s="14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43" t="s">
        <v>2022</v>
      </c>
      <c r="B744" s="143" t="s">
        <v>805</v>
      </c>
      <c r="C744" s="143" t="s">
        <v>1930</v>
      </c>
      <c r="D744" s="143" t="s">
        <v>1260</v>
      </c>
      <c r="E744" s="149">
        <v>46167.1179720023</v>
      </c>
      <c r="F744" s="143" t="s">
        <v>168</v>
      </c>
      <c r="G744" s="14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43" t="s">
        <v>2023</v>
      </c>
      <c r="B745" s="143" t="s">
        <v>893</v>
      </c>
      <c r="C745" s="143" t="s">
        <v>1930</v>
      </c>
      <c r="D745" s="143" t="s">
        <v>1260</v>
      </c>
      <c r="E745" s="149">
        <v>46167.1179720023</v>
      </c>
      <c r="F745" s="143" t="s">
        <v>168</v>
      </c>
      <c r="G745" s="14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43" t="s">
        <v>2024</v>
      </c>
      <c r="B746" s="143" t="s">
        <v>929</v>
      </c>
      <c r="C746" s="143" t="s">
        <v>1930</v>
      </c>
      <c r="D746" s="143" t="s">
        <v>1260</v>
      </c>
      <c r="E746" s="149">
        <v>46167.1179720023</v>
      </c>
      <c r="F746" s="143" t="s">
        <v>168</v>
      </c>
      <c r="G746" s="14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43" t="s">
        <v>2025</v>
      </c>
      <c r="B747" s="143" t="s">
        <v>955</v>
      </c>
      <c r="C747" s="143" t="s">
        <v>1930</v>
      </c>
      <c r="D747" s="143" t="s">
        <v>1260</v>
      </c>
      <c r="E747" s="149">
        <v>46167.1179720023</v>
      </c>
      <c r="F747" s="143" t="s">
        <v>168</v>
      </c>
      <c r="G747" s="14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43" t="s">
        <v>1974</v>
      </c>
      <c r="B748" s="143" t="s">
        <v>885</v>
      </c>
      <c r="C748" s="143" t="s">
        <v>1930</v>
      </c>
      <c r="D748" s="143" t="s">
        <v>1260</v>
      </c>
      <c r="E748" s="149">
        <v>46167.1179720023</v>
      </c>
      <c r="F748" s="143" t="s">
        <v>168</v>
      </c>
      <c r="G748" s="14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43" t="s">
        <v>1961</v>
      </c>
      <c r="B749" s="143" t="s">
        <v>849</v>
      </c>
      <c r="C749" s="143" t="s">
        <v>1930</v>
      </c>
      <c r="D749" s="143" t="s">
        <v>1260</v>
      </c>
      <c r="E749" s="149">
        <v>46167.1179720023</v>
      </c>
      <c r="F749" s="143" t="s">
        <v>168</v>
      </c>
      <c r="G749" s="14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43" t="s">
        <v>2005</v>
      </c>
      <c r="B750" s="143" t="s">
        <v>2006</v>
      </c>
      <c r="C750" s="143" t="s">
        <v>1930</v>
      </c>
      <c r="D750" s="143" t="s">
        <v>1260</v>
      </c>
      <c r="E750" s="149">
        <v>46167.1179720023</v>
      </c>
      <c r="F750" s="143" t="s">
        <v>168</v>
      </c>
      <c r="G750" s="14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43" t="s">
        <v>2007</v>
      </c>
      <c r="B751" s="143" t="s">
        <v>785</v>
      </c>
      <c r="C751" s="143" t="s">
        <v>1930</v>
      </c>
      <c r="D751" s="143" t="s">
        <v>1260</v>
      </c>
      <c r="E751" s="149">
        <v>46167.1179720023</v>
      </c>
      <c r="F751" s="143" t="s">
        <v>168</v>
      </c>
      <c r="G751" s="14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43" t="s">
        <v>2008</v>
      </c>
      <c r="B752" s="143" t="s">
        <v>796</v>
      </c>
      <c r="C752" s="143" t="s">
        <v>1930</v>
      </c>
      <c r="D752" s="143" t="s">
        <v>1260</v>
      </c>
      <c r="E752" s="149">
        <v>46167.1179720023</v>
      </c>
      <c r="F752" s="143" t="s">
        <v>168</v>
      </c>
      <c r="G752" s="14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43" t="s">
        <v>2009</v>
      </c>
      <c r="B753" s="143" t="s">
        <v>809</v>
      </c>
      <c r="C753" s="143" t="s">
        <v>1930</v>
      </c>
      <c r="D753" s="143" t="s">
        <v>1260</v>
      </c>
      <c r="E753" s="149">
        <v>46167.1179720023</v>
      </c>
      <c r="F753" s="143" t="s">
        <v>168</v>
      </c>
      <c r="G753" s="14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43" t="s">
        <v>2010</v>
      </c>
      <c r="B754" s="143" t="s">
        <v>2011</v>
      </c>
      <c r="C754" s="143" t="s">
        <v>1930</v>
      </c>
      <c r="D754" s="143" t="s">
        <v>1260</v>
      </c>
      <c r="E754" s="149">
        <v>46167.1179720023</v>
      </c>
      <c r="F754" s="143" t="s">
        <v>168</v>
      </c>
      <c r="G754" s="14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43" t="s">
        <v>2012</v>
      </c>
      <c r="B755" s="143" t="s">
        <v>960</v>
      </c>
      <c r="C755" s="143" t="s">
        <v>1930</v>
      </c>
      <c r="D755" s="143" t="s">
        <v>1260</v>
      </c>
      <c r="E755" s="149">
        <v>46167.1179720023</v>
      </c>
      <c r="F755" s="143" t="s">
        <v>168</v>
      </c>
      <c r="G755" s="14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43" t="s">
        <v>2013</v>
      </c>
      <c r="B756" s="143" t="s">
        <v>1001</v>
      </c>
      <c r="C756" s="143" t="s">
        <v>1930</v>
      </c>
      <c r="D756" s="143" t="s">
        <v>1260</v>
      </c>
      <c r="E756" s="149">
        <v>46167.1179720023</v>
      </c>
      <c r="F756" s="143" t="s">
        <v>168</v>
      </c>
      <c r="G756" s="14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43" t="s">
        <v>2026</v>
      </c>
      <c r="B757" s="143" t="s">
        <v>2027</v>
      </c>
      <c r="C757" s="143" t="s">
        <v>2028</v>
      </c>
      <c r="D757" s="143" t="s">
        <v>1260</v>
      </c>
      <c r="E757" s="149">
        <v>46167.1179720023</v>
      </c>
      <c r="F757" s="143" t="s">
        <v>168</v>
      </c>
      <c r="G757" s="14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43" t="s">
        <v>2029</v>
      </c>
      <c r="B758" s="143" t="s">
        <v>2030</v>
      </c>
      <c r="C758" s="143" t="s">
        <v>2028</v>
      </c>
      <c r="D758" s="143" t="s">
        <v>1260</v>
      </c>
      <c r="E758" s="149">
        <v>46167.1179720023</v>
      </c>
      <c r="F758" s="143" t="s">
        <v>168</v>
      </c>
      <c r="G758" s="14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43" t="s">
        <v>2031</v>
      </c>
      <c r="B759" s="143" t="s">
        <v>2032</v>
      </c>
      <c r="C759" s="143" t="s">
        <v>2028</v>
      </c>
      <c r="D759" s="143" t="s">
        <v>1260</v>
      </c>
      <c r="E759" s="149">
        <v>46167.1179720023</v>
      </c>
      <c r="F759" s="143" t="s">
        <v>168</v>
      </c>
      <c r="G759" s="14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43" t="s">
        <v>2033</v>
      </c>
      <c r="B760" s="143" t="s">
        <v>2034</v>
      </c>
      <c r="C760" s="143" t="s">
        <v>2028</v>
      </c>
      <c r="D760" s="143" t="s">
        <v>1260</v>
      </c>
      <c r="E760" s="149">
        <v>46167.1179720023</v>
      </c>
      <c r="F760" s="143" t="s">
        <v>168</v>
      </c>
      <c r="G760" s="14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43" t="s">
        <v>2035</v>
      </c>
      <c r="B761" s="143" t="s">
        <v>2036</v>
      </c>
      <c r="C761" s="143" t="s">
        <v>2028</v>
      </c>
      <c r="D761" s="143" t="s">
        <v>1260</v>
      </c>
      <c r="E761" s="149">
        <v>46167.1179720023</v>
      </c>
      <c r="F761" s="143" t="s">
        <v>168</v>
      </c>
      <c r="G761" s="14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43" t="s">
        <v>2037</v>
      </c>
      <c r="B762" s="143" t="s">
        <v>2038</v>
      </c>
      <c r="C762" s="143" t="s">
        <v>2028</v>
      </c>
      <c r="D762" s="143" t="s">
        <v>1260</v>
      </c>
      <c r="E762" s="149">
        <v>46167.1179720023</v>
      </c>
      <c r="F762" s="143" t="s">
        <v>168</v>
      </c>
      <c r="G762" s="14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43" t="s">
        <v>2039</v>
      </c>
      <c r="B763" s="143" t="s">
        <v>2040</v>
      </c>
      <c r="C763" s="143" t="s">
        <v>2028</v>
      </c>
      <c r="D763" s="143" t="s">
        <v>1260</v>
      </c>
      <c r="E763" s="149">
        <v>46167.1179720023</v>
      </c>
      <c r="F763" s="143" t="s">
        <v>168</v>
      </c>
      <c r="G763" s="14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43" t="s">
        <v>2041</v>
      </c>
      <c r="B764" s="143" t="s">
        <v>2042</v>
      </c>
      <c r="C764" s="143" t="s">
        <v>2028</v>
      </c>
      <c r="D764" s="143" t="s">
        <v>1260</v>
      </c>
      <c r="E764" s="149">
        <v>46167.1179720023</v>
      </c>
      <c r="F764" s="143" t="s">
        <v>168</v>
      </c>
      <c r="G764" s="14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43" t="s">
        <v>2043</v>
      </c>
      <c r="B765" s="143" t="s">
        <v>2044</v>
      </c>
      <c r="C765" s="143" t="s">
        <v>2028</v>
      </c>
      <c r="D765" s="143" t="s">
        <v>1260</v>
      </c>
      <c r="E765" s="149">
        <v>46167.1179720023</v>
      </c>
      <c r="F765" s="143" t="s">
        <v>168</v>
      </c>
      <c r="G765" s="14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43" t="s">
        <v>2045</v>
      </c>
      <c r="B766" s="143" t="s">
        <v>2046</v>
      </c>
      <c r="C766" s="143" t="s">
        <v>2028</v>
      </c>
      <c r="D766" s="143" t="s">
        <v>1260</v>
      </c>
      <c r="E766" s="149">
        <v>46167.1179720023</v>
      </c>
      <c r="F766" s="143" t="s">
        <v>168</v>
      </c>
      <c r="G766" s="14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43" t="s">
        <v>2047</v>
      </c>
      <c r="B767" s="143" t="s">
        <v>168</v>
      </c>
      <c r="C767" s="143" t="s">
        <v>2048</v>
      </c>
      <c r="D767" s="143" t="s">
        <v>1260</v>
      </c>
      <c r="E767" s="149">
        <v>46167.1179720023</v>
      </c>
      <c r="F767" s="143" t="s">
        <v>168</v>
      </c>
      <c r="G767" s="14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43" t="s">
        <v>2049</v>
      </c>
      <c r="B768" s="143" t="s">
        <v>2050</v>
      </c>
      <c r="C768" s="143" t="s">
        <v>2051</v>
      </c>
      <c r="D768" s="143" t="s">
        <v>1260</v>
      </c>
      <c r="E768" s="149">
        <v>46167.1179720023</v>
      </c>
      <c r="F768" s="143" t="s">
        <v>168</v>
      </c>
      <c r="G768" s="14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43" t="s">
        <v>2052</v>
      </c>
      <c r="B769" s="143" t="s">
        <v>2053</v>
      </c>
      <c r="C769" s="143" t="s">
        <v>2054</v>
      </c>
      <c r="D769" s="143" t="s">
        <v>1260</v>
      </c>
      <c r="E769" s="149">
        <v>46167.1179720023</v>
      </c>
      <c r="F769" s="143" t="s">
        <v>168</v>
      </c>
      <c r="G769" s="14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43" t="s">
        <v>2055</v>
      </c>
      <c r="B770" s="143" t="s">
        <v>168</v>
      </c>
      <c r="C770" s="143" t="s">
        <v>2056</v>
      </c>
      <c r="D770" s="143" t="s">
        <v>1260</v>
      </c>
      <c r="E770" s="149">
        <v>46167.1179720023</v>
      </c>
      <c r="F770" s="143" t="s">
        <v>168</v>
      </c>
      <c r="G770" s="14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43" t="s">
        <v>2057</v>
      </c>
      <c r="B771" s="143" t="s">
        <v>168</v>
      </c>
      <c r="C771" s="143" t="s">
        <v>2058</v>
      </c>
      <c r="D771" s="143" t="s">
        <v>1260</v>
      </c>
      <c r="E771" s="149">
        <v>46167.1179720023</v>
      </c>
      <c r="F771" s="143" t="s">
        <v>168</v>
      </c>
      <c r="G771" s="14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1">
    <mergeCell ref="A2:G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32"/>
    <pageSetUpPr/>
  </sheetPr>
  <sheetViews>
    <sheetView showGridLines="0" workbookViewId="0"/>
  </sheetViews>
  <sheetFormatPr customHeight="1" defaultColWidth="14.43" defaultRowHeight="15.0"/>
  <cols>
    <col customWidth="1" min="1" max="1" width="130.0"/>
    <col customWidth="1" min="2" max="2" width="100.0"/>
    <col customWidth="1" min="3" max="6" width="8.71"/>
  </cols>
  <sheetData>
    <row r="1" ht="37.5" customHeight="1">
      <c r="A1" s="150" t="s">
        <v>2059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ht="21.75" customHeight="1">
      <c r="A2" s="152" t="s">
        <v>2060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</row>
    <row r="3" ht="15.0" customHeight="1">
      <c r="A3" s="153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</row>
    <row r="4" ht="25.5" customHeight="1">
      <c r="A4" s="154" t="s">
        <v>2061</v>
      </c>
      <c r="B4" s="155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</row>
    <row r="5" ht="37.5" customHeight="1">
      <c r="A5" s="156" t="s">
        <v>2062</v>
      </c>
      <c r="B5" s="155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 ht="37.5" customHeight="1">
      <c r="A6" s="156" t="s">
        <v>2063</v>
      </c>
      <c r="B6" s="155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</row>
    <row r="7" ht="37.5" customHeight="1">
      <c r="A7" s="156" t="s">
        <v>2064</v>
      </c>
      <c r="B7" s="155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</row>
    <row r="8" ht="37.5" customHeight="1">
      <c r="A8" s="156" t="s">
        <v>2065</v>
      </c>
      <c r="B8" s="155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</row>
    <row r="9" ht="37.5" customHeight="1">
      <c r="A9" s="156" t="s">
        <v>2066</v>
      </c>
      <c r="B9" s="155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</row>
    <row r="10" ht="37.5" customHeight="1">
      <c r="A10" s="156" t="s">
        <v>2067</v>
      </c>
      <c r="B10" s="155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</row>
    <row r="11" ht="37.5" customHeight="1">
      <c r="A11" s="156" t="s">
        <v>2068</v>
      </c>
      <c r="B11" s="155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</row>
    <row r="12" ht="37.5" customHeight="1">
      <c r="A12" s="156" t="s">
        <v>2069</v>
      </c>
      <c r="B12" s="155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</row>
    <row r="13" ht="37.5" customHeight="1">
      <c r="A13" s="156" t="s">
        <v>2070</v>
      </c>
      <c r="B13" s="155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 ht="37.5" customHeight="1">
      <c r="A14" s="156"/>
      <c r="B14" s="155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 ht="25.5" customHeight="1">
      <c r="A15" s="154" t="s">
        <v>2071</v>
      </c>
      <c r="B15" s="155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</row>
    <row r="16" ht="15.0" customHeight="1">
      <c r="A16" s="153" t="s">
        <v>2072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</row>
    <row r="17" ht="15.0" customHeight="1">
      <c r="A17" s="153" t="s">
        <v>2073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 ht="17.25" customHeight="1">
      <c r="A18" s="153" t="s">
        <v>2074</v>
      </c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</row>
    <row r="19" ht="21.75" customHeight="1">
      <c r="A19" s="153" t="s">
        <v>2075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</row>
    <row r="20" ht="21.75" customHeight="1">
      <c r="A20" s="153" t="s">
        <v>2076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</row>
    <row r="21" ht="21.75" customHeight="1">
      <c r="A21" s="153" t="s">
        <v>2077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</row>
    <row r="22" ht="21.75" customHeight="1">
      <c r="A22" s="153" t="s">
        <v>2078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</row>
    <row r="23" ht="21.75" customHeight="1">
      <c r="A23" s="153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</row>
    <row r="24" ht="25.5" customHeight="1">
      <c r="A24" s="157" t="s">
        <v>2079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</row>
    <row r="25" ht="15.75" customHeight="1">
      <c r="A25" s="153" t="s">
        <v>2080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 ht="15.75" customHeight="1">
      <c r="A26" s="153" t="s">
        <v>2081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 ht="15.75" customHeight="1">
      <c r="A27" s="153" t="s">
        <v>2082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ht="15.75" customHeight="1">
      <c r="A28" s="153" t="s">
        <v>2083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 ht="15.75" customHeight="1">
      <c r="A29" s="153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 ht="25.5" customHeight="1">
      <c r="A30" s="157" t="s">
        <v>2084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</row>
    <row r="31" ht="15.75" customHeight="1">
      <c r="A31" s="153" t="s">
        <v>2085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 ht="15.75" customHeight="1">
      <c r="A32" s="153" t="s">
        <v>2086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</row>
    <row r="33" ht="15.75" customHeight="1">
      <c r="A33" s="153" t="s">
        <v>2087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</row>
    <row r="34" ht="15.75" customHeight="1">
      <c r="A34" s="153" t="s">
        <v>2088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 ht="15.75" customHeight="1">
      <c r="A35" s="153" t="s">
        <v>2089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ht="15.75" customHeight="1">
      <c r="A36" s="153" t="s">
        <v>2090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ht="15.75" customHeight="1">
      <c r="A37" s="153" t="s">
        <v>2091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ht="15.75" customHeight="1">
      <c r="A38" s="153" t="s">
        <v>2092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ht="15.75" customHeight="1">
      <c r="A39" s="153" t="s">
        <v>2093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ht="15.75" customHeight="1">
      <c r="A40" s="153" t="s">
        <v>2094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ht="15.75" customHeight="1">
      <c r="A41" s="153" t="s">
        <v>2095</v>
      </c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ht="15.75" customHeight="1">
      <c r="A42" s="153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ht="25.5" customHeight="1">
      <c r="A43" s="157" t="s">
        <v>2096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 ht="15.75" customHeight="1">
      <c r="A44" s="153" t="s">
        <v>2097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</row>
    <row r="45" ht="15.75" customHeight="1">
      <c r="A45" s="153" t="s">
        <v>2098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 ht="15.75" customHeight="1">
      <c r="A46" s="153" t="s">
        <v>2099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 ht="15.75" customHeight="1">
      <c r="A47" s="153" t="s">
        <v>2100</v>
      </c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ht="15.75" customHeight="1">
      <c r="A48" s="153" t="s">
        <v>2101</v>
      </c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 ht="15.75" customHeight="1">
      <c r="A49" s="153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 ht="25.5" customHeight="1">
      <c r="A50" s="157" t="s">
        <v>2102</v>
      </c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ht="15.75" customHeight="1">
      <c r="A51" s="153" t="s">
        <v>2103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</row>
    <row r="52" ht="15.75" customHeight="1">
      <c r="A52" s="153" t="s">
        <v>2104</v>
      </c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</row>
    <row r="53" ht="15.75" customHeight="1">
      <c r="A53" s="153" t="s">
        <v>2105</v>
      </c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</row>
    <row r="54" ht="15.75" customHeight="1">
      <c r="A54" s="153" t="s">
        <v>2106</v>
      </c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</row>
    <row r="55" ht="15.75" customHeight="1">
      <c r="A55" s="153" t="s">
        <v>2107</v>
      </c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</row>
    <row r="56" ht="15.75" customHeight="1">
      <c r="A56" s="153" t="s">
        <v>2108</v>
      </c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</row>
    <row r="57" ht="15.75" customHeight="1">
      <c r="A57" s="153" t="s">
        <v>2109</v>
      </c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 ht="15.75" customHeight="1">
      <c r="A58" s="153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ht="25.5" customHeight="1">
      <c r="A59" s="157" t="s">
        <v>2110</v>
      </c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ht="15.75" customHeight="1">
      <c r="A60" s="158" t="s">
        <v>2111</v>
      </c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 ht="15.75" customHeight="1">
      <c r="A61" s="153" t="s">
        <v>2112</v>
      </c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</row>
    <row r="62" ht="15.75" customHeight="1">
      <c r="A62" s="153" t="s">
        <v>2113</v>
      </c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 ht="15.75" customHeight="1">
      <c r="A63" s="158" t="s">
        <v>2114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</row>
    <row r="64" ht="15.75" customHeight="1">
      <c r="A64" s="153" t="s">
        <v>2115</v>
      </c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 ht="15.75" customHeight="1">
      <c r="A65" s="153" t="s">
        <v>2116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</row>
    <row r="66" ht="15.75" customHeight="1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</row>
    <row r="67" ht="15.75" customHeight="1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ht="15.75" customHeight="1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</row>
    <row r="69" ht="15.75" customHeight="1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ht="15.75" customHeight="1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 ht="15.75" customHeight="1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</row>
    <row r="72" ht="15.75" customHeight="1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ht="15.75" customHeight="1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ht="15.75" customHeight="1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ht="15.75" customHeight="1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ht="15.75" customHeight="1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ht="15.75" customHeight="1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ht="15.75" customHeight="1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ht="15.75" customHeight="1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ht="15.75" customHeight="1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ht="15.75" customHeight="1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ht="15.75" customHeight="1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ht="15.75" customHeight="1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ht="15.75" customHeight="1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ht="15.75" customHeight="1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ht="15.75" customHeight="1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ht="15.75" customHeight="1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ht="15.75" customHeight="1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ht="15.75" customHeight="1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ht="15.75" customHeight="1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ht="15.75" customHeight="1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ht="15.75" customHeight="1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ht="15.75" customHeight="1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ht="15.75" customHeight="1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ht="15.75" customHeight="1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ht="15.75" customHeight="1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ht="15.75" customHeight="1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ht="15.75" customHeight="1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ht="15.75" customHeight="1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ht="15.75" customHeight="1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ht="15.75" customHeight="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ht="15.75" customHeight="1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ht="15.75" customHeight="1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ht="15.75" customHeight="1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ht="15.75" customHeight="1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ht="15.75" customHeight="1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ht="15.75" customHeight="1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ht="15.75" customHeight="1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ht="15.75" customHeight="1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ht="15.75" customHeight="1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ht="15.75" customHeight="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ht="15.75" customHeight="1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ht="15.75" customHeight="1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ht="15.75" customHeight="1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ht="15.75" customHeight="1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ht="15.75" customHeight="1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ht="15.75" customHeight="1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ht="15.75" customHeight="1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ht="15.75" customHeight="1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ht="15.75" customHeight="1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ht="15.75" customHeight="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ht="15.75" customHeight="1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ht="15.75" customHeight="1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ht="15.75" customHeight="1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ht="15.75" customHeight="1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ht="15.75" customHeight="1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ht="15.75" customHeight="1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ht="15.75" customHeight="1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ht="15.75" customHeight="1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ht="15.75" customHeight="1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ht="15.75" customHeight="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ht="15.75" customHeight="1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ht="15.75" customHeight="1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ht="15.75" customHeight="1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ht="15.75" customHeight="1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ht="15.75" customHeight="1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ht="15.75" customHeight="1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ht="15.75" customHeight="1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ht="15.75" customHeight="1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ht="15.75" customHeight="1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ht="15.75" customHeight="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ht="15.75" customHeight="1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ht="15.75" customHeight="1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ht="15.75" customHeight="1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ht="15.75" customHeight="1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ht="15.75" customHeight="1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ht="15.75" customHeight="1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ht="15.75" customHeight="1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ht="15.75" customHeight="1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ht="15.75" customHeight="1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ht="15.75" customHeight="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ht="15.75" customHeight="1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ht="15.75" customHeight="1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ht="15.75" customHeight="1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ht="15.75" customHeight="1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ht="15.75" customHeight="1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ht="15.75" customHeight="1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ht="15.75" customHeight="1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ht="15.75" customHeight="1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ht="15.75" customHeight="1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ht="15.75" customHeight="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ht="15.75" customHeight="1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ht="15.75" customHeight="1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ht="15.75" customHeight="1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ht="15.75" customHeight="1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ht="15.75" customHeight="1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ht="15.75" customHeight="1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ht="15.75" customHeight="1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ht="15.75" customHeight="1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ht="15.75" customHeight="1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ht="15.75" customHeight="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ht="15.75" customHeight="1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ht="15.75" customHeight="1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ht="15.75" customHeight="1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ht="15.75" customHeight="1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ht="15.75" customHeight="1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ht="15.75" customHeight="1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ht="15.75" customHeight="1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ht="15.75" customHeight="1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ht="15.75" customHeight="1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ht="15.75" customHeight="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ht="15.75" customHeight="1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ht="15.75" customHeight="1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ht="15.75" customHeight="1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ht="15.75" customHeight="1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ht="15.75" customHeight="1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ht="15.75" customHeight="1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ht="15.75" customHeight="1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ht="15.75" customHeight="1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ht="15.75" customHeight="1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ht="15.75" customHeight="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ht="15.75" customHeight="1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ht="15.75" customHeight="1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ht="15.75" customHeight="1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ht="15.75" customHeight="1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ht="15.75" customHeight="1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ht="15.75" customHeight="1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ht="15.75" customHeight="1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ht="15.75" customHeight="1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ht="15.75" customHeight="1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ht="15.75" customHeight="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ht="15.75" customHeight="1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ht="15.75" customHeight="1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ht="15.75" customHeight="1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ht="15.75" customHeight="1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ht="15.75" customHeight="1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ht="15.75" customHeight="1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ht="15.75" customHeight="1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ht="15.75" customHeight="1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ht="15.75" customHeight="1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ht="15.75" customHeight="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ht="15.75" customHeight="1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ht="15.75" customHeight="1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ht="15.75" customHeight="1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ht="15.75" customHeight="1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ht="15.75" customHeight="1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ht="15.75" customHeight="1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ht="15.75" customHeight="1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ht="15.75" customHeight="1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ht="15.75" customHeight="1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ht="15.75" customHeight="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ht="15.75" customHeight="1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ht="15.75" customHeight="1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ht="15.75" customHeight="1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ht="15.75" customHeight="1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ht="15.75" customHeight="1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ht="15.75" customHeight="1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ht="15.75" customHeight="1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ht="15.75" customHeight="1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ht="15.75" customHeight="1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ht="15.75" customHeight="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ht="15.75" customHeight="1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ht="15.75" customHeight="1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ht="15.75" customHeight="1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ht="15.75" customHeight="1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ht="15.75" customHeight="1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ht="15.75" customHeight="1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ht="15.75" customHeight="1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ht="15.75" customHeight="1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ht="15.75" customHeight="1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ht="15.75" customHeight="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ht="15.75" customHeight="1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ht="15.75" customHeight="1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ht="15.75" customHeight="1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ht="15.75" customHeight="1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ht="15.75" customHeight="1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ht="15.75" customHeight="1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ht="15.75" customHeight="1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ht="15.75" customHeight="1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ht="15.75" customHeight="1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ht="15.75" customHeight="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ht="15.75" customHeight="1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ht="15.75" customHeight="1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ht="15.75" customHeight="1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ht="15.75" customHeight="1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ht="15.75" customHeight="1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ht="15.75" customHeight="1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ht="15.75" customHeight="1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ht="15.75" customHeight="1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ht="15.75" customHeight="1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ht="15.75" customHeight="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ht="15.75" customHeight="1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ht="15.75" customHeight="1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ht="15.75" customHeight="1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ht="15.75" customHeight="1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A35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10" width="16.0"/>
  </cols>
  <sheetData>
    <row r="1" ht="37.5" customHeight="1">
      <c r="A1" s="1" t="s">
        <v>2117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2118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59" t="s">
        <v>2119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"/>
      <c r="B5" s="6" t="s">
        <v>16</v>
      </c>
      <c r="C5" s="6" t="s">
        <v>17</v>
      </c>
      <c r="D5" s="6" t="s">
        <v>18</v>
      </c>
      <c r="E5" s="6" t="s">
        <v>2120</v>
      </c>
      <c r="F5" s="6" t="s">
        <v>2121</v>
      </c>
      <c r="G5" s="6" t="s">
        <v>2122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6.0" customHeight="1">
      <c r="A6" s="2"/>
      <c r="B6" s="7">
        <f>SUM(License_Inventory!H:H)</f>
        <v>297</v>
      </c>
      <c r="C6" s="7">
        <f>COUNTA(Licenses!A2:A4996)</f>
        <v>216</v>
      </c>
      <c r="D6" s="7">
        <f>COUNTIFS(License_Inventory!A$2:A$199,"&lt;&gt;",License_Inventory!P$2:P$199,"&lt;&gt;Expired")</f>
        <v>28</v>
      </c>
      <c r="E6" s="7">
        <f>COUNTIFS(License_Inventory!O$2:O$199,"&gt;="&amp;0,License_Inventory!O$2:O$199,"&lt;="&amp;30)</f>
        <v>2</v>
      </c>
      <c r="F6" s="7">
        <f>COUNTIFS(License_Inventory!O$2:O$199,"&lt;"&amp;0)</f>
        <v>0</v>
      </c>
      <c r="G6" s="7">
        <f>COUNTIF(License_Inventory!O:O,"&lt;0")</f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2"/>
      <c r="B7" s="8" t="s">
        <v>22</v>
      </c>
      <c r="C7" s="8" t="s">
        <v>2123</v>
      </c>
      <c r="D7" s="8" t="s">
        <v>2124</v>
      </c>
      <c r="E7" s="8" t="s">
        <v>2125</v>
      </c>
      <c r="F7" s="8" t="s">
        <v>2126</v>
      </c>
      <c r="G7" s="8" t="s">
        <v>2127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5" t="s">
        <v>2128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9" t="s">
        <v>578</v>
      </c>
      <c r="B10" s="9" t="s">
        <v>579</v>
      </c>
      <c r="C10" s="9" t="s">
        <v>16</v>
      </c>
      <c r="D10" s="9" t="s">
        <v>17</v>
      </c>
      <c r="E10" s="9" t="s">
        <v>18</v>
      </c>
      <c r="F10" s="9" t="s">
        <v>591</v>
      </c>
      <c r="G10" s="9" t="s">
        <v>2129</v>
      </c>
      <c r="H10" s="9" t="s">
        <v>2130</v>
      </c>
      <c r="I10" s="9" t="s">
        <v>590</v>
      </c>
      <c r="J10" s="9" t="s">
        <v>2131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19" t="s">
        <v>612</v>
      </c>
      <c r="B11" s="119" t="s">
        <v>594</v>
      </c>
      <c r="C11" s="11">
        <f>SUMIF(License_Inventory!$C:$C,A11,License_Inventory!$H:$H)</f>
        <v>1</v>
      </c>
      <c r="D11" s="11">
        <f>COUNTIF(Licenses!B:B,"3ds Max")</f>
        <v>1</v>
      </c>
      <c r="E11" s="11">
        <f t="shared" ref="E11:E22" si="1">MAX(0,C11-D11)</f>
        <v>0</v>
      </c>
      <c r="F11" s="114">
        <f t="shared" ref="F11:F22" si="2">IF(C11=0,"",D11/C11)</f>
        <v>1</v>
      </c>
      <c r="G11" s="11">
        <f>COUNTIF(License_Inventory!$C:$C,A11)</f>
        <v>1</v>
      </c>
      <c r="H11" s="160">
        <f>IFERROR(minifs(License_Inventory!$J:$J,License_Inventory!$C:$C,A11,License_Inventory!$J:$J,"&lt;&gt;"),"—")</f>
        <v>46270</v>
      </c>
      <c r="I11" s="11" t="str">
        <f t="shared" ref="I11:I22" si="3">IF(H11="—","No End Date",IF(H11-TODAY()&lt;0,"Expired",IF(H11-TODAY()&lt;=30,"Expiring Soon",IF(H11-TODAY()&lt;=90,"Watch","Active"))))</f>
        <v>Active</v>
      </c>
      <c r="J11" s="119" t="str">
        <f t="shared" ref="J11:J22" si="4">IF(I11="Expired","Renew now",IF(I11="Expiring Soon","Plan renewal",IF(E11=0,"Buy seats",IF(F11&gt;=0.95,"Near full capacity","OK"))))</f>
        <v>Buy seats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19" t="s">
        <v>631</v>
      </c>
      <c r="B12" s="119" t="s">
        <v>623</v>
      </c>
      <c r="C12" s="11">
        <f>SUMIF(License_Inventory!$C:$C,A12,License_Inventory!$H:$H)</f>
        <v>3</v>
      </c>
      <c r="D12" s="11">
        <f>COUNTIF(Licenses!B:B,"Adobe Acrobat")</f>
        <v>3</v>
      </c>
      <c r="E12" s="11">
        <f t="shared" si="1"/>
        <v>0</v>
      </c>
      <c r="F12" s="114">
        <f t="shared" si="2"/>
        <v>1</v>
      </c>
      <c r="G12" s="11">
        <f>COUNTIF(License_Inventory!$C:$C,A12)</f>
        <v>1</v>
      </c>
      <c r="H12" s="160">
        <f>IFERROR(minifs(License_Inventory!$J:$J,License_Inventory!$C:$C,A12,License_Inventory!$J:$J,"&lt;&gt;"),"—")</f>
        <v>46732</v>
      </c>
      <c r="I12" s="11" t="str">
        <f t="shared" si="3"/>
        <v>Active</v>
      </c>
      <c r="J12" s="119" t="str">
        <f t="shared" si="4"/>
        <v>Buy seats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19" t="s">
        <v>629</v>
      </c>
      <c r="B13" s="119" t="s">
        <v>623</v>
      </c>
      <c r="C13" s="11">
        <f>SUMIF(License_Inventory!$C:$C,A13,License_Inventory!$H:$H)</f>
        <v>4</v>
      </c>
      <c r="D13" s="11">
        <f>COUNTIF(Licenses!B:B,"Adobe Illustrator")</f>
        <v>4</v>
      </c>
      <c r="E13" s="11">
        <f t="shared" si="1"/>
        <v>0</v>
      </c>
      <c r="F13" s="114">
        <f t="shared" si="2"/>
        <v>1</v>
      </c>
      <c r="G13" s="11">
        <f>COUNTIF(License_Inventory!$C:$C,A13)</f>
        <v>1</v>
      </c>
      <c r="H13" s="160">
        <f>IFERROR(minifs(License_Inventory!$J:$J,License_Inventory!$C:$C,A13,License_Inventory!$J:$J,"&lt;&gt;"),"—")</f>
        <v>46732</v>
      </c>
      <c r="I13" s="11" t="str">
        <f t="shared" si="3"/>
        <v>Active</v>
      </c>
      <c r="J13" s="119" t="str">
        <f t="shared" si="4"/>
        <v>Buy seats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19" t="s">
        <v>627</v>
      </c>
      <c r="B14" s="119" t="s">
        <v>623</v>
      </c>
      <c r="C14" s="11">
        <f>SUMIF(License_Inventory!$C:$C,A14,License_Inventory!$H:$H)</f>
        <v>2</v>
      </c>
      <c r="D14" s="11">
        <f>COUNTIF(Licenses!B:B,"Adobe InDesign")</f>
        <v>1</v>
      </c>
      <c r="E14" s="11">
        <f t="shared" si="1"/>
        <v>1</v>
      </c>
      <c r="F14" s="114">
        <f t="shared" si="2"/>
        <v>0.5</v>
      </c>
      <c r="G14" s="11">
        <f>COUNTIF(License_Inventory!$C:$C,A14)</f>
        <v>1</v>
      </c>
      <c r="H14" s="160">
        <f>IFERROR(minifs(License_Inventory!$J:$J,License_Inventory!$C:$C,A14,License_Inventory!$J:$J,"&lt;&gt;"),"—")</f>
        <v>46732</v>
      </c>
      <c r="I14" s="11" t="str">
        <f t="shared" si="3"/>
        <v>Active</v>
      </c>
      <c r="J14" s="119" t="str">
        <f t="shared" si="4"/>
        <v>OK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19" t="s">
        <v>622</v>
      </c>
      <c r="B15" s="119" t="s">
        <v>623</v>
      </c>
      <c r="C15" s="11">
        <f>SUMIF(License_Inventory!$C:$C,A15,License_Inventory!$H:$H)</f>
        <v>20</v>
      </c>
      <c r="D15" s="11">
        <f>COUNTIF(Licenses!B:B,"Adobe Photoshop")</f>
        <v>19</v>
      </c>
      <c r="E15" s="11">
        <f t="shared" si="1"/>
        <v>1</v>
      </c>
      <c r="F15" s="114">
        <f t="shared" si="2"/>
        <v>0.95</v>
      </c>
      <c r="G15" s="11">
        <f>COUNTIF(License_Inventory!$C:$C,A15)</f>
        <v>1</v>
      </c>
      <c r="H15" s="160">
        <f>IFERROR(minifs(License_Inventory!$J:$J,License_Inventory!$C:$C,A15,License_Inventory!$J:$J,"&lt;&gt;"),"—")</f>
        <v>46732</v>
      </c>
      <c r="I15" s="11" t="str">
        <f t="shared" si="3"/>
        <v>Active</v>
      </c>
      <c r="J15" s="119" t="str">
        <f t="shared" si="4"/>
        <v>Near full capacity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19" t="s">
        <v>482</v>
      </c>
      <c r="B16" s="119" t="s">
        <v>594</v>
      </c>
      <c r="C16" s="11">
        <f>SUMIF(License_Inventory!$C:$C,A16,License_Inventory!$H:$H)</f>
        <v>105</v>
      </c>
      <c r="D16" s="11">
        <f>COUNTIF(Licenses!B:B,"AutoCAD LT")</f>
        <v>92</v>
      </c>
      <c r="E16" s="11">
        <f t="shared" si="1"/>
        <v>13</v>
      </c>
      <c r="F16" s="114">
        <f t="shared" si="2"/>
        <v>0.8761904762</v>
      </c>
      <c r="G16" s="11">
        <f>COUNTIF(License_Inventory!$C:$C,A16)</f>
        <v>10</v>
      </c>
      <c r="H16" s="160">
        <f>IFERROR(minifs(License_Inventory!$J:$J,License_Inventory!$C:$C,A16,License_Inventory!$J:$J,"&lt;&gt;"),"—")</f>
        <v>46195</v>
      </c>
      <c r="I16" s="11" t="str">
        <f t="shared" si="3"/>
        <v>Expiring Soon</v>
      </c>
      <c r="J16" s="119" t="str">
        <f t="shared" si="4"/>
        <v>Plan renewal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19" t="s">
        <v>652</v>
      </c>
      <c r="B17" s="119" t="s">
        <v>648</v>
      </c>
      <c r="C17" s="11">
        <f>SUMIF(License_Inventory!$C:$C,A17,License_Inventory!$H:$H)</f>
        <v>1</v>
      </c>
      <c r="D17" s="11">
        <f>COUNTIF(Licenses!B:B,"Corona Renderer")</f>
        <v>0</v>
      </c>
      <c r="E17" s="11">
        <f t="shared" si="1"/>
        <v>1</v>
      </c>
      <c r="F17" s="114">
        <f t="shared" si="2"/>
        <v>0</v>
      </c>
      <c r="G17" s="11">
        <f>COUNTIF(License_Inventory!$C:$C,A17)</f>
        <v>1</v>
      </c>
      <c r="H17" s="160">
        <f>IFERROR(minifs(License_Inventory!$J:$J,License_Inventory!$C:$C,A17,License_Inventory!$J:$J,"&lt;&gt;"),"—")</f>
        <v>46213</v>
      </c>
      <c r="I17" s="11" t="str">
        <f t="shared" si="3"/>
        <v>Watch</v>
      </c>
      <c r="J17" s="119" t="str">
        <f t="shared" si="4"/>
        <v>OK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19" t="s">
        <v>647</v>
      </c>
      <c r="B18" s="119" t="s">
        <v>648</v>
      </c>
      <c r="C18" s="11">
        <f>SUMIF(License_Inventory!$C:$C,A18,License_Inventory!$H:$H)</f>
        <v>6</v>
      </c>
      <c r="D18" s="11">
        <f>COUNTIF(Licenses!B:B,"Enscape")</f>
        <v>6</v>
      </c>
      <c r="E18" s="11">
        <f t="shared" si="1"/>
        <v>0</v>
      </c>
      <c r="F18" s="114">
        <f t="shared" si="2"/>
        <v>1</v>
      </c>
      <c r="G18" s="11">
        <f>COUNTIF(License_Inventory!$C:$C,A18)</f>
        <v>3</v>
      </c>
      <c r="H18" s="160">
        <f>IFERROR(minifs(License_Inventory!$J:$J,License_Inventory!$C:$C,A18,License_Inventory!$J:$J,"&lt;&gt;"),"—")</f>
        <v>46415</v>
      </c>
      <c r="I18" s="11" t="str">
        <f t="shared" si="3"/>
        <v>Active</v>
      </c>
      <c r="J18" s="119" t="str">
        <f t="shared" si="4"/>
        <v>Buy seats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19" t="s">
        <v>1116</v>
      </c>
      <c r="B19" s="119" t="s">
        <v>648</v>
      </c>
      <c r="C19" s="11">
        <f>SUMIF(License_Inventory!$C:$C,A19,License_Inventory!$H:$H)</f>
        <v>0</v>
      </c>
      <c r="D19" s="11">
        <f>COUNTIF(Licenses!B:B,"Lumion Pro")</f>
        <v>0</v>
      </c>
      <c r="E19" s="11">
        <f t="shared" si="1"/>
        <v>0</v>
      </c>
      <c r="F19" s="114" t="str">
        <f t="shared" si="2"/>
        <v/>
      </c>
      <c r="G19" s="11">
        <f>COUNTIF(License_Inventory!$C:$C,A19)</f>
        <v>0</v>
      </c>
      <c r="H19" s="160">
        <f>IFERROR(minifs(License_Inventory!$J:$J,License_Inventory!$C:$C,A19,License_Inventory!$J:$J,"&lt;&gt;"),"—")</f>
        <v>0</v>
      </c>
      <c r="I19" s="11" t="str">
        <f t="shared" si="3"/>
        <v>Expired</v>
      </c>
      <c r="J19" s="119" t="str">
        <f t="shared" si="4"/>
        <v>Renew now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119" t="s">
        <v>504</v>
      </c>
      <c r="B20" s="119" t="s">
        <v>633</v>
      </c>
      <c r="C20" s="11">
        <f>SUMIF(License_Inventory!$C:$C,A20,License_Inventory!$H:$H)</f>
        <v>95</v>
      </c>
      <c r="D20" s="11">
        <f>COUNTIF(Licenses!B:B,"MS Office 365 Standard")</f>
        <v>0</v>
      </c>
      <c r="E20" s="11">
        <f t="shared" si="1"/>
        <v>95</v>
      </c>
      <c r="F20" s="114">
        <f t="shared" si="2"/>
        <v>0</v>
      </c>
      <c r="G20" s="11">
        <f>COUNTIF(License_Inventory!$C:$C,A20)</f>
        <v>1</v>
      </c>
      <c r="H20" s="160">
        <f>IFERROR(minifs(License_Inventory!$J:$J,License_Inventory!$C:$C,A20,License_Inventory!$J:$J,"&lt;&gt;"),"—")</f>
        <v>46357</v>
      </c>
      <c r="I20" s="11" t="str">
        <f t="shared" si="3"/>
        <v>Active</v>
      </c>
      <c r="J20" s="119" t="str">
        <f t="shared" si="4"/>
        <v>OK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9" t="s">
        <v>493</v>
      </c>
      <c r="B21" s="119" t="s">
        <v>633</v>
      </c>
      <c r="C21" s="11">
        <f>SUMIF(License_Inventory!$C:$C,A21,License_Inventory!$H:$H)</f>
        <v>10</v>
      </c>
      <c r="D21" s="11">
        <f>COUNTIF(Licenses!B:B,"MS Office 365 Apps")</f>
        <v>0</v>
      </c>
      <c r="E21" s="11">
        <f t="shared" si="1"/>
        <v>10</v>
      </c>
      <c r="F21" s="114">
        <f t="shared" si="2"/>
        <v>0</v>
      </c>
      <c r="G21" s="11">
        <f>COUNTIF(License_Inventory!$C:$C,A21)</f>
        <v>1</v>
      </c>
      <c r="H21" s="160">
        <f>IFERROR(minifs(License_Inventory!$J:$J,License_Inventory!$C:$C,A21,License_Inventory!$J:$J,"&lt;&gt;"),"—")</f>
        <v>46357</v>
      </c>
      <c r="I21" s="11" t="str">
        <f t="shared" si="3"/>
        <v>Active</v>
      </c>
      <c r="J21" s="119" t="str">
        <f t="shared" si="4"/>
        <v>OK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19" t="s">
        <v>1119</v>
      </c>
      <c r="B22" s="119" t="s">
        <v>594</v>
      </c>
      <c r="C22" s="11">
        <f>SUMIF(License_Inventory!$C:$C,A22,License_Inventory!$H:$H)</f>
        <v>0</v>
      </c>
      <c r="D22" s="11">
        <f>COUNTIF(Licenses!B:B,"SketchUp Pro")</f>
        <v>49</v>
      </c>
      <c r="E22" s="11">
        <f t="shared" si="1"/>
        <v>0</v>
      </c>
      <c r="F22" s="114" t="str">
        <f t="shared" si="2"/>
        <v/>
      </c>
      <c r="G22" s="11">
        <f>COUNTIF(License_Inventory!$C:$C,A22)</f>
        <v>0</v>
      </c>
      <c r="H22" s="160">
        <f>IFERROR(minifs(License_Inventory!$J:$J,License_Inventory!$C:$C,A22,License_Inventory!$J:$J,"&lt;&gt;"),"—")</f>
        <v>0</v>
      </c>
      <c r="I22" s="11" t="str">
        <f t="shared" si="3"/>
        <v>Expired</v>
      </c>
      <c r="J22" s="119" t="str">
        <f t="shared" si="4"/>
        <v>Renew now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61" t="s">
        <v>2132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162" t="s">
        <v>41</v>
      </c>
      <c r="B26" s="16" t="s">
        <v>2133</v>
      </c>
      <c r="C26" s="17"/>
      <c r="D26" s="17"/>
      <c r="E26" s="17"/>
      <c r="F26" s="17"/>
      <c r="G26" s="17"/>
      <c r="H26" s="17"/>
      <c r="I26" s="17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162" t="s">
        <v>39</v>
      </c>
      <c r="B27" s="16" t="s">
        <v>2134</v>
      </c>
      <c r="C27" s="17"/>
      <c r="D27" s="17"/>
      <c r="E27" s="17"/>
      <c r="F27" s="17"/>
      <c r="G27" s="17"/>
      <c r="H27" s="17"/>
      <c r="I27" s="17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162" t="s">
        <v>43</v>
      </c>
      <c r="B28" s="16" t="s">
        <v>2135</v>
      </c>
      <c r="C28" s="17"/>
      <c r="D28" s="17"/>
      <c r="E28" s="17"/>
      <c r="F28" s="17"/>
      <c r="G28" s="17"/>
      <c r="H28" s="17"/>
      <c r="I28" s="17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162" t="s">
        <v>45</v>
      </c>
      <c r="B29" s="16" t="s">
        <v>2136</v>
      </c>
      <c r="C29" s="17"/>
      <c r="D29" s="17"/>
      <c r="E29" s="17"/>
      <c r="F29" s="17"/>
      <c r="G29" s="17"/>
      <c r="H29" s="17"/>
      <c r="I29" s="17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62" t="s">
        <v>47</v>
      </c>
      <c r="B30" s="16" t="s">
        <v>2137</v>
      </c>
      <c r="C30" s="17"/>
      <c r="D30" s="17"/>
      <c r="E30" s="17"/>
      <c r="F30" s="17"/>
      <c r="G30" s="17"/>
      <c r="H30" s="17"/>
      <c r="I30" s="17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62" t="s">
        <v>2138</v>
      </c>
      <c r="B31" s="16" t="s">
        <v>2139</v>
      </c>
      <c r="C31" s="17"/>
      <c r="D31" s="17"/>
      <c r="E31" s="17"/>
      <c r="F31" s="17"/>
      <c r="G31" s="17"/>
      <c r="H31" s="17"/>
      <c r="I31" s="17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11">
    <mergeCell ref="B28:J28"/>
    <mergeCell ref="B29:J29"/>
    <mergeCell ref="B30:J30"/>
    <mergeCell ref="B31:J31"/>
    <mergeCell ref="A1:J1"/>
    <mergeCell ref="A2:J2"/>
    <mergeCell ref="A3:C3"/>
    <mergeCell ref="A9:J9"/>
    <mergeCell ref="A25:J25"/>
    <mergeCell ref="B26:J26"/>
    <mergeCell ref="B27:J27"/>
  </mergeCells>
  <conditionalFormatting sqref="I11:I22">
    <cfRule type="expression" dxfId="4" priority="1">
      <formula>$I11="Expired"</formula>
    </cfRule>
  </conditionalFormatting>
  <conditionalFormatting sqref="I11:I22">
    <cfRule type="expression" dxfId="5" priority="2">
      <formula>$I11="Expiring Soon"</formula>
    </cfRule>
  </conditionalFormatting>
  <conditionalFormatting sqref="I11:I22">
    <cfRule type="expression" dxfId="8" priority="3">
      <formula>$I11="Watch"</formula>
    </cfRule>
  </conditionalFormatting>
  <conditionalFormatting sqref="I11:I22">
    <cfRule type="expression" dxfId="7" priority="4">
      <formula>$I11="Active"</formula>
    </cfRule>
  </conditionalFormatting>
  <conditionalFormatting sqref="F11:F22">
    <cfRule type="colorScale" priority="5">
      <colorScale>
        <cfvo type="formula" val="0"/>
        <cfvo type="formula" val="0.5"/>
        <cfvo type="formula" val="1"/>
        <color rgb="FFFFFFFF"/>
        <color rgb="FFF1E5C8"/>
        <color rgb="FFA4853D"/>
      </colorScale>
    </cfRule>
  </conditionalFormatting>
  <hyperlinks>
    <hyperlink r:id="rId1" location="Dashboard!A1" ref="A3"/>
    <hyperlink r:id="rId2" location="License_Inventory!A1" ref="A26"/>
    <hyperlink r:id="rId3" location="Licenses!A1" ref="A27"/>
    <hyperlink r:id="rId4" location="Expiring_Soon!A1" ref="A28"/>
    <hyperlink r:id="rId5" location="Group_License_View!A1" ref="A29"/>
    <hyperlink r:id="rId6" location="User_License_Matrix!A1" ref="A30"/>
    <hyperlink r:id="rId7" location="Dashboard!A1" ref="A31"/>
  </hyperlinks>
  <printOptions/>
  <pageMargins bottom="1.0" footer="0.0" header="0.0" left="0.75" right="0.75" top="1.0"/>
  <pageSetup paperSize="9" orientation="portrait"/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C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3.0"/>
    <col customWidth="1" min="2" max="2" width="31.57"/>
    <col customWidth="1" min="3" max="3" width="35.86"/>
    <col customWidth="1" min="4" max="4" width="37.29"/>
    <col customWidth="1" min="5" max="5" width="15.86"/>
    <col customWidth="1" min="6" max="6" width="33.0"/>
    <col customWidth="1" min="7" max="7" width="30.14"/>
    <col customWidth="1" min="8" max="8" width="17.29"/>
    <col customWidth="1" min="9" max="9" width="54.43"/>
  </cols>
  <sheetData>
    <row r="1" ht="27.75" customHeight="1">
      <c r="A1" s="163" t="s">
        <v>2140</v>
      </c>
      <c r="B1" s="163" t="s">
        <v>2141</v>
      </c>
      <c r="C1" s="163" t="s">
        <v>2142</v>
      </c>
      <c r="D1" s="163" t="s">
        <v>451</v>
      </c>
      <c r="E1" s="163" t="s">
        <v>67</v>
      </c>
      <c r="F1" s="163" t="s">
        <v>56</v>
      </c>
      <c r="G1" s="163" t="s">
        <v>2143</v>
      </c>
      <c r="H1" s="163" t="s">
        <v>52</v>
      </c>
      <c r="I1" s="163" t="s">
        <v>68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64" t="s">
        <v>28</v>
      </c>
      <c r="B2" s="164" t="s">
        <v>30</v>
      </c>
      <c r="C2" s="164" t="s">
        <v>28</v>
      </c>
      <c r="D2" s="164" t="s">
        <v>75</v>
      </c>
      <c r="E2" s="164">
        <v>0.0</v>
      </c>
      <c r="F2" s="164"/>
      <c r="G2" s="164"/>
      <c r="H2" s="164" t="s">
        <v>74</v>
      </c>
      <c r="I2" s="16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 outlineLevel="1">
      <c r="A3" s="165" t="s">
        <v>658</v>
      </c>
      <c r="B3" s="165" t="s">
        <v>204</v>
      </c>
      <c r="C3" s="165" t="s">
        <v>207</v>
      </c>
      <c r="D3" s="165" t="s">
        <v>205</v>
      </c>
      <c r="E3" s="165">
        <v>2.0</v>
      </c>
      <c r="F3" s="165" t="s">
        <v>211</v>
      </c>
      <c r="G3" s="165" t="s">
        <v>30</v>
      </c>
      <c r="H3" s="165" t="s">
        <v>203</v>
      </c>
      <c r="I3" s="165" t="s">
        <v>543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 outlineLevel="2">
      <c r="A4" s="166" t="s">
        <v>2144</v>
      </c>
      <c r="B4" s="166" t="s">
        <v>209</v>
      </c>
      <c r="C4" s="166" t="s">
        <v>212</v>
      </c>
      <c r="D4" s="166" t="s">
        <v>210</v>
      </c>
      <c r="E4" s="166">
        <v>0.0</v>
      </c>
      <c r="F4" s="166" t="s">
        <v>211</v>
      </c>
      <c r="G4" s="166" t="s">
        <v>204</v>
      </c>
      <c r="H4" s="166" t="s">
        <v>208</v>
      </c>
      <c r="I4" s="16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 outlineLevel="2">
      <c r="A5" s="166" t="s">
        <v>2144</v>
      </c>
      <c r="B5" s="166" t="s">
        <v>217</v>
      </c>
      <c r="C5" s="166" t="s">
        <v>220</v>
      </c>
      <c r="D5" s="166" t="s">
        <v>219</v>
      </c>
      <c r="E5" s="166">
        <v>3.0</v>
      </c>
      <c r="F5" s="166" t="s">
        <v>211</v>
      </c>
      <c r="G5" s="166" t="s">
        <v>204</v>
      </c>
      <c r="H5" s="166" t="s">
        <v>218</v>
      </c>
      <c r="I5" s="16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 outlineLevel="1">
      <c r="A6" s="167" t="s">
        <v>658</v>
      </c>
      <c r="B6" s="167" t="s">
        <v>175</v>
      </c>
      <c r="C6" s="167" t="s">
        <v>178</v>
      </c>
      <c r="D6" s="167" t="s">
        <v>176</v>
      </c>
      <c r="E6" s="167">
        <v>0.0</v>
      </c>
      <c r="F6" s="167" t="s">
        <v>544</v>
      </c>
      <c r="G6" s="167" t="s">
        <v>30</v>
      </c>
      <c r="H6" s="167" t="s">
        <v>174</v>
      </c>
      <c r="I6" s="167" t="s">
        <v>543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 outlineLevel="2">
      <c r="A7" s="168" t="s">
        <v>2144</v>
      </c>
      <c r="B7" s="168" t="s">
        <v>214</v>
      </c>
      <c r="C7" s="168" t="s">
        <v>216</v>
      </c>
      <c r="D7" s="168" t="s">
        <v>215</v>
      </c>
      <c r="E7" s="168">
        <v>0.0</v>
      </c>
      <c r="F7" s="168" t="s">
        <v>544</v>
      </c>
      <c r="G7" s="168" t="s">
        <v>175</v>
      </c>
      <c r="H7" s="168">
        <v>77.0</v>
      </c>
      <c r="I7" s="16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 outlineLevel="2">
      <c r="A8" s="168" t="s">
        <v>2144</v>
      </c>
      <c r="B8" s="168" t="s">
        <v>180</v>
      </c>
      <c r="C8" s="168" t="s">
        <v>182</v>
      </c>
      <c r="D8" s="168" t="s">
        <v>181</v>
      </c>
      <c r="E8" s="168">
        <v>2.0</v>
      </c>
      <c r="F8" s="168" t="s">
        <v>544</v>
      </c>
      <c r="G8" s="168" t="s">
        <v>175</v>
      </c>
      <c r="H8" s="168" t="s">
        <v>179</v>
      </c>
      <c r="I8" s="16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 outlineLevel="1">
      <c r="A9" s="169" t="s">
        <v>658</v>
      </c>
      <c r="B9" s="169" t="s">
        <v>125</v>
      </c>
      <c r="C9" s="169" t="s">
        <v>127</v>
      </c>
      <c r="D9" s="169" t="s">
        <v>126</v>
      </c>
      <c r="E9" s="169">
        <v>0.0</v>
      </c>
      <c r="F9" s="169" t="s">
        <v>546</v>
      </c>
      <c r="G9" s="169" t="s">
        <v>30</v>
      </c>
      <c r="H9" s="169" t="s">
        <v>124</v>
      </c>
      <c r="I9" s="169" t="s">
        <v>543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 outlineLevel="2">
      <c r="A10" s="170" t="s">
        <v>2144</v>
      </c>
      <c r="B10" s="170" t="s">
        <v>130</v>
      </c>
      <c r="C10" s="170" t="s">
        <v>132</v>
      </c>
      <c r="D10" s="170" t="s">
        <v>131</v>
      </c>
      <c r="E10" s="170">
        <v>4.0</v>
      </c>
      <c r="F10" s="170" t="s">
        <v>546</v>
      </c>
      <c r="G10" s="170" t="s">
        <v>125</v>
      </c>
      <c r="H10" s="170" t="s">
        <v>129</v>
      </c>
      <c r="I10" s="17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 outlineLevel="2">
      <c r="A11" s="170" t="s">
        <v>2144</v>
      </c>
      <c r="B11" s="170" t="s">
        <v>134</v>
      </c>
      <c r="C11" s="170" t="s">
        <v>136</v>
      </c>
      <c r="D11" s="170" t="s">
        <v>135</v>
      </c>
      <c r="E11" s="170">
        <v>5.0</v>
      </c>
      <c r="F11" s="170" t="s">
        <v>546</v>
      </c>
      <c r="G11" s="170" t="s">
        <v>125</v>
      </c>
      <c r="H11" s="170" t="s">
        <v>133</v>
      </c>
      <c r="I11" s="17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 outlineLevel="2">
      <c r="A12" s="170" t="s">
        <v>2144</v>
      </c>
      <c r="B12" s="170" t="s">
        <v>138</v>
      </c>
      <c r="C12" s="170" t="s">
        <v>92</v>
      </c>
      <c r="D12" s="170" t="s">
        <v>139</v>
      </c>
      <c r="E12" s="170">
        <v>1.0</v>
      </c>
      <c r="F12" s="170" t="s">
        <v>546</v>
      </c>
      <c r="G12" s="170" t="s">
        <v>125</v>
      </c>
      <c r="H12" s="170" t="s">
        <v>137</v>
      </c>
      <c r="I12" s="17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 outlineLevel="2">
      <c r="A13" s="170" t="s">
        <v>2144</v>
      </c>
      <c r="B13" s="170" t="s">
        <v>109</v>
      </c>
      <c r="C13" s="170" t="s">
        <v>112</v>
      </c>
      <c r="D13" s="170" t="s">
        <v>110</v>
      </c>
      <c r="E13" s="170">
        <v>1.0</v>
      </c>
      <c r="F13" s="170" t="s">
        <v>546</v>
      </c>
      <c r="G13" s="170" t="s">
        <v>125</v>
      </c>
      <c r="H13" s="170" t="s">
        <v>108</v>
      </c>
      <c r="I13" s="17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75" customHeight="1" outlineLevel="1">
      <c r="A14" s="171" t="s">
        <v>658</v>
      </c>
      <c r="B14" s="171" t="s">
        <v>162</v>
      </c>
      <c r="C14" s="171" t="s">
        <v>165</v>
      </c>
      <c r="D14" s="171" t="s">
        <v>163</v>
      </c>
      <c r="E14" s="171">
        <v>2.0</v>
      </c>
      <c r="F14" s="171" t="s">
        <v>548</v>
      </c>
      <c r="G14" s="171" t="s">
        <v>30</v>
      </c>
      <c r="H14" s="171" t="s">
        <v>161</v>
      </c>
      <c r="I14" s="171" t="s">
        <v>543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 outlineLevel="2">
      <c r="A15" s="172" t="s">
        <v>2144</v>
      </c>
      <c r="B15" s="172" t="s">
        <v>167</v>
      </c>
      <c r="C15" s="172" t="s">
        <v>169</v>
      </c>
      <c r="D15" s="172" t="s">
        <v>168</v>
      </c>
      <c r="E15" s="172">
        <v>2.0</v>
      </c>
      <c r="F15" s="172" t="s">
        <v>548</v>
      </c>
      <c r="G15" s="172" t="s">
        <v>162</v>
      </c>
      <c r="H15" s="172" t="s">
        <v>166</v>
      </c>
      <c r="I15" s="17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 outlineLevel="2">
      <c r="A16" s="172" t="s">
        <v>2144</v>
      </c>
      <c r="B16" s="172" t="s">
        <v>171</v>
      </c>
      <c r="C16" s="172" t="s">
        <v>173</v>
      </c>
      <c r="D16" s="172" t="s">
        <v>172</v>
      </c>
      <c r="E16" s="172">
        <v>2.0</v>
      </c>
      <c r="F16" s="172" t="s">
        <v>548</v>
      </c>
      <c r="G16" s="172" t="s">
        <v>162</v>
      </c>
      <c r="H16" s="172" t="s">
        <v>170</v>
      </c>
      <c r="I16" s="17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 outlineLevel="1">
      <c r="A17" s="165" t="s">
        <v>658</v>
      </c>
      <c r="B17" s="165" t="s">
        <v>96</v>
      </c>
      <c r="C17" s="165" t="s">
        <v>99</v>
      </c>
      <c r="D17" s="165" t="s">
        <v>97</v>
      </c>
      <c r="E17" s="165">
        <v>2.0</v>
      </c>
      <c r="F17" s="165" t="s">
        <v>550</v>
      </c>
      <c r="G17" s="165" t="s">
        <v>30</v>
      </c>
      <c r="H17" s="165" t="s">
        <v>95</v>
      </c>
      <c r="I17" s="165" t="s">
        <v>543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 outlineLevel="2">
      <c r="A18" s="173" t="s">
        <v>2144</v>
      </c>
      <c r="B18" s="173" t="s">
        <v>145</v>
      </c>
      <c r="C18" s="173" t="s">
        <v>147</v>
      </c>
      <c r="D18" s="173" t="s">
        <v>146</v>
      </c>
      <c r="E18" s="173">
        <v>0.0</v>
      </c>
      <c r="F18" s="173" t="s">
        <v>550</v>
      </c>
      <c r="G18" s="173" t="s">
        <v>96</v>
      </c>
      <c r="H18" s="173">
        <v>6.0</v>
      </c>
      <c r="I18" s="17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 outlineLevel="2">
      <c r="A19" s="173" t="s">
        <v>2144</v>
      </c>
      <c r="B19" s="173" t="s">
        <v>141</v>
      </c>
      <c r="C19" s="173" t="s">
        <v>143</v>
      </c>
      <c r="D19" s="173" t="s">
        <v>142</v>
      </c>
      <c r="E19" s="173">
        <v>2.0</v>
      </c>
      <c r="F19" s="173" t="s">
        <v>550</v>
      </c>
      <c r="G19" s="173" t="s">
        <v>96</v>
      </c>
      <c r="H19" s="173" t="s">
        <v>140</v>
      </c>
      <c r="I19" s="17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 outlineLevel="2">
      <c r="A20" s="173" t="s">
        <v>2144</v>
      </c>
      <c r="B20" s="173" t="s">
        <v>149</v>
      </c>
      <c r="C20" s="173" t="s">
        <v>147</v>
      </c>
      <c r="D20" s="173" t="s">
        <v>150</v>
      </c>
      <c r="E20" s="173">
        <v>0.0</v>
      </c>
      <c r="F20" s="173" t="s">
        <v>550</v>
      </c>
      <c r="G20" s="173" t="s">
        <v>96</v>
      </c>
      <c r="H20" s="173">
        <v>4.0</v>
      </c>
      <c r="I20" s="17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outlineLevel="2">
      <c r="A21" s="173" t="s">
        <v>2144</v>
      </c>
      <c r="B21" s="173" t="s">
        <v>152</v>
      </c>
      <c r="C21" s="173" t="s">
        <v>147</v>
      </c>
      <c r="D21" s="173" t="s">
        <v>153</v>
      </c>
      <c r="E21" s="173">
        <v>0.0</v>
      </c>
      <c r="F21" s="173" t="s">
        <v>550</v>
      </c>
      <c r="G21" s="173" t="s">
        <v>96</v>
      </c>
      <c r="H21" s="173">
        <v>7.0</v>
      </c>
      <c r="I21" s="17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outlineLevel="2">
      <c r="A22" s="173" t="s">
        <v>2144</v>
      </c>
      <c r="B22" s="173" t="s">
        <v>155</v>
      </c>
      <c r="C22" s="173" t="s">
        <v>157</v>
      </c>
      <c r="D22" s="173" t="s">
        <v>156</v>
      </c>
      <c r="E22" s="173">
        <v>0.0</v>
      </c>
      <c r="F22" s="173" t="s">
        <v>550</v>
      </c>
      <c r="G22" s="173" t="s">
        <v>96</v>
      </c>
      <c r="H22" s="173">
        <v>3.0</v>
      </c>
      <c r="I22" s="17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outlineLevel="2">
      <c r="A23" s="173" t="s">
        <v>2144</v>
      </c>
      <c r="B23" s="173" t="s">
        <v>159</v>
      </c>
      <c r="C23" s="173" t="s">
        <v>147</v>
      </c>
      <c r="D23" s="173" t="s">
        <v>160</v>
      </c>
      <c r="E23" s="173">
        <v>0.0</v>
      </c>
      <c r="F23" s="173" t="s">
        <v>550</v>
      </c>
      <c r="G23" s="173" t="s">
        <v>96</v>
      </c>
      <c r="H23" s="173">
        <v>9.0</v>
      </c>
      <c r="I23" s="17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outlineLevel="1">
      <c r="A24" s="165" t="s">
        <v>658</v>
      </c>
      <c r="B24" s="165" t="s">
        <v>30</v>
      </c>
      <c r="C24" s="165" t="s">
        <v>658</v>
      </c>
      <c r="D24" s="165"/>
      <c r="E24" s="165">
        <v>0.0</v>
      </c>
      <c r="F24" s="165" t="s">
        <v>552</v>
      </c>
      <c r="G24" s="165" t="s">
        <v>30</v>
      </c>
      <c r="H24" s="165"/>
      <c r="I24" s="165" t="s">
        <v>543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outlineLevel="2">
      <c r="A25" s="166" t="s">
        <v>2144</v>
      </c>
      <c r="B25" s="166" t="s">
        <v>114</v>
      </c>
      <c r="C25" s="166" t="s">
        <v>116</v>
      </c>
      <c r="D25" s="166" t="s">
        <v>115</v>
      </c>
      <c r="E25" s="166">
        <v>1.0</v>
      </c>
      <c r="F25" s="166" t="s">
        <v>552</v>
      </c>
      <c r="G25" s="166" t="s">
        <v>30</v>
      </c>
      <c r="H25" s="166" t="s">
        <v>113</v>
      </c>
      <c r="I25" s="16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outlineLevel="2">
      <c r="A26" s="166" t="s">
        <v>2144</v>
      </c>
      <c r="B26" s="166" t="s">
        <v>120</v>
      </c>
      <c r="C26" s="166" t="s">
        <v>122</v>
      </c>
      <c r="D26" s="166" t="s">
        <v>121</v>
      </c>
      <c r="E26" s="166">
        <v>0.0</v>
      </c>
      <c r="F26" s="166" t="s">
        <v>552</v>
      </c>
      <c r="G26" s="166" t="s">
        <v>30</v>
      </c>
      <c r="H26" s="166">
        <v>453.0</v>
      </c>
      <c r="I26" s="16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outlineLevel="2">
      <c r="A27" s="166" t="s">
        <v>2144</v>
      </c>
      <c r="B27" s="166" t="s">
        <v>82</v>
      </c>
      <c r="C27" s="166" t="s">
        <v>84</v>
      </c>
      <c r="D27" s="166" t="s">
        <v>83</v>
      </c>
      <c r="E27" s="166">
        <v>2.0</v>
      </c>
      <c r="F27" s="166" t="s">
        <v>552</v>
      </c>
      <c r="G27" s="166" t="s">
        <v>30</v>
      </c>
      <c r="H27" s="166" t="s">
        <v>81</v>
      </c>
      <c r="I27" s="16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outlineLevel="2">
      <c r="A28" s="166" t="s">
        <v>2144</v>
      </c>
      <c r="B28" s="166" t="s">
        <v>90</v>
      </c>
      <c r="C28" s="166" t="s">
        <v>92</v>
      </c>
      <c r="D28" s="166" t="s">
        <v>91</v>
      </c>
      <c r="E28" s="166">
        <v>2.0</v>
      </c>
      <c r="F28" s="166" t="s">
        <v>552</v>
      </c>
      <c r="G28" s="166" t="s">
        <v>30</v>
      </c>
      <c r="H28" s="166" t="s">
        <v>89</v>
      </c>
      <c r="I28" s="16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outlineLevel="2">
      <c r="A29" s="166" t="s">
        <v>2144</v>
      </c>
      <c r="B29" s="166" t="s">
        <v>103</v>
      </c>
      <c r="C29" s="166" t="s">
        <v>84</v>
      </c>
      <c r="D29" s="166" t="s">
        <v>104</v>
      </c>
      <c r="E29" s="166">
        <v>2.0</v>
      </c>
      <c r="F29" s="166" t="s">
        <v>552</v>
      </c>
      <c r="G29" s="166" t="s">
        <v>30</v>
      </c>
      <c r="H29" s="166" t="s">
        <v>102</v>
      </c>
      <c r="I29" s="16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outlineLevel="2">
      <c r="A30" s="166" t="s">
        <v>2144</v>
      </c>
      <c r="B30" s="166" t="s">
        <v>106</v>
      </c>
      <c r="C30" s="166" t="s">
        <v>92</v>
      </c>
      <c r="D30" s="166" t="s">
        <v>107</v>
      </c>
      <c r="E30" s="166">
        <v>2.0</v>
      </c>
      <c r="F30" s="166" t="s">
        <v>552</v>
      </c>
      <c r="G30" s="166" t="s">
        <v>30</v>
      </c>
      <c r="H30" s="166" t="s">
        <v>105</v>
      </c>
      <c r="I30" s="16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74" t="s">
        <v>28</v>
      </c>
      <c r="B31" s="174" t="s">
        <v>31</v>
      </c>
      <c r="C31" s="174" t="s">
        <v>28</v>
      </c>
      <c r="D31" s="174" t="s">
        <v>183</v>
      </c>
      <c r="E31" s="174">
        <v>0.0</v>
      </c>
      <c r="F31" s="174"/>
      <c r="G31" s="174"/>
      <c r="H31" s="174" t="s">
        <v>77</v>
      </c>
      <c r="I31" s="17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outlineLevel="1">
      <c r="A32" s="175" t="s">
        <v>658</v>
      </c>
      <c r="B32" s="175" t="s">
        <v>187</v>
      </c>
      <c r="C32" s="175" t="s">
        <v>116</v>
      </c>
      <c r="D32" s="175" t="s">
        <v>188</v>
      </c>
      <c r="E32" s="175">
        <v>3.0</v>
      </c>
      <c r="F32" s="175" t="s">
        <v>556</v>
      </c>
      <c r="G32" s="175" t="s">
        <v>31</v>
      </c>
      <c r="H32" s="175" t="s">
        <v>186</v>
      </c>
      <c r="I32" s="17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outlineLevel="2">
      <c r="A33" s="176" t="s">
        <v>2144</v>
      </c>
      <c r="B33" s="176" t="s">
        <v>192</v>
      </c>
      <c r="C33" s="176" t="s">
        <v>92</v>
      </c>
      <c r="D33" s="176" t="s">
        <v>193</v>
      </c>
      <c r="E33" s="176">
        <v>2.0</v>
      </c>
      <c r="F33" s="176" t="s">
        <v>556</v>
      </c>
      <c r="G33" s="176" t="s">
        <v>187</v>
      </c>
      <c r="H33" s="176" t="s">
        <v>191</v>
      </c>
      <c r="I33" s="17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outlineLevel="2">
      <c r="A34" s="176" t="s">
        <v>2144</v>
      </c>
      <c r="B34" s="176" t="s">
        <v>195</v>
      </c>
      <c r="C34" s="176" t="s">
        <v>92</v>
      </c>
      <c r="D34" s="176" t="s">
        <v>196</v>
      </c>
      <c r="E34" s="176">
        <v>2.0</v>
      </c>
      <c r="F34" s="176" t="s">
        <v>556</v>
      </c>
      <c r="G34" s="176" t="s">
        <v>187</v>
      </c>
      <c r="H34" s="176" t="s">
        <v>194</v>
      </c>
      <c r="I34" s="17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outlineLevel="2">
      <c r="A35" s="176" t="s">
        <v>2144</v>
      </c>
      <c r="B35" s="176" t="s">
        <v>198</v>
      </c>
      <c r="C35" s="176" t="s">
        <v>92</v>
      </c>
      <c r="D35" s="176" t="s">
        <v>199</v>
      </c>
      <c r="E35" s="176">
        <v>2.0</v>
      </c>
      <c r="F35" s="176" t="s">
        <v>556</v>
      </c>
      <c r="G35" s="176" t="s">
        <v>187</v>
      </c>
      <c r="H35" s="176" t="s">
        <v>197</v>
      </c>
      <c r="I35" s="17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outlineLevel="2">
      <c r="A36" s="176" t="s">
        <v>2144</v>
      </c>
      <c r="B36" s="176" t="s">
        <v>201</v>
      </c>
      <c r="C36" s="176" t="s">
        <v>92</v>
      </c>
      <c r="D36" s="176" t="s">
        <v>202</v>
      </c>
      <c r="E36" s="176">
        <v>2.0</v>
      </c>
      <c r="F36" s="176" t="s">
        <v>556</v>
      </c>
      <c r="G36" s="176" t="s">
        <v>187</v>
      </c>
      <c r="H36" s="176" t="s">
        <v>200</v>
      </c>
      <c r="I36" s="17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outlineLevel="1">
      <c r="A37" s="165" t="s">
        <v>658</v>
      </c>
      <c r="B37" s="165" t="s">
        <v>222</v>
      </c>
      <c r="C37" s="165" t="s">
        <v>225</v>
      </c>
      <c r="D37" s="165" t="s">
        <v>223</v>
      </c>
      <c r="E37" s="165">
        <v>2.0</v>
      </c>
      <c r="F37" s="165" t="s">
        <v>558</v>
      </c>
      <c r="G37" s="165" t="s">
        <v>31</v>
      </c>
      <c r="H37" s="165" t="s">
        <v>221</v>
      </c>
      <c r="I37" s="16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outlineLevel="2">
      <c r="A38" s="177" t="s">
        <v>2144</v>
      </c>
      <c r="B38" s="177" t="s">
        <v>228</v>
      </c>
      <c r="C38" s="177" t="s">
        <v>84</v>
      </c>
      <c r="D38" s="177" t="s">
        <v>229</v>
      </c>
      <c r="E38" s="177">
        <v>2.0</v>
      </c>
      <c r="F38" s="177" t="s">
        <v>558</v>
      </c>
      <c r="G38" s="177" t="s">
        <v>222</v>
      </c>
      <c r="H38" s="177" t="s">
        <v>227</v>
      </c>
      <c r="I38" s="177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outlineLevel="2">
      <c r="A39" s="177" t="s">
        <v>2144</v>
      </c>
      <c r="B39" s="177" t="s">
        <v>231</v>
      </c>
      <c r="C39" s="177" t="s">
        <v>92</v>
      </c>
      <c r="D39" s="177" t="s">
        <v>232</v>
      </c>
      <c r="E39" s="177">
        <v>1.0</v>
      </c>
      <c r="F39" s="177" t="s">
        <v>558</v>
      </c>
      <c r="G39" s="177" t="s">
        <v>222</v>
      </c>
      <c r="H39" s="177" t="s">
        <v>230</v>
      </c>
      <c r="I39" s="177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outlineLevel="2">
      <c r="A40" s="177" t="s">
        <v>2144</v>
      </c>
      <c r="B40" s="177" t="s">
        <v>234</v>
      </c>
      <c r="C40" s="177" t="s">
        <v>116</v>
      </c>
      <c r="D40" s="177" t="s">
        <v>235</v>
      </c>
      <c r="E40" s="177">
        <v>1.0</v>
      </c>
      <c r="F40" s="177" t="s">
        <v>558</v>
      </c>
      <c r="G40" s="177" t="s">
        <v>222</v>
      </c>
      <c r="H40" s="177" t="s">
        <v>233</v>
      </c>
      <c r="I40" s="177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outlineLevel="2">
      <c r="A41" s="177" t="s">
        <v>2144</v>
      </c>
      <c r="B41" s="177" t="s">
        <v>237</v>
      </c>
      <c r="C41" s="177" t="s">
        <v>116</v>
      </c>
      <c r="D41" s="177" t="s">
        <v>238</v>
      </c>
      <c r="E41" s="177">
        <v>2.0</v>
      </c>
      <c r="F41" s="177" t="s">
        <v>558</v>
      </c>
      <c r="G41" s="177" t="s">
        <v>222</v>
      </c>
      <c r="H41" s="177" t="s">
        <v>236</v>
      </c>
      <c r="I41" s="177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outlineLevel="2">
      <c r="A42" s="177" t="s">
        <v>2144</v>
      </c>
      <c r="B42" s="177" t="s">
        <v>240</v>
      </c>
      <c r="C42" s="177" t="s">
        <v>92</v>
      </c>
      <c r="D42" s="177" t="s">
        <v>241</v>
      </c>
      <c r="E42" s="177">
        <v>2.0</v>
      </c>
      <c r="F42" s="177" t="s">
        <v>558</v>
      </c>
      <c r="G42" s="177" t="s">
        <v>222</v>
      </c>
      <c r="H42" s="177" t="s">
        <v>239</v>
      </c>
      <c r="I42" s="17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outlineLevel="2">
      <c r="A43" s="177" t="s">
        <v>2144</v>
      </c>
      <c r="B43" s="177" t="s">
        <v>243</v>
      </c>
      <c r="C43" s="177" t="s">
        <v>92</v>
      </c>
      <c r="D43" s="177" t="s">
        <v>244</v>
      </c>
      <c r="E43" s="177">
        <v>3.0</v>
      </c>
      <c r="F43" s="177" t="s">
        <v>558</v>
      </c>
      <c r="G43" s="177" t="s">
        <v>222</v>
      </c>
      <c r="H43" s="177" t="s">
        <v>242</v>
      </c>
      <c r="I43" s="177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outlineLevel="2">
      <c r="A44" s="177" t="s">
        <v>2144</v>
      </c>
      <c r="B44" s="177" t="s">
        <v>246</v>
      </c>
      <c r="C44" s="177" t="s">
        <v>84</v>
      </c>
      <c r="D44" s="177" t="s">
        <v>247</v>
      </c>
      <c r="E44" s="177">
        <v>2.0</v>
      </c>
      <c r="F44" s="177" t="s">
        <v>558</v>
      </c>
      <c r="G44" s="177" t="s">
        <v>222</v>
      </c>
      <c r="H44" s="177" t="s">
        <v>245</v>
      </c>
      <c r="I44" s="177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outlineLevel="2">
      <c r="A45" s="177" t="s">
        <v>2144</v>
      </c>
      <c r="B45" s="177" t="s">
        <v>249</v>
      </c>
      <c r="C45" s="177" t="s">
        <v>84</v>
      </c>
      <c r="D45" s="177" t="s">
        <v>250</v>
      </c>
      <c r="E45" s="177">
        <v>2.0</v>
      </c>
      <c r="F45" s="177" t="s">
        <v>558</v>
      </c>
      <c r="G45" s="177" t="s">
        <v>222</v>
      </c>
      <c r="H45" s="177" t="s">
        <v>248</v>
      </c>
      <c r="I45" s="177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outlineLevel="1">
      <c r="A46" s="169" t="s">
        <v>658</v>
      </c>
      <c r="B46" s="169" t="s">
        <v>252</v>
      </c>
      <c r="C46" s="169" t="s">
        <v>255</v>
      </c>
      <c r="D46" s="169" t="s">
        <v>253</v>
      </c>
      <c r="E46" s="169">
        <v>2.0</v>
      </c>
      <c r="F46" s="169" t="s">
        <v>560</v>
      </c>
      <c r="G46" s="169" t="s">
        <v>31</v>
      </c>
      <c r="H46" s="169" t="s">
        <v>251</v>
      </c>
      <c r="I46" s="169" t="s">
        <v>562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outlineLevel="2">
      <c r="A47" s="178" t="s">
        <v>2144</v>
      </c>
      <c r="B47" s="178" t="s">
        <v>257</v>
      </c>
      <c r="C47" s="178" t="s">
        <v>92</v>
      </c>
      <c r="D47" s="178" t="s">
        <v>258</v>
      </c>
      <c r="E47" s="178">
        <v>1.0</v>
      </c>
      <c r="F47" s="178" t="s">
        <v>560</v>
      </c>
      <c r="G47" s="178" t="s">
        <v>252</v>
      </c>
      <c r="H47" s="178" t="s">
        <v>256</v>
      </c>
      <c r="I47" s="17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outlineLevel="2">
      <c r="A48" s="178" t="s">
        <v>2144</v>
      </c>
      <c r="B48" s="178" t="s">
        <v>260</v>
      </c>
      <c r="C48" s="178" t="s">
        <v>92</v>
      </c>
      <c r="D48" s="178" t="s">
        <v>261</v>
      </c>
      <c r="E48" s="178">
        <v>2.0</v>
      </c>
      <c r="F48" s="178" t="s">
        <v>560</v>
      </c>
      <c r="G48" s="178" t="s">
        <v>252</v>
      </c>
      <c r="H48" s="178" t="s">
        <v>259</v>
      </c>
      <c r="I48" s="17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outlineLevel="2">
      <c r="A49" s="178" t="s">
        <v>2144</v>
      </c>
      <c r="B49" s="178" t="s">
        <v>263</v>
      </c>
      <c r="C49" s="178" t="s">
        <v>92</v>
      </c>
      <c r="D49" s="178" t="s">
        <v>264</v>
      </c>
      <c r="E49" s="178">
        <v>1.0</v>
      </c>
      <c r="F49" s="178" t="s">
        <v>560</v>
      </c>
      <c r="G49" s="178" t="s">
        <v>252</v>
      </c>
      <c r="H49" s="178" t="s">
        <v>262</v>
      </c>
      <c r="I49" s="17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outlineLevel="2">
      <c r="A50" s="178" t="s">
        <v>2144</v>
      </c>
      <c r="B50" s="178" t="s">
        <v>266</v>
      </c>
      <c r="C50" s="178" t="s">
        <v>84</v>
      </c>
      <c r="D50" s="178" t="s">
        <v>267</v>
      </c>
      <c r="E50" s="178">
        <v>2.0</v>
      </c>
      <c r="F50" s="178" t="s">
        <v>560</v>
      </c>
      <c r="G50" s="178" t="s">
        <v>252</v>
      </c>
      <c r="H50" s="178" t="s">
        <v>265</v>
      </c>
      <c r="I50" s="178" t="s">
        <v>268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outlineLevel="2">
      <c r="A51" s="178" t="s">
        <v>2144</v>
      </c>
      <c r="B51" s="178" t="s">
        <v>270</v>
      </c>
      <c r="C51" s="178" t="s">
        <v>92</v>
      </c>
      <c r="D51" s="178" t="s">
        <v>271</v>
      </c>
      <c r="E51" s="178">
        <v>1.0</v>
      </c>
      <c r="F51" s="178" t="s">
        <v>560</v>
      </c>
      <c r="G51" s="178" t="s">
        <v>252</v>
      </c>
      <c r="H51" s="178" t="s">
        <v>269</v>
      </c>
      <c r="I51" s="17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outlineLevel="2">
      <c r="A52" s="178" t="s">
        <v>2144</v>
      </c>
      <c r="B52" s="178" t="s">
        <v>273</v>
      </c>
      <c r="C52" s="178" t="s">
        <v>92</v>
      </c>
      <c r="D52" s="178" t="s">
        <v>274</v>
      </c>
      <c r="E52" s="178">
        <v>1.0</v>
      </c>
      <c r="F52" s="178" t="s">
        <v>560</v>
      </c>
      <c r="G52" s="178" t="s">
        <v>252</v>
      </c>
      <c r="H52" s="178" t="s">
        <v>272</v>
      </c>
      <c r="I52" s="17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outlineLevel="2">
      <c r="A53" s="178" t="s">
        <v>2144</v>
      </c>
      <c r="B53" s="178" t="s">
        <v>276</v>
      </c>
      <c r="C53" s="178" t="s">
        <v>84</v>
      </c>
      <c r="D53" s="178" t="s">
        <v>277</v>
      </c>
      <c r="E53" s="178">
        <v>2.0</v>
      </c>
      <c r="F53" s="178" t="s">
        <v>560</v>
      </c>
      <c r="G53" s="178" t="s">
        <v>252</v>
      </c>
      <c r="H53" s="178" t="s">
        <v>275</v>
      </c>
      <c r="I53" s="17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outlineLevel="2">
      <c r="A54" s="178" t="s">
        <v>2144</v>
      </c>
      <c r="B54" s="178" t="s">
        <v>279</v>
      </c>
      <c r="C54" s="178" t="s">
        <v>122</v>
      </c>
      <c r="D54" s="178" t="s">
        <v>280</v>
      </c>
      <c r="E54" s="178">
        <v>0.0</v>
      </c>
      <c r="F54" s="178" t="s">
        <v>560</v>
      </c>
      <c r="G54" s="178" t="s">
        <v>252</v>
      </c>
      <c r="H54" s="178">
        <v>448.0</v>
      </c>
      <c r="I54" s="17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outlineLevel="2">
      <c r="A55" s="178" t="s">
        <v>2144</v>
      </c>
      <c r="B55" s="178" t="s">
        <v>282</v>
      </c>
      <c r="C55" s="178" t="s">
        <v>116</v>
      </c>
      <c r="D55" s="178" t="s">
        <v>283</v>
      </c>
      <c r="E55" s="178">
        <v>1.0</v>
      </c>
      <c r="F55" s="178" t="s">
        <v>560</v>
      </c>
      <c r="G55" s="178" t="s">
        <v>252</v>
      </c>
      <c r="H55" s="178" t="s">
        <v>281</v>
      </c>
      <c r="I55" s="17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79" t="s">
        <v>28</v>
      </c>
      <c r="B56" s="179" t="s">
        <v>32</v>
      </c>
      <c r="C56" s="179" t="s">
        <v>28</v>
      </c>
      <c r="D56" s="179" t="s">
        <v>285</v>
      </c>
      <c r="E56" s="179">
        <v>0.0</v>
      </c>
      <c r="F56" s="179"/>
      <c r="G56" s="179"/>
      <c r="H56" s="179" t="s">
        <v>284</v>
      </c>
      <c r="I56" s="179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outlineLevel="1">
      <c r="A57" s="165" t="s">
        <v>658</v>
      </c>
      <c r="B57" s="165" t="s">
        <v>288</v>
      </c>
      <c r="C57" s="165" t="s">
        <v>127</v>
      </c>
      <c r="D57" s="165" t="s">
        <v>289</v>
      </c>
      <c r="E57" s="165">
        <v>2.0</v>
      </c>
      <c r="F57" s="165" t="s">
        <v>564</v>
      </c>
      <c r="G57" s="165" t="s">
        <v>32</v>
      </c>
      <c r="H57" s="165" t="s">
        <v>287</v>
      </c>
      <c r="I57" s="16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outlineLevel="2">
      <c r="A58" s="177" t="s">
        <v>2144</v>
      </c>
      <c r="B58" s="177" t="s">
        <v>293</v>
      </c>
      <c r="C58" s="177" t="s">
        <v>122</v>
      </c>
      <c r="D58" s="177" t="s">
        <v>294</v>
      </c>
      <c r="E58" s="177">
        <v>0.0</v>
      </c>
      <c r="F58" s="177" t="s">
        <v>564</v>
      </c>
      <c r="G58" s="177" t="s">
        <v>288</v>
      </c>
      <c r="H58" s="177">
        <v>449.0</v>
      </c>
      <c r="I58" s="177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outlineLevel="2">
      <c r="A59" s="177" t="s">
        <v>2144</v>
      </c>
      <c r="B59" s="177" t="s">
        <v>296</v>
      </c>
      <c r="C59" s="177" t="s">
        <v>298</v>
      </c>
      <c r="D59" s="177" t="s">
        <v>297</v>
      </c>
      <c r="E59" s="177">
        <v>2.0</v>
      </c>
      <c r="F59" s="177" t="s">
        <v>564</v>
      </c>
      <c r="G59" s="177" t="s">
        <v>288</v>
      </c>
      <c r="H59" s="177" t="s">
        <v>295</v>
      </c>
      <c r="I59" s="177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outlineLevel="2">
      <c r="A60" s="177" t="s">
        <v>2144</v>
      </c>
      <c r="B60" s="177" t="s">
        <v>300</v>
      </c>
      <c r="C60" s="177" t="s">
        <v>84</v>
      </c>
      <c r="D60" s="177" t="s">
        <v>301</v>
      </c>
      <c r="E60" s="177">
        <v>1.0</v>
      </c>
      <c r="F60" s="177" t="s">
        <v>564</v>
      </c>
      <c r="G60" s="177" t="s">
        <v>288</v>
      </c>
      <c r="H60" s="177" t="s">
        <v>299</v>
      </c>
      <c r="I60" s="177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outlineLevel="2">
      <c r="A61" s="177" t="s">
        <v>2144</v>
      </c>
      <c r="B61" s="177" t="s">
        <v>303</v>
      </c>
      <c r="C61" s="177" t="s">
        <v>84</v>
      </c>
      <c r="D61" s="177" t="s">
        <v>304</v>
      </c>
      <c r="E61" s="177">
        <v>2.0</v>
      </c>
      <c r="F61" s="177" t="s">
        <v>564</v>
      </c>
      <c r="G61" s="177" t="s">
        <v>288</v>
      </c>
      <c r="H61" s="177" t="s">
        <v>302</v>
      </c>
      <c r="I61" s="177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outlineLevel="2">
      <c r="A62" s="177" t="s">
        <v>2144</v>
      </c>
      <c r="B62" s="177" t="s">
        <v>306</v>
      </c>
      <c r="C62" s="177" t="s">
        <v>92</v>
      </c>
      <c r="D62" s="177" t="s">
        <v>307</v>
      </c>
      <c r="E62" s="177">
        <v>0.0</v>
      </c>
      <c r="F62" s="177" t="s">
        <v>564</v>
      </c>
      <c r="G62" s="177" t="s">
        <v>288</v>
      </c>
      <c r="H62" s="177" t="s">
        <v>305</v>
      </c>
      <c r="I62" s="177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outlineLevel="2">
      <c r="A63" s="177" t="s">
        <v>2144</v>
      </c>
      <c r="B63" s="177" t="s">
        <v>309</v>
      </c>
      <c r="C63" s="177" t="s">
        <v>92</v>
      </c>
      <c r="D63" s="177" t="s">
        <v>310</v>
      </c>
      <c r="E63" s="177">
        <v>1.0</v>
      </c>
      <c r="F63" s="177" t="s">
        <v>564</v>
      </c>
      <c r="G63" s="177" t="s">
        <v>288</v>
      </c>
      <c r="H63" s="177" t="s">
        <v>308</v>
      </c>
      <c r="I63" s="177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outlineLevel="2">
      <c r="A64" s="177" t="s">
        <v>2144</v>
      </c>
      <c r="B64" s="177" t="s">
        <v>312</v>
      </c>
      <c r="C64" s="177" t="s">
        <v>92</v>
      </c>
      <c r="D64" s="177" t="s">
        <v>313</v>
      </c>
      <c r="E64" s="177">
        <v>2.0</v>
      </c>
      <c r="F64" s="177" t="s">
        <v>564</v>
      </c>
      <c r="G64" s="177" t="s">
        <v>288</v>
      </c>
      <c r="H64" s="177" t="s">
        <v>311</v>
      </c>
      <c r="I64" s="177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outlineLevel="2">
      <c r="A65" s="177" t="s">
        <v>2144</v>
      </c>
      <c r="B65" s="177" t="s">
        <v>315</v>
      </c>
      <c r="C65" s="177" t="s">
        <v>317</v>
      </c>
      <c r="D65" s="177" t="s">
        <v>316</v>
      </c>
      <c r="E65" s="177">
        <v>2.0</v>
      </c>
      <c r="F65" s="177" t="s">
        <v>564</v>
      </c>
      <c r="G65" s="177" t="s">
        <v>288</v>
      </c>
      <c r="H65" s="177" t="s">
        <v>314</v>
      </c>
      <c r="I65" s="177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outlineLevel="1">
      <c r="A66" s="165" t="s">
        <v>658</v>
      </c>
      <c r="B66" s="165" t="s">
        <v>319</v>
      </c>
      <c r="C66" s="165" t="s">
        <v>225</v>
      </c>
      <c r="D66" s="165" t="s">
        <v>320</v>
      </c>
      <c r="E66" s="165">
        <v>1.0</v>
      </c>
      <c r="F66" s="165" t="s">
        <v>566</v>
      </c>
      <c r="G66" s="165" t="s">
        <v>32</v>
      </c>
      <c r="H66" s="165" t="s">
        <v>318</v>
      </c>
      <c r="I66" s="16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outlineLevel="2">
      <c r="A67" s="180" t="s">
        <v>2144</v>
      </c>
      <c r="B67" s="180" t="s">
        <v>323</v>
      </c>
      <c r="C67" s="180" t="s">
        <v>92</v>
      </c>
      <c r="D67" s="180" t="s">
        <v>324</v>
      </c>
      <c r="E67" s="180">
        <v>1.0</v>
      </c>
      <c r="F67" s="180" t="s">
        <v>566</v>
      </c>
      <c r="G67" s="180" t="s">
        <v>319</v>
      </c>
      <c r="H67" s="180" t="s">
        <v>322</v>
      </c>
      <c r="I67" s="18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outlineLevel="2">
      <c r="A68" s="180" t="s">
        <v>2144</v>
      </c>
      <c r="B68" s="180" t="s">
        <v>326</v>
      </c>
      <c r="C68" s="180" t="s">
        <v>92</v>
      </c>
      <c r="D68" s="180" t="s">
        <v>327</v>
      </c>
      <c r="E68" s="180">
        <v>2.0</v>
      </c>
      <c r="F68" s="180" t="s">
        <v>566</v>
      </c>
      <c r="G68" s="180" t="s">
        <v>319</v>
      </c>
      <c r="H68" s="180" t="s">
        <v>325</v>
      </c>
      <c r="I68" s="18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outlineLevel="2">
      <c r="A69" s="180" t="s">
        <v>2144</v>
      </c>
      <c r="B69" s="180" t="s">
        <v>329</v>
      </c>
      <c r="C69" s="180" t="s">
        <v>84</v>
      </c>
      <c r="D69" s="180" t="s">
        <v>330</v>
      </c>
      <c r="E69" s="180">
        <v>2.0</v>
      </c>
      <c r="F69" s="180" t="s">
        <v>566</v>
      </c>
      <c r="G69" s="180" t="s">
        <v>319</v>
      </c>
      <c r="H69" s="180" t="s">
        <v>328</v>
      </c>
      <c r="I69" s="18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outlineLevel="2">
      <c r="A70" s="180" t="s">
        <v>2144</v>
      </c>
      <c r="B70" s="180" t="s">
        <v>332</v>
      </c>
      <c r="C70" s="180" t="s">
        <v>116</v>
      </c>
      <c r="D70" s="180" t="s">
        <v>333</v>
      </c>
      <c r="E70" s="180">
        <v>1.0</v>
      </c>
      <c r="F70" s="180" t="s">
        <v>566</v>
      </c>
      <c r="G70" s="180" t="s">
        <v>319</v>
      </c>
      <c r="H70" s="180" t="s">
        <v>331</v>
      </c>
      <c r="I70" s="18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outlineLevel="2">
      <c r="A71" s="180" t="s">
        <v>2144</v>
      </c>
      <c r="B71" s="180" t="s">
        <v>335</v>
      </c>
      <c r="C71" s="180" t="s">
        <v>116</v>
      </c>
      <c r="D71" s="180" t="s">
        <v>336</v>
      </c>
      <c r="E71" s="180">
        <v>1.0</v>
      </c>
      <c r="F71" s="180" t="s">
        <v>566</v>
      </c>
      <c r="G71" s="180" t="s">
        <v>319</v>
      </c>
      <c r="H71" s="180" t="s">
        <v>334</v>
      </c>
      <c r="I71" s="18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outlineLevel="2">
      <c r="A72" s="180" t="s">
        <v>2144</v>
      </c>
      <c r="B72" s="180" t="s">
        <v>338</v>
      </c>
      <c r="C72" s="180" t="s">
        <v>122</v>
      </c>
      <c r="D72" s="180" t="s">
        <v>339</v>
      </c>
      <c r="E72" s="180">
        <v>0.0</v>
      </c>
      <c r="F72" s="180" t="s">
        <v>566</v>
      </c>
      <c r="G72" s="180" t="s">
        <v>319</v>
      </c>
      <c r="H72" s="180">
        <v>444.0</v>
      </c>
      <c r="I72" s="18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outlineLevel="2">
      <c r="A73" s="180" t="s">
        <v>2144</v>
      </c>
      <c r="B73" s="180" t="s">
        <v>341</v>
      </c>
      <c r="C73" s="180" t="s">
        <v>84</v>
      </c>
      <c r="D73" s="180" t="s">
        <v>342</v>
      </c>
      <c r="E73" s="180">
        <v>1.0</v>
      </c>
      <c r="F73" s="180" t="s">
        <v>566</v>
      </c>
      <c r="G73" s="180" t="s">
        <v>319</v>
      </c>
      <c r="H73" s="180" t="s">
        <v>340</v>
      </c>
      <c r="I73" s="18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outlineLevel="2">
      <c r="A74" s="180" t="s">
        <v>2144</v>
      </c>
      <c r="B74" s="180" t="s">
        <v>344</v>
      </c>
      <c r="C74" s="180" t="s">
        <v>84</v>
      </c>
      <c r="D74" s="180" t="s">
        <v>345</v>
      </c>
      <c r="E74" s="180">
        <v>2.0</v>
      </c>
      <c r="F74" s="180" t="s">
        <v>566</v>
      </c>
      <c r="G74" s="180" t="s">
        <v>319</v>
      </c>
      <c r="H74" s="180" t="s">
        <v>343</v>
      </c>
      <c r="I74" s="18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outlineLevel="2">
      <c r="A75" s="180" t="s">
        <v>2144</v>
      </c>
      <c r="B75" s="180" t="s">
        <v>347</v>
      </c>
      <c r="C75" s="180" t="s">
        <v>92</v>
      </c>
      <c r="D75" s="180" t="s">
        <v>348</v>
      </c>
      <c r="E75" s="180">
        <v>2.0</v>
      </c>
      <c r="F75" s="180" t="s">
        <v>566</v>
      </c>
      <c r="G75" s="180" t="s">
        <v>319</v>
      </c>
      <c r="H75" s="180" t="s">
        <v>346</v>
      </c>
      <c r="I75" s="18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outlineLevel="2">
      <c r="A76" s="180" t="s">
        <v>2144</v>
      </c>
      <c r="B76" s="180" t="s">
        <v>350</v>
      </c>
      <c r="C76" s="180" t="s">
        <v>92</v>
      </c>
      <c r="D76" s="180" t="s">
        <v>351</v>
      </c>
      <c r="E76" s="180">
        <v>2.0</v>
      </c>
      <c r="F76" s="180" t="s">
        <v>566</v>
      </c>
      <c r="G76" s="180" t="s">
        <v>319</v>
      </c>
      <c r="H76" s="180" t="s">
        <v>349</v>
      </c>
      <c r="I76" s="18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81" t="s">
        <v>28</v>
      </c>
      <c r="B77" s="181" t="s">
        <v>33</v>
      </c>
      <c r="C77" s="181" t="s">
        <v>28</v>
      </c>
      <c r="D77" s="181" t="s">
        <v>2145</v>
      </c>
      <c r="E77" s="181">
        <v>0.0</v>
      </c>
      <c r="F77" s="181"/>
      <c r="G77" s="181"/>
      <c r="H77" s="181" t="s">
        <v>352</v>
      </c>
      <c r="I77" s="18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outlineLevel="1">
      <c r="A78" s="167" t="s">
        <v>658</v>
      </c>
      <c r="B78" s="167" t="s">
        <v>358</v>
      </c>
      <c r="C78" s="167" t="s">
        <v>225</v>
      </c>
      <c r="D78" s="167" t="s">
        <v>359</v>
      </c>
      <c r="E78" s="167">
        <v>2.0</v>
      </c>
      <c r="F78" s="167" t="s">
        <v>569</v>
      </c>
      <c r="G78" s="167" t="s">
        <v>33</v>
      </c>
      <c r="H78" s="167" t="s">
        <v>357</v>
      </c>
      <c r="I78" s="167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outlineLevel="2">
      <c r="A79" s="168" t="s">
        <v>2144</v>
      </c>
      <c r="B79" s="168" t="s">
        <v>362</v>
      </c>
      <c r="C79" s="168" t="s">
        <v>298</v>
      </c>
      <c r="D79" s="168" t="s">
        <v>363</v>
      </c>
      <c r="E79" s="168">
        <v>2.0</v>
      </c>
      <c r="F79" s="168" t="s">
        <v>569</v>
      </c>
      <c r="G79" s="168" t="s">
        <v>358</v>
      </c>
      <c r="H79" s="168" t="s">
        <v>361</v>
      </c>
      <c r="I79" s="16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outlineLevel="2">
      <c r="A80" s="168" t="s">
        <v>2144</v>
      </c>
      <c r="B80" s="168" t="s">
        <v>367</v>
      </c>
      <c r="C80" s="168" t="s">
        <v>122</v>
      </c>
      <c r="D80" s="168" t="s">
        <v>368</v>
      </c>
      <c r="E80" s="168">
        <v>0.0</v>
      </c>
      <c r="F80" s="168" t="s">
        <v>569</v>
      </c>
      <c r="G80" s="168" t="s">
        <v>358</v>
      </c>
      <c r="H80" s="168">
        <v>452.0</v>
      </c>
      <c r="I80" s="16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outlineLevel="2">
      <c r="A81" s="168" t="s">
        <v>2144</v>
      </c>
      <c r="B81" s="168" t="s">
        <v>370</v>
      </c>
      <c r="C81" s="168" t="s">
        <v>372</v>
      </c>
      <c r="D81" s="168" t="s">
        <v>371</v>
      </c>
      <c r="E81" s="168">
        <v>2.0</v>
      </c>
      <c r="F81" s="168" t="s">
        <v>569</v>
      </c>
      <c r="G81" s="168" t="s">
        <v>358</v>
      </c>
      <c r="H81" s="168" t="s">
        <v>369</v>
      </c>
      <c r="I81" s="16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outlineLevel="2">
      <c r="A82" s="168" t="s">
        <v>2144</v>
      </c>
      <c r="B82" s="168" t="s">
        <v>374</v>
      </c>
      <c r="C82" s="168" t="s">
        <v>298</v>
      </c>
      <c r="D82" s="168" t="s">
        <v>375</v>
      </c>
      <c r="E82" s="168">
        <v>2.0</v>
      </c>
      <c r="F82" s="168" t="s">
        <v>569</v>
      </c>
      <c r="G82" s="168" t="s">
        <v>358</v>
      </c>
      <c r="H82" s="168" t="s">
        <v>373</v>
      </c>
      <c r="I82" s="16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outlineLevel="2">
      <c r="A83" s="168" t="s">
        <v>2144</v>
      </c>
      <c r="B83" s="168" t="s">
        <v>377</v>
      </c>
      <c r="C83" s="168" t="s">
        <v>298</v>
      </c>
      <c r="D83" s="168" t="s">
        <v>378</v>
      </c>
      <c r="E83" s="168">
        <v>2.0</v>
      </c>
      <c r="F83" s="168" t="s">
        <v>569</v>
      </c>
      <c r="G83" s="168" t="s">
        <v>358</v>
      </c>
      <c r="H83" s="168" t="s">
        <v>376</v>
      </c>
      <c r="I83" s="16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outlineLevel="2">
      <c r="A84" s="168" t="s">
        <v>2144</v>
      </c>
      <c r="B84" s="168" t="s">
        <v>380</v>
      </c>
      <c r="C84" s="168" t="s">
        <v>298</v>
      </c>
      <c r="D84" s="168" t="s">
        <v>381</v>
      </c>
      <c r="E84" s="168">
        <v>1.0</v>
      </c>
      <c r="F84" s="168" t="s">
        <v>569</v>
      </c>
      <c r="G84" s="168" t="s">
        <v>358</v>
      </c>
      <c r="H84" s="168" t="s">
        <v>379</v>
      </c>
      <c r="I84" s="16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outlineLevel="2">
      <c r="A85" s="168" t="s">
        <v>2144</v>
      </c>
      <c r="B85" s="168" t="s">
        <v>383</v>
      </c>
      <c r="C85" s="168" t="s">
        <v>298</v>
      </c>
      <c r="D85" s="168" t="s">
        <v>384</v>
      </c>
      <c r="E85" s="168">
        <v>1.0</v>
      </c>
      <c r="F85" s="168" t="s">
        <v>569</v>
      </c>
      <c r="G85" s="168" t="s">
        <v>358</v>
      </c>
      <c r="H85" s="168" t="s">
        <v>382</v>
      </c>
      <c r="I85" s="16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outlineLevel="2">
      <c r="A86" s="168" t="s">
        <v>2144</v>
      </c>
      <c r="B86" s="168" t="s">
        <v>386</v>
      </c>
      <c r="C86" s="168" t="s">
        <v>372</v>
      </c>
      <c r="D86" s="168" t="s">
        <v>387</v>
      </c>
      <c r="E86" s="168">
        <v>2.0</v>
      </c>
      <c r="F86" s="168" t="s">
        <v>569</v>
      </c>
      <c r="G86" s="168" t="s">
        <v>358</v>
      </c>
      <c r="H86" s="168" t="s">
        <v>385</v>
      </c>
      <c r="I86" s="16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outlineLevel="2">
      <c r="A87" s="168" t="s">
        <v>2144</v>
      </c>
      <c r="B87" s="168" t="s">
        <v>389</v>
      </c>
      <c r="C87" s="168" t="s">
        <v>122</v>
      </c>
      <c r="D87" s="168" t="s">
        <v>390</v>
      </c>
      <c r="E87" s="168">
        <v>0.0</v>
      </c>
      <c r="F87" s="168" t="s">
        <v>569</v>
      </c>
      <c r="G87" s="168" t="s">
        <v>358</v>
      </c>
      <c r="H87" s="168">
        <v>451.0</v>
      </c>
      <c r="I87" s="16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outlineLevel="2">
      <c r="A88" s="168" t="s">
        <v>2144</v>
      </c>
      <c r="B88" s="168" t="s">
        <v>392</v>
      </c>
      <c r="C88" s="168" t="s">
        <v>372</v>
      </c>
      <c r="D88" s="168" t="s">
        <v>393</v>
      </c>
      <c r="E88" s="168">
        <v>3.0</v>
      </c>
      <c r="F88" s="168" t="s">
        <v>569</v>
      </c>
      <c r="G88" s="168" t="s">
        <v>358</v>
      </c>
      <c r="H88" s="168" t="s">
        <v>391</v>
      </c>
      <c r="I88" s="16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outlineLevel="1">
      <c r="A89" s="165" t="s">
        <v>658</v>
      </c>
      <c r="B89" s="165" t="s">
        <v>395</v>
      </c>
      <c r="C89" s="165" t="s">
        <v>127</v>
      </c>
      <c r="D89" s="165" t="s">
        <v>396</v>
      </c>
      <c r="E89" s="165">
        <v>4.0</v>
      </c>
      <c r="F89" s="165" t="s">
        <v>571</v>
      </c>
      <c r="G89" s="165" t="s">
        <v>33</v>
      </c>
      <c r="H89" s="165" t="s">
        <v>394</v>
      </c>
      <c r="I89" s="165" t="s">
        <v>573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outlineLevel="2">
      <c r="A90" s="178" t="s">
        <v>2144</v>
      </c>
      <c r="B90" s="178" t="s">
        <v>400</v>
      </c>
      <c r="C90" s="178" t="s">
        <v>317</v>
      </c>
      <c r="D90" s="178" t="s">
        <v>401</v>
      </c>
      <c r="E90" s="178">
        <v>3.0</v>
      </c>
      <c r="F90" s="178" t="s">
        <v>571</v>
      </c>
      <c r="G90" s="178" t="s">
        <v>395</v>
      </c>
      <c r="H90" s="178" t="s">
        <v>399</v>
      </c>
      <c r="I90" s="17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outlineLevel="2">
      <c r="A91" s="178" t="s">
        <v>2144</v>
      </c>
      <c r="B91" s="178" t="s">
        <v>403</v>
      </c>
      <c r="C91" s="178" t="s">
        <v>372</v>
      </c>
      <c r="D91" s="178" t="s">
        <v>404</v>
      </c>
      <c r="E91" s="178">
        <v>1.0</v>
      </c>
      <c r="F91" s="178" t="s">
        <v>571</v>
      </c>
      <c r="G91" s="178" t="s">
        <v>395</v>
      </c>
      <c r="H91" s="178" t="s">
        <v>402</v>
      </c>
      <c r="I91" s="17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outlineLevel="2">
      <c r="A92" s="178" t="s">
        <v>2144</v>
      </c>
      <c r="B92" s="178" t="s">
        <v>406</v>
      </c>
      <c r="C92" s="178" t="s">
        <v>298</v>
      </c>
      <c r="D92" s="178" t="s">
        <v>407</v>
      </c>
      <c r="E92" s="178">
        <v>1.0</v>
      </c>
      <c r="F92" s="178" t="s">
        <v>571</v>
      </c>
      <c r="G92" s="178" t="s">
        <v>395</v>
      </c>
      <c r="H92" s="178" t="s">
        <v>405</v>
      </c>
      <c r="I92" s="17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outlineLevel="2">
      <c r="A93" s="178" t="s">
        <v>2144</v>
      </c>
      <c r="B93" s="178" t="s">
        <v>409</v>
      </c>
      <c r="C93" s="178" t="s">
        <v>92</v>
      </c>
      <c r="D93" s="178" t="s">
        <v>410</v>
      </c>
      <c r="E93" s="178">
        <v>4.0</v>
      </c>
      <c r="F93" s="178" t="s">
        <v>571</v>
      </c>
      <c r="G93" s="178" t="s">
        <v>395</v>
      </c>
      <c r="H93" s="178" t="s">
        <v>408</v>
      </c>
      <c r="I93" s="17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outlineLevel="2">
      <c r="A94" s="178" t="s">
        <v>2144</v>
      </c>
      <c r="B94" s="178" t="s">
        <v>412</v>
      </c>
      <c r="C94" s="178" t="s">
        <v>298</v>
      </c>
      <c r="D94" s="178" t="s">
        <v>413</v>
      </c>
      <c r="E94" s="178">
        <v>1.0</v>
      </c>
      <c r="F94" s="178" t="s">
        <v>571</v>
      </c>
      <c r="G94" s="178" t="s">
        <v>395</v>
      </c>
      <c r="H94" s="178" t="s">
        <v>411</v>
      </c>
      <c r="I94" s="17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outlineLevel="2">
      <c r="A95" s="178" t="s">
        <v>2144</v>
      </c>
      <c r="B95" s="178" t="s">
        <v>415</v>
      </c>
      <c r="C95" s="178" t="s">
        <v>122</v>
      </c>
      <c r="D95" s="178" t="s">
        <v>416</v>
      </c>
      <c r="E95" s="178">
        <v>0.0</v>
      </c>
      <c r="F95" s="178" t="s">
        <v>571</v>
      </c>
      <c r="G95" s="178" t="s">
        <v>395</v>
      </c>
      <c r="H95" s="178">
        <v>450.0</v>
      </c>
      <c r="I95" s="17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outlineLevel="2">
      <c r="A96" s="178" t="s">
        <v>2144</v>
      </c>
      <c r="B96" s="178" t="s">
        <v>418</v>
      </c>
      <c r="C96" s="178" t="s">
        <v>317</v>
      </c>
      <c r="D96" s="178" t="s">
        <v>419</v>
      </c>
      <c r="E96" s="178">
        <v>1.0</v>
      </c>
      <c r="F96" s="178" t="s">
        <v>571</v>
      </c>
      <c r="G96" s="178" t="s">
        <v>395</v>
      </c>
      <c r="H96" s="178" t="s">
        <v>417</v>
      </c>
      <c r="I96" s="17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outlineLevel="2">
      <c r="A97" s="178" t="s">
        <v>2144</v>
      </c>
      <c r="B97" s="178" t="s">
        <v>421</v>
      </c>
      <c r="C97" s="178" t="s">
        <v>317</v>
      </c>
      <c r="D97" s="178" t="s">
        <v>422</v>
      </c>
      <c r="E97" s="178">
        <v>0.0</v>
      </c>
      <c r="F97" s="178" t="s">
        <v>571</v>
      </c>
      <c r="G97" s="178" t="s">
        <v>395</v>
      </c>
      <c r="H97" s="178" t="s">
        <v>420</v>
      </c>
      <c r="I97" s="17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outlineLevel="2">
      <c r="A98" s="178" t="s">
        <v>2144</v>
      </c>
      <c r="B98" s="178" t="s">
        <v>424</v>
      </c>
      <c r="C98" s="178" t="s">
        <v>122</v>
      </c>
      <c r="D98" s="178" t="s">
        <v>2146</v>
      </c>
      <c r="E98" s="178">
        <v>0.0</v>
      </c>
      <c r="F98" s="178" t="s">
        <v>571</v>
      </c>
      <c r="G98" s="178" t="s">
        <v>395</v>
      </c>
      <c r="H98" s="178">
        <v>447.0</v>
      </c>
      <c r="I98" s="17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outlineLevel="2">
      <c r="A99" s="178" t="s">
        <v>2144</v>
      </c>
      <c r="B99" s="178" t="s">
        <v>427</v>
      </c>
      <c r="C99" s="178" t="s">
        <v>298</v>
      </c>
      <c r="D99" s="178" t="s">
        <v>428</v>
      </c>
      <c r="E99" s="178">
        <v>3.0</v>
      </c>
      <c r="F99" s="178" t="s">
        <v>571</v>
      </c>
      <c r="G99" s="178" t="s">
        <v>395</v>
      </c>
      <c r="H99" s="178" t="s">
        <v>426</v>
      </c>
      <c r="I99" s="17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outlineLevel="2">
      <c r="A100" s="178" t="s">
        <v>2144</v>
      </c>
      <c r="B100" s="178" t="s">
        <v>430</v>
      </c>
      <c r="C100" s="178" t="s">
        <v>298</v>
      </c>
      <c r="D100" s="178" t="s">
        <v>431</v>
      </c>
      <c r="E100" s="178">
        <v>2.0</v>
      </c>
      <c r="F100" s="178" t="s">
        <v>571</v>
      </c>
      <c r="G100" s="178" t="s">
        <v>395</v>
      </c>
      <c r="H100" s="178" t="s">
        <v>429</v>
      </c>
      <c r="I100" s="17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outlineLevel="2">
      <c r="A101" s="178" t="s">
        <v>2144</v>
      </c>
      <c r="B101" s="178" t="s">
        <v>433</v>
      </c>
      <c r="C101" s="178" t="s">
        <v>298</v>
      </c>
      <c r="D101" s="178" t="s">
        <v>434</v>
      </c>
      <c r="E101" s="178">
        <v>2.0</v>
      </c>
      <c r="F101" s="178" t="s">
        <v>571</v>
      </c>
      <c r="G101" s="178" t="s">
        <v>395</v>
      </c>
      <c r="H101" s="178" t="s">
        <v>432</v>
      </c>
      <c r="I101" s="17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outlineLevel="2">
      <c r="A102" s="178" t="s">
        <v>2144</v>
      </c>
      <c r="B102" s="178" t="s">
        <v>436</v>
      </c>
      <c r="C102" s="178" t="s">
        <v>298</v>
      </c>
      <c r="D102" s="178" t="s">
        <v>437</v>
      </c>
      <c r="E102" s="178">
        <v>3.0</v>
      </c>
      <c r="F102" s="178" t="s">
        <v>571</v>
      </c>
      <c r="G102" s="178" t="s">
        <v>395</v>
      </c>
      <c r="H102" s="178" t="s">
        <v>435</v>
      </c>
      <c r="I102" s="17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outlineLevel="2">
      <c r="A103" s="178" t="s">
        <v>2144</v>
      </c>
      <c r="B103" s="178" t="s">
        <v>439</v>
      </c>
      <c r="C103" s="178" t="s">
        <v>92</v>
      </c>
      <c r="D103" s="178" t="s">
        <v>440</v>
      </c>
      <c r="E103" s="178">
        <v>2.0</v>
      </c>
      <c r="F103" s="178" t="s">
        <v>571</v>
      </c>
      <c r="G103" s="178" t="s">
        <v>395</v>
      </c>
      <c r="H103" s="178" t="s">
        <v>438</v>
      </c>
      <c r="I103" s="17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outlineLevel="1">
      <c r="A104" s="182" t="s">
        <v>658</v>
      </c>
      <c r="B104" s="182" t="s">
        <v>442</v>
      </c>
      <c r="C104" s="182" t="s">
        <v>317</v>
      </c>
      <c r="D104" s="182" t="s">
        <v>443</v>
      </c>
      <c r="E104" s="182">
        <v>0.0</v>
      </c>
      <c r="F104" s="182" t="s">
        <v>574</v>
      </c>
      <c r="G104" s="182" t="s">
        <v>33</v>
      </c>
      <c r="H104" s="182" t="s">
        <v>441</v>
      </c>
      <c r="I104" s="18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outlineLevel="2">
      <c r="A105" s="176" t="s">
        <v>2144</v>
      </c>
      <c r="B105" s="176" t="s">
        <v>446</v>
      </c>
      <c r="C105" s="176" t="s">
        <v>298</v>
      </c>
      <c r="D105" s="176" t="s">
        <v>447</v>
      </c>
      <c r="E105" s="176">
        <v>1.0</v>
      </c>
      <c r="F105" s="176" t="s">
        <v>574</v>
      </c>
      <c r="G105" s="176" t="s">
        <v>442</v>
      </c>
      <c r="H105" s="176" t="s">
        <v>445</v>
      </c>
      <c r="I105" s="176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outlineLevel="2">
      <c r="A106" s="176" t="s">
        <v>2144</v>
      </c>
      <c r="B106" s="176" t="s">
        <v>449</v>
      </c>
      <c r="C106" s="176" t="s">
        <v>372</v>
      </c>
      <c r="D106" s="176" t="s">
        <v>450</v>
      </c>
      <c r="E106" s="176">
        <v>2.0</v>
      </c>
      <c r="F106" s="176" t="s">
        <v>574</v>
      </c>
      <c r="G106" s="176" t="s">
        <v>442</v>
      </c>
      <c r="H106" s="176" t="s">
        <v>448</v>
      </c>
      <c r="I106" s="176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1A1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26.0"/>
    <col customWidth="1" min="3" max="3" width="18.0"/>
    <col customWidth="1" min="4" max="4" width="8.0"/>
    <col customWidth="1" min="5" max="5" width="22.0"/>
    <col customWidth="1" min="6" max="8" width="14.0"/>
    <col customWidth="1" min="9" max="9" width="16.0"/>
  </cols>
  <sheetData>
    <row r="1" ht="31.5" customHeight="1">
      <c r="A1" s="1" t="s">
        <v>2147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83" t="s">
        <v>2148</v>
      </c>
      <c r="B2" s="184">
        <v>30.0</v>
      </c>
      <c r="C2" s="2" t="s">
        <v>2149</v>
      </c>
      <c r="D2" s="185" t="str">
        <f>B2 &amp; " days"</f>
        <v>30 days</v>
      </c>
      <c r="E2" s="3" t="s">
        <v>2150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9" t="s">
        <v>578</v>
      </c>
      <c r="B4" s="9" t="s">
        <v>577</v>
      </c>
      <c r="C4" s="9" t="s">
        <v>580</v>
      </c>
      <c r="D4" s="9" t="s">
        <v>583</v>
      </c>
      <c r="E4" s="9" t="s">
        <v>587</v>
      </c>
      <c r="F4" s="9" t="s">
        <v>584</v>
      </c>
      <c r="G4" s="9" t="s">
        <v>585</v>
      </c>
      <c r="H4" s="9" t="s">
        <v>589</v>
      </c>
      <c r="I4" s="9" t="s">
        <v>590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86" t="s">
        <v>578</v>
      </c>
      <c r="B5" s="2" t="s">
        <v>577</v>
      </c>
      <c r="C5" s="2" t="s">
        <v>580</v>
      </c>
      <c r="D5" s="2" t="s">
        <v>583</v>
      </c>
      <c r="E5" s="2" t="s">
        <v>587</v>
      </c>
      <c r="F5" s="130" t="s">
        <v>584</v>
      </c>
      <c r="G5" s="130" t="s">
        <v>585</v>
      </c>
      <c r="H5" s="2" t="s">
        <v>589</v>
      </c>
      <c r="I5" s="2" t="s">
        <v>590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87" t="str">
        <f t="array" ref="A6">IFERROR(INDEX(License_Inventory!C:C,SMALL(IF((License_Inventory!O$2:O$199&gt;=0)*(License_Inventory!O$2:O$199&lt;=Expiring_Soon!$B$2),ROW(License_Inventory!O$2:O$199),""),ROW()-7)),"")</f>
        <v/>
      </c>
      <c r="B6" s="2" t="str">
        <f t="array" ref="B6">IFERROR(INDEX(License_Inventory!B:B,SMALL(IF((License_Inventory!O$2:O$199&gt;=0)*(License_Inventory!O$2:O$199&lt;=Expiring_Soon!$B$2),ROW(License_Inventory!O$2:O$199),""),ROW()-7)),"")</f>
        <v/>
      </c>
      <c r="C6" s="2" t="str">
        <f t="array" ref="C6">IFERROR(INDEX(License_Inventory!E:E,SMALL(IF((License_Inventory!O$2:O$199&gt;=0)*(License_Inventory!O$2:O$199&lt;=Expiring_Soon!$B$2),ROW(License_Inventory!O$2:O$199),""),ROW()-7)),"")</f>
        <v/>
      </c>
      <c r="D6" s="2" t="str">
        <f t="array" ref="D6">IFERROR(INDEX(License_Inventory!H:H,SMALL(IF((License_Inventory!O$2:O$199&gt;=0)*(License_Inventory!O$2:O$199&lt;=Expiring_Soon!$B$2),ROW(License_Inventory!O$2:O$199),""),ROW()-7)),"")</f>
        <v/>
      </c>
      <c r="E6" s="2" t="str">
        <f t="array" ref="E6">IFERROR(INDEX(License_Inventory!M:M,SMALL(IF((License_Inventory!O$2:O$199&gt;=0)*(License_Inventory!O$2:O$199&lt;=Expiring_Soon!$B$2),ROW(License_Inventory!O$2:O$199),""),ROW()-7)),"")</f>
        <v/>
      </c>
      <c r="F6" s="2" t="str">
        <f t="array" ref="F6">IFERROR(INDEX(License_Inventory!I:I,SMALL(IF((License_Inventory!O$2:O$199&gt;=0)*(License_Inventory!O$2:O$199&lt;=Expiring_Soon!$B$2),ROW(License_Inventory!O$2:O$199),""),ROW()-7)),"")</f>
        <v/>
      </c>
      <c r="G6" s="2" t="str">
        <f t="array" ref="G6">IFERROR(INDEX(License_Inventory!J:J,SMALL(IF((License_Inventory!O$2:O$199&gt;=0)*(License_Inventory!O$2:O$199&lt;=Expiring_Soon!$B$2),ROW(License_Inventory!O$2:O$199),""),ROW()-7)),"")</f>
        <v/>
      </c>
      <c r="H6" s="2" t="str">
        <f t="array" ref="H6">IFERROR(INDEX(License_Inventory!O:O,SMALL(IF((License_Inventory!O$2:O$199&gt;=0)*(License_Inventory!O$2:O$199&lt;=Expiring_Soon!$B$2),ROW(License_Inventory!O$2:O$199),""),ROW()-7)),"")</f>
        <v/>
      </c>
      <c r="I6" s="2" t="str">
        <f t="array" ref="I6">IFERROR(INDEX(License_Inventory!P:P,SMALL(IF((License_Inventory!O$2:O$199&gt;=0)*(License_Inventory!O$2:O$199&lt;=Expiring_Soon!$B$2),ROW(License_Inventory!O$2:O$199),""),ROW()-7)),"")</f>
        <v/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 t="str">
        <f t="array" ref="A7">IFERROR(INDEX(License_Inventory!C:C,SMALL(IF((License_Inventory!O$2:O$199&gt;=0)*(License_Inventory!O$2:O$199&lt;=Expiring_Soon!$B$2),ROW(License_Inventory!O$2:O$199),""),ROW()-7)),"")</f>
        <v/>
      </c>
      <c r="B7" s="2" t="str">
        <f t="array" ref="B7">IFERROR(INDEX(License_Inventory!B:B,SMALL(IF((License_Inventory!O$2:O$199&gt;=0)*(License_Inventory!O$2:O$199&lt;=Expiring_Soon!$B$2),ROW(License_Inventory!O$2:O$199),""),ROW()-7)),"")</f>
        <v/>
      </c>
      <c r="C7" s="2" t="str">
        <f t="array" ref="C7">IFERROR(INDEX(License_Inventory!E:E,SMALL(IF((License_Inventory!O$2:O$199&gt;=0)*(License_Inventory!O$2:O$199&lt;=Expiring_Soon!$B$2),ROW(License_Inventory!O$2:O$199),""),ROW()-7)),"")</f>
        <v/>
      </c>
      <c r="D7" s="2" t="str">
        <f t="array" ref="D7">IFERROR(INDEX(License_Inventory!H:H,SMALL(IF((License_Inventory!O$2:O$199&gt;=0)*(License_Inventory!O$2:O$199&lt;=Expiring_Soon!$B$2),ROW(License_Inventory!O$2:O$199),""),ROW()-7)),"")</f>
        <v/>
      </c>
      <c r="E7" s="2" t="str">
        <f t="array" ref="E7">IFERROR(INDEX(License_Inventory!M:M,SMALL(IF((License_Inventory!O$2:O$199&gt;=0)*(License_Inventory!O$2:O$199&lt;=Expiring_Soon!$B$2),ROW(License_Inventory!O$2:O$199),""),ROW()-7)),"")</f>
        <v/>
      </c>
      <c r="F7" s="2" t="str">
        <f t="array" ref="F7">IFERROR(INDEX(License_Inventory!I:I,SMALL(IF((License_Inventory!O$2:O$199&gt;=0)*(License_Inventory!O$2:O$199&lt;=Expiring_Soon!$B$2),ROW(License_Inventory!O$2:O$199),""),ROW()-7)),"")</f>
        <v/>
      </c>
      <c r="G7" s="2" t="str">
        <f t="array" ref="G7">IFERROR(INDEX(License_Inventory!J:J,SMALL(IF((License_Inventory!O$2:O$199&gt;=0)*(License_Inventory!O$2:O$199&lt;=Expiring_Soon!$B$2),ROW(License_Inventory!O$2:O$199),""),ROW()-7)),"")</f>
        <v/>
      </c>
      <c r="H7" s="2" t="str">
        <f t="array" ref="H7">IFERROR(INDEX(License_Inventory!O:O,SMALL(IF((License_Inventory!O$2:O$199&gt;=0)*(License_Inventory!O$2:O$199&lt;=Expiring_Soon!$B$2),ROW(License_Inventory!O$2:O$199),""),ROW()-7)),"")</f>
        <v/>
      </c>
      <c r="I7" s="2" t="str">
        <f t="array" ref="I7">IFERROR(INDEX(License_Inventory!P:P,SMALL(IF((License_Inventory!O$2:O$199&gt;=0)*(License_Inventory!O$2:O$199&lt;=Expiring_Soon!$B$2),ROW(License_Inventory!O$2:O$199),""),ROW()-7)),"")</f>
        <v/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 t="str">
        <f t="array" ref="A8">IFERROR(INDEX(License_Inventory!C:C,SMALL(IF((License_Inventory!O$2:O$199&gt;=0)*(License_Inventory!O$2:O$199&lt;=Expiring_Soon!$B$2),ROW(License_Inventory!O$2:O$199),""),ROW()-7)),"")</f>
        <v>AutoCAD LT</v>
      </c>
      <c r="B8" s="2" t="str">
        <f t="array" ref="B8">IFERROR(INDEX(License_Inventory!B:B,SMALL(IF((License_Inventory!O$2:O$199&gt;=0)*(License_Inventory!O$2:O$199&lt;=Expiring_Soon!$B$2),ROW(License_Inventory!O$2:O$199),""),ROW()-7)),"")</f>
        <v>TAC Design (Studio Lotus)</v>
      </c>
      <c r="C8" s="2">
        <f t="array" ref="C8">IFERROR(INDEX(License_Inventory!E:E,SMALL(IF((License_Inventory!O$2:O$199&gt;=0)*(License_Inventory!O$2:O$199&lt;=Expiring_Soon!$B$2),ROW(License_Inventory!O$2:O$199),""),ROW()-7)),"")</f>
        <v>110003617657</v>
      </c>
      <c r="D8" s="2">
        <f t="array" ref="D8">IFERROR(INDEX(License_Inventory!H:H,SMALL(IF((License_Inventory!O$2:O$199&gt;=0)*(License_Inventory!O$2:O$199&lt;=Expiring_Soon!$B$2),ROW(License_Inventory!O$2:O$199),""),ROW()-7)),"")</f>
        <v>10</v>
      </c>
      <c r="E8" s="2" t="str">
        <f t="array" ref="E8">IFERROR(INDEX(License_Inventory!M:M,SMALL(IF((License_Inventory!O$2:O$199&gt;=0)*(License_Inventory!O$2:O$199&lt;=Expiring_Soon!$B$2),ROW(License_Inventory!O$2:O$199),""),ROW()-7)),"")</f>
        <v>CAPRICOT</v>
      </c>
      <c r="F8" s="2">
        <f t="array" ref="F8">IFERROR(INDEX(License_Inventory!I:I,SMALL(IF((License_Inventory!O$2:O$199&gt;=0)*(License_Inventory!O$2:O$199&lt;=Expiring_Soon!$B$2),ROW(License_Inventory!O$2:O$199),""),ROW()-7)),"")</f>
        <v>45830</v>
      </c>
      <c r="G8" s="2">
        <f t="array" ref="G8">IFERROR(INDEX(License_Inventory!J:J,SMALL(IF((License_Inventory!O$2:O$199&gt;=0)*(License_Inventory!O$2:O$199&lt;=Expiring_Soon!$B$2),ROW(License_Inventory!O$2:O$199),""),ROW()-7)),"")</f>
        <v>46195</v>
      </c>
      <c r="H8" s="2">
        <f t="array" ref="H8">IFERROR(INDEX(License_Inventory!O:O,SMALL(IF((License_Inventory!O$2:O$199&gt;=0)*(License_Inventory!O$2:O$199&lt;=Expiring_Soon!$B$2),ROW(License_Inventory!O$2:O$199),""),ROW()-7)),"")</f>
        <v>20</v>
      </c>
      <c r="I8" s="2" t="str">
        <f t="array" ref="I8">IFERROR(INDEX(License_Inventory!P:P,SMALL(IF((License_Inventory!O$2:O$199&gt;=0)*(License_Inventory!O$2:O$199&lt;=Expiring_Soon!$B$2),ROW(License_Inventory!O$2:O$199),""),ROW()-7)),"")</f>
        <v>Expiring Soon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 t="str">
        <f t="array" ref="A9">IFERROR(INDEX(License_Inventory!C:C,SMALL(IF((License_Inventory!O$2:O$199&gt;=0)*(License_Inventory!O$2:O$199&lt;=Expiring_Soon!$B$2),ROW(License_Inventory!O$2:O$199),""),ROW()-7)),"")</f>
        <v>SKETCHUP PRO</v>
      </c>
      <c r="B9" s="2" t="str">
        <f t="array" ref="B9">IFERROR(INDEX(License_Inventory!B:B,SMALL(IF((License_Inventory!O$2:O$199&gt;=0)*(License_Inventory!O$2:O$199&lt;=Expiring_Soon!$B$2),ROW(License_Inventory!O$2:O$199),""),ROW()-7)),"")</f>
        <v>TAC Design (Studio Lotus)</v>
      </c>
      <c r="C9" s="2" t="str">
        <f t="array" ref="C9">IFERROR(INDEX(License_Inventory!E:E,SMALL(IF((License_Inventory!O$2:O$199&gt;=0)*(License_Inventory!O$2:O$199&lt;=Expiring_Soon!$B$2),ROW(License_Inventory!O$2:O$199),""),ROW()-7)),"")</f>
        <v/>
      </c>
      <c r="D9" s="2">
        <f t="array" ref="D9">IFERROR(INDEX(License_Inventory!H:H,SMALL(IF((License_Inventory!O$2:O$199&gt;=0)*(License_Inventory!O$2:O$199&lt;=Expiring_Soon!$B$2),ROW(License_Inventory!O$2:O$199),""),ROW()-7)),"")</f>
        <v>19</v>
      </c>
      <c r="E9" s="2" t="str">
        <f t="array" ref="E9">IFERROR(INDEX(License_Inventory!M:M,SMALL(IF((License_Inventory!O$2:O$199&gt;=0)*(License_Inventory!O$2:O$199&lt;=Expiring_Soon!$B$2),ROW(License_Inventory!O$2:O$199),""),ROW()-7)),"")</f>
        <v>MICROGENESIS</v>
      </c>
      <c r="F9" s="2">
        <f t="array" ref="F9">IFERROR(INDEX(License_Inventory!I:I,SMALL(IF((License_Inventory!O$2:O$199&gt;=0)*(License_Inventory!O$2:O$199&lt;=Expiring_Soon!$B$2),ROW(License_Inventory!O$2:O$199),""),ROW()-7)),"")</f>
        <v>45813</v>
      </c>
      <c r="G9" s="2">
        <f t="array" ref="G9">IFERROR(INDEX(License_Inventory!J:J,SMALL(IF((License_Inventory!O$2:O$199&gt;=0)*(License_Inventory!O$2:O$199&lt;=Expiring_Soon!$B$2),ROW(License_Inventory!O$2:O$199),""),ROW()-7)),"")</f>
        <v>46178</v>
      </c>
      <c r="H9" s="2">
        <f t="array" ref="H9">IFERROR(INDEX(License_Inventory!O:O,SMALL(IF((License_Inventory!O$2:O$199&gt;=0)*(License_Inventory!O$2:O$199&lt;=Expiring_Soon!$B$2),ROW(License_Inventory!O$2:O$199),""),ROW()-7)),"")</f>
        <v>3</v>
      </c>
      <c r="I9" s="2" t="str">
        <f t="array" ref="I9">IFERROR(INDEX(License_Inventory!P:P,SMALL(IF((License_Inventory!O$2:O$199&gt;=0)*(License_Inventory!O$2:O$199&lt;=Expiring_Soon!$B$2),ROW(License_Inventory!O$2:O$199),""),ROW()-7)),"")</f>
        <v>Expiring Soon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 t="str">
        <f t="array" ref="A10">IFERROR(INDEX(License_Inventory!C:C,SMALL(IF((License_Inventory!O$2:O$199&gt;=0)*(License_Inventory!O$2:O$199&lt;=Expiring_Soon!$B$2),ROW(License_Inventory!O$2:O$199),""),ROW()-7)),"")</f>
        <v/>
      </c>
      <c r="B10" s="2" t="str">
        <f t="array" ref="B10">IFERROR(INDEX(License_Inventory!B:B,SMALL(IF((License_Inventory!O$2:O$199&gt;=0)*(License_Inventory!O$2:O$199&lt;=Expiring_Soon!$B$2),ROW(License_Inventory!O$2:O$199),""),ROW()-7)),"")</f>
        <v/>
      </c>
      <c r="C10" s="2" t="str">
        <f t="array" ref="C10">IFERROR(INDEX(License_Inventory!E:E,SMALL(IF((License_Inventory!O$2:O$199&gt;=0)*(License_Inventory!O$2:O$199&lt;=Expiring_Soon!$B$2),ROW(License_Inventory!O$2:O$199),""),ROW()-7)),"")</f>
        <v/>
      </c>
      <c r="D10" s="2" t="str">
        <f t="array" ref="D10">IFERROR(INDEX(License_Inventory!H:H,SMALL(IF((License_Inventory!O$2:O$199&gt;=0)*(License_Inventory!O$2:O$199&lt;=Expiring_Soon!$B$2),ROW(License_Inventory!O$2:O$199),""),ROW()-7)),"")</f>
        <v/>
      </c>
      <c r="E10" s="2" t="str">
        <f t="array" ref="E10">IFERROR(INDEX(License_Inventory!M:M,SMALL(IF((License_Inventory!O$2:O$199&gt;=0)*(License_Inventory!O$2:O$199&lt;=Expiring_Soon!$B$2),ROW(License_Inventory!O$2:O$199),""),ROW()-7)),"")</f>
        <v/>
      </c>
      <c r="F10" s="2" t="str">
        <f t="array" ref="F10">IFERROR(INDEX(License_Inventory!I:I,SMALL(IF((License_Inventory!O$2:O$199&gt;=0)*(License_Inventory!O$2:O$199&lt;=Expiring_Soon!$B$2),ROW(License_Inventory!O$2:O$199),""),ROW()-7)),"")</f>
        <v/>
      </c>
      <c r="G10" s="2" t="str">
        <f t="array" ref="G10">IFERROR(INDEX(License_Inventory!J:J,SMALL(IF((License_Inventory!O$2:O$199&gt;=0)*(License_Inventory!O$2:O$199&lt;=Expiring_Soon!$B$2),ROW(License_Inventory!O$2:O$199),""),ROW()-7)),"")</f>
        <v/>
      </c>
      <c r="H10" s="2" t="str">
        <f t="array" ref="H10">IFERROR(INDEX(License_Inventory!O:O,SMALL(IF((License_Inventory!O$2:O$199&gt;=0)*(License_Inventory!O$2:O$199&lt;=Expiring_Soon!$B$2),ROW(License_Inventory!O$2:O$199),""),ROW()-7)),"")</f>
        <v/>
      </c>
      <c r="I10" s="2" t="str">
        <f t="array" ref="I10">IFERROR(INDEX(License_Inventory!P:P,SMALL(IF((License_Inventory!O$2:O$199&gt;=0)*(License_Inventory!O$2:O$199&lt;=Expiring_Soon!$B$2),ROW(License_Inventory!O$2:O$199),""),ROW()-7)),"")</f>
        <v/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tr">
        <f t="array" ref="A11">IFERROR(INDEX(License_Inventory!C:C,SMALL(IF((License_Inventory!O$2:O$199&gt;=0)*(License_Inventory!O$2:O$199&lt;=Expiring_Soon!$B$2),ROW(License_Inventory!O$2:O$199),""),ROW()-7)),"")</f>
        <v/>
      </c>
      <c r="B11" s="2" t="str">
        <f t="array" ref="B11">IFERROR(INDEX(License_Inventory!B:B,SMALL(IF((License_Inventory!O$2:O$199&gt;=0)*(License_Inventory!O$2:O$199&lt;=Expiring_Soon!$B$2),ROW(License_Inventory!O$2:O$199),""),ROW()-7)),"")</f>
        <v/>
      </c>
      <c r="C11" s="2" t="str">
        <f t="array" ref="C11">IFERROR(INDEX(License_Inventory!E:E,SMALL(IF((License_Inventory!O$2:O$199&gt;=0)*(License_Inventory!O$2:O$199&lt;=Expiring_Soon!$B$2),ROW(License_Inventory!O$2:O$199),""),ROW()-7)),"")</f>
        <v/>
      </c>
      <c r="D11" s="2" t="str">
        <f t="array" ref="D11">IFERROR(INDEX(License_Inventory!H:H,SMALL(IF((License_Inventory!O$2:O$199&gt;=0)*(License_Inventory!O$2:O$199&lt;=Expiring_Soon!$B$2),ROW(License_Inventory!O$2:O$199),""),ROW()-7)),"")</f>
        <v/>
      </c>
      <c r="E11" s="2" t="str">
        <f t="array" ref="E11">IFERROR(INDEX(License_Inventory!M:M,SMALL(IF((License_Inventory!O$2:O$199&gt;=0)*(License_Inventory!O$2:O$199&lt;=Expiring_Soon!$B$2),ROW(License_Inventory!O$2:O$199),""),ROW()-7)),"")</f>
        <v/>
      </c>
      <c r="F11" s="2" t="str">
        <f t="array" ref="F11">IFERROR(INDEX(License_Inventory!I:I,SMALL(IF((License_Inventory!O$2:O$199&gt;=0)*(License_Inventory!O$2:O$199&lt;=Expiring_Soon!$B$2),ROW(License_Inventory!O$2:O$199),""),ROW()-7)),"")</f>
        <v/>
      </c>
      <c r="G11" s="2" t="str">
        <f t="array" ref="G11">IFERROR(INDEX(License_Inventory!J:J,SMALL(IF((License_Inventory!O$2:O$199&gt;=0)*(License_Inventory!O$2:O$199&lt;=Expiring_Soon!$B$2),ROW(License_Inventory!O$2:O$199),""),ROW()-7)),"")</f>
        <v/>
      </c>
      <c r="H11" s="2" t="str">
        <f t="array" ref="H11">IFERROR(INDEX(License_Inventory!O:O,SMALL(IF((License_Inventory!O$2:O$199&gt;=0)*(License_Inventory!O$2:O$199&lt;=Expiring_Soon!$B$2),ROW(License_Inventory!O$2:O$199),""),ROW()-7)),"")</f>
        <v/>
      </c>
      <c r="I11" s="2" t="str">
        <f t="array" ref="I11">IFERROR(INDEX(License_Inventory!P:P,SMALL(IF((License_Inventory!O$2:O$199&gt;=0)*(License_Inventory!O$2:O$199&lt;=Expiring_Soon!$B$2),ROW(License_Inventory!O$2:O$199),""),ROW()-7)),"")</f>
        <v/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 t="str">
        <f t="array" ref="A12">IFERROR(INDEX(License_Inventory!C:C,SMALL(IF((License_Inventory!O$2:O$199&gt;=0)*(License_Inventory!O$2:O$199&lt;=Expiring_Soon!$B$2),ROW(License_Inventory!O$2:O$199),""),ROW()-7)),"")</f>
        <v/>
      </c>
      <c r="B12" s="2" t="str">
        <f t="array" ref="B12">IFERROR(INDEX(License_Inventory!B:B,SMALL(IF((License_Inventory!O$2:O$199&gt;=0)*(License_Inventory!O$2:O$199&lt;=Expiring_Soon!$B$2),ROW(License_Inventory!O$2:O$199),""),ROW()-7)),"")</f>
        <v/>
      </c>
      <c r="C12" s="2" t="str">
        <f t="array" ref="C12">IFERROR(INDEX(License_Inventory!E:E,SMALL(IF((License_Inventory!O$2:O$199&gt;=0)*(License_Inventory!O$2:O$199&lt;=Expiring_Soon!$B$2),ROW(License_Inventory!O$2:O$199),""),ROW()-7)),"")</f>
        <v/>
      </c>
      <c r="D12" s="2" t="str">
        <f t="array" ref="D12">IFERROR(INDEX(License_Inventory!H:H,SMALL(IF((License_Inventory!O$2:O$199&gt;=0)*(License_Inventory!O$2:O$199&lt;=Expiring_Soon!$B$2),ROW(License_Inventory!O$2:O$199),""),ROW()-7)),"")</f>
        <v/>
      </c>
      <c r="E12" s="2" t="str">
        <f t="array" ref="E12">IFERROR(INDEX(License_Inventory!M:M,SMALL(IF((License_Inventory!O$2:O$199&gt;=0)*(License_Inventory!O$2:O$199&lt;=Expiring_Soon!$B$2),ROW(License_Inventory!O$2:O$199),""),ROW()-7)),"")</f>
        <v/>
      </c>
      <c r="F12" s="2" t="str">
        <f t="array" ref="F12">IFERROR(INDEX(License_Inventory!I:I,SMALL(IF((License_Inventory!O$2:O$199&gt;=0)*(License_Inventory!O$2:O$199&lt;=Expiring_Soon!$B$2),ROW(License_Inventory!O$2:O$199),""),ROW()-7)),"")</f>
        <v/>
      </c>
      <c r="G12" s="2" t="str">
        <f t="array" ref="G12">IFERROR(INDEX(License_Inventory!J:J,SMALL(IF((License_Inventory!O$2:O$199&gt;=0)*(License_Inventory!O$2:O$199&lt;=Expiring_Soon!$B$2),ROW(License_Inventory!O$2:O$199),""),ROW()-7)),"")</f>
        <v/>
      </c>
      <c r="H12" s="2" t="str">
        <f t="array" ref="H12">IFERROR(INDEX(License_Inventory!O:O,SMALL(IF((License_Inventory!O$2:O$199&gt;=0)*(License_Inventory!O$2:O$199&lt;=Expiring_Soon!$B$2),ROW(License_Inventory!O$2:O$199),""),ROW()-7)),"")</f>
        <v/>
      </c>
      <c r="I12" s="2" t="str">
        <f t="array" ref="I12">IFERROR(INDEX(License_Inventory!P:P,SMALL(IF((License_Inventory!O$2:O$199&gt;=0)*(License_Inventory!O$2:O$199&lt;=Expiring_Soon!$B$2),ROW(License_Inventory!O$2:O$199),""),ROW()-7)),"")</f>
        <v/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 t="str">
        <f t="array" ref="A13">IFERROR(INDEX(License_Inventory!C:C,SMALL(IF((License_Inventory!O$2:O$199&gt;=0)*(License_Inventory!O$2:O$199&lt;=Expiring_Soon!$B$2),ROW(License_Inventory!O$2:O$199),""),ROW()-7)),"")</f>
        <v/>
      </c>
      <c r="B13" s="2" t="str">
        <f t="array" ref="B13">IFERROR(INDEX(License_Inventory!B:B,SMALL(IF((License_Inventory!O$2:O$199&gt;=0)*(License_Inventory!O$2:O$199&lt;=Expiring_Soon!$B$2),ROW(License_Inventory!O$2:O$199),""),ROW()-7)),"")</f>
        <v/>
      </c>
      <c r="C13" s="2" t="str">
        <f t="array" ref="C13">IFERROR(INDEX(License_Inventory!E:E,SMALL(IF((License_Inventory!O$2:O$199&gt;=0)*(License_Inventory!O$2:O$199&lt;=Expiring_Soon!$B$2),ROW(License_Inventory!O$2:O$199),""),ROW()-7)),"")</f>
        <v/>
      </c>
      <c r="D13" s="2" t="str">
        <f t="array" ref="D13">IFERROR(INDEX(License_Inventory!H:H,SMALL(IF((License_Inventory!O$2:O$199&gt;=0)*(License_Inventory!O$2:O$199&lt;=Expiring_Soon!$B$2),ROW(License_Inventory!O$2:O$199),""),ROW()-7)),"")</f>
        <v/>
      </c>
      <c r="E13" s="2" t="str">
        <f t="array" ref="E13">IFERROR(INDEX(License_Inventory!M:M,SMALL(IF((License_Inventory!O$2:O$199&gt;=0)*(License_Inventory!O$2:O$199&lt;=Expiring_Soon!$B$2),ROW(License_Inventory!O$2:O$199),""),ROW()-7)),"")</f>
        <v/>
      </c>
      <c r="F13" s="2" t="str">
        <f t="array" ref="F13">IFERROR(INDEX(License_Inventory!I:I,SMALL(IF((License_Inventory!O$2:O$199&gt;=0)*(License_Inventory!O$2:O$199&lt;=Expiring_Soon!$B$2),ROW(License_Inventory!O$2:O$199),""),ROW()-7)),"")</f>
        <v/>
      </c>
      <c r="G13" s="2" t="str">
        <f t="array" ref="G13">IFERROR(INDEX(License_Inventory!J:J,SMALL(IF((License_Inventory!O$2:O$199&gt;=0)*(License_Inventory!O$2:O$199&lt;=Expiring_Soon!$B$2),ROW(License_Inventory!O$2:O$199),""),ROW()-7)),"")</f>
        <v/>
      </c>
      <c r="H13" s="2" t="str">
        <f t="array" ref="H13">IFERROR(INDEX(License_Inventory!O:O,SMALL(IF((License_Inventory!O$2:O$199&gt;=0)*(License_Inventory!O$2:O$199&lt;=Expiring_Soon!$B$2),ROW(License_Inventory!O$2:O$199),""),ROW()-7)),"")</f>
        <v/>
      </c>
      <c r="I13" s="2" t="str">
        <f t="array" ref="I13">IFERROR(INDEX(License_Inventory!P:P,SMALL(IF((License_Inventory!O$2:O$199&gt;=0)*(License_Inventory!O$2:O$199&lt;=Expiring_Soon!$B$2),ROW(License_Inventory!O$2:O$199),""),ROW()-7)),"")</f>
        <v/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 t="str">
        <f t="array" ref="A14">IFERROR(INDEX(License_Inventory!C:C,SMALL(IF((License_Inventory!O$2:O$199&gt;=0)*(License_Inventory!O$2:O$199&lt;=Expiring_Soon!$B$2),ROW(License_Inventory!O$2:O$199),""),ROW()-7)),"")</f>
        <v/>
      </c>
      <c r="B14" s="2" t="str">
        <f t="array" ref="B14">IFERROR(INDEX(License_Inventory!B:B,SMALL(IF((License_Inventory!O$2:O$199&gt;=0)*(License_Inventory!O$2:O$199&lt;=Expiring_Soon!$B$2),ROW(License_Inventory!O$2:O$199),""),ROW()-7)),"")</f>
        <v/>
      </c>
      <c r="C14" s="2" t="str">
        <f t="array" ref="C14">IFERROR(INDEX(License_Inventory!E:E,SMALL(IF((License_Inventory!O$2:O$199&gt;=0)*(License_Inventory!O$2:O$199&lt;=Expiring_Soon!$B$2),ROW(License_Inventory!O$2:O$199),""),ROW()-7)),"")</f>
        <v/>
      </c>
      <c r="D14" s="2" t="str">
        <f t="array" ref="D14">IFERROR(INDEX(License_Inventory!H:H,SMALL(IF((License_Inventory!O$2:O$199&gt;=0)*(License_Inventory!O$2:O$199&lt;=Expiring_Soon!$B$2),ROW(License_Inventory!O$2:O$199),""),ROW()-7)),"")</f>
        <v/>
      </c>
      <c r="E14" s="2" t="str">
        <f t="array" ref="E14">IFERROR(INDEX(License_Inventory!M:M,SMALL(IF((License_Inventory!O$2:O$199&gt;=0)*(License_Inventory!O$2:O$199&lt;=Expiring_Soon!$B$2),ROW(License_Inventory!O$2:O$199),""),ROW()-7)),"")</f>
        <v/>
      </c>
      <c r="F14" s="2" t="str">
        <f t="array" ref="F14">IFERROR(INDEX(License_Inventory!I:I,SMALL(IF((License_Inventory!O$2:O$199&gt;=0)*(License_Inventory!O$2:O$199&lt;=Expiring_Soon!$B$2),ROW(License_Inventory!O$2:O$199),""),ROW()-7)),"")</f>
        <v/>
      </c>
      <c r="G14" s="2" t="str">
        <f t="array" ref="G14">IFERROR(INDEX(License_Inventory!J:J,SMALL(IF((License_Inventory!O$2:O$199&gt;=0)*(License_Inventory!O$2:O$199&lt;=Expiring_Soon!$B$2),ROW(License_Inventory!O$2:O$199),""),ROW()-7)),"")</f>
        <v/>
      </c>
      <c r="H14" s="2" t="str">
        <f t="array" ref="H14">IFERROR(INDEX(License_Inventory!O:O,SMALL(IF((License_Inventory!O$2:O$199&gt;=0)*(License_Inventory!O$2:O$199&lt;=Expiring_Soon!$B$2),ROW(License_Inventory!O$2:O$199),""),ROW()-7)),"")</f>
        <v/>
      </c>
      <c r="I14" s="2" t="str">
        <f t="array" ref="I14">IFERROR(INDEX(License_Inventory!P:P,SMALL(IF((License_Inventory!O$2:O$199&gt;=0)*(License_Inventory!O$2:O$199&lt;=Expiring_Soon!$B$2),ROW(License_Inventory!O$2:O$199),""),ROW()-7)),"")</f>
        <v/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 t="str">
        <f t="array" ref="A15">IFERROR(INDEX(License_Inventory!C:C,SMALL(IF((License_Inventory!O$2:O$199&gt;=0)*(License_Inventory!O$2:O$199&lt;=Expiring_Soon!$B$2),ROW(License_Inventory!O$2:O$199),""),ROW()-7)),"")</f>
        <v/>
      </c>
      <c r="B15" s="2" t="str">
        <f t="array" ref="B15">IFERROR(INDEX(License_Inventory!B:B,SMALL(IF((License_Inventory!O$2:O$199&gt;=0)*(License_Inventory!O$2:O$199&lt;=Expiring_Soon!$B$2),ROW(License_Inventory!O$2:O$199),""),ROW()-7)),"")</f>
        <v/>
      </c>
      <c r="C15" s="2" t="str">
        <f t="array" ref="C15">IFERROR(INDEX(License_Inventory!E:E,SMALL(IF((License_Inventory!O$2:O$199&gt;=0)*(License_Inventory!O$2:O$199&lt;=Expiring_Soon!$B$2),ROW(License_Inventory!O$2:O$199),""),ROW()-7)),"")</f>
        <v/>
      </c>
      <c r="D15" s="2" t="str">
        <f t="array" ref="D15">IFERROR(INDEX(License_Inventory!H:H,SMALL(IF((License_Inventory!O$2:O$199&gt;=0)*(License_Inventory!O$2:O$199&lt;=Expiring_Soon!$B$2),ROW(License_Inventory!O$2:O$199),""),ROW()-7)),"")</f>
        <v/>
      </c>
      <c r="E15" s="2" t="str">
        <f t="array" ref="E15">IFERROR(INDEX(License_Inventory!M:M,SMALL(IF((License_Inventory!O$2:O$199&gt;=0)*(License_Inventory!O$2:O$199&lt;=Expiring_Soon!$B$2),ROW(License_Inventory!O$2:O$199),""),ROW()-7)),"")</f>
        <v/>
      </c>
      <c r="F15" s="2" t="str">
        <f t="array" ref="F15">IFERROR(INDEX(License_Inventory!I:I,SMALL(IF((License_Inventory!O$2:O$199&gt;=0)*(License_Inventory!O$2:O$199&lt;=Expiring_Soon!$B$2),ROW(License_Inventory!O$2:O$199),""),ROW()-7)),"")</f>
        <v/>
      </c>
      <c r="G15" s="2" t="str">
        <f t="array" ref="G15">IFERROR(INDEX(License_Inventory!J:J,SMALL(IF((License_Inventory!O$2:O$199&gt;=0)*(License_Inventory!O$2:O$199&lt;=Expiring_Soon!$B$2),ROW(License_Inventory!O$2:O$199),""),ROW()-7)),"")</f>
        <v/>
      </c>
      <c r="H15" s="2" t="str">
        <f t="array" ref="H15">IFERROR(INDEX(License_Inventory!O:O,SMALL(IF((License_Inventory!O$2:O$199&gt;=0)*(License_Inventory!O$2:O$199&lt;=Expiring_Soon!$B$2),ROW(License_Inventory!O$2:O$199),""),ROW()-7)),"")</f>
        <v/>
      </c>
      <c r="I15" s="2" t="str">
        <f t="array" ref="I15">IFERROR(INDEX(License_Inventory!P:P,SMALL(IF((License_Inventory!O$2:O$199&gt;=0)*(License_Inventory!O$2:O$199&lt;=Expiring_Soon!$B$2),ROW(License_Inventory!O$2:O$199),""),ROW()-7)),"")</f>
        <v/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 t="str">
        <f t="array" ref="A16">IFERROR(INDEX(License_Inventory!C:C,SMALL(IF((License_Inventory!O$2:O$199&gt;=0)*(License_Inventory!O$2:O$199&lt;=Expiring_Soon!$B$2),ROW(License_Inventory!O$2:O$199),""),ROW()-7)),"")</f>
        <v/>
      </c>
      <c r="B16" s="2" t="str">
        <f t="array" ref="B16">IFERROR(INDEX(License_Inventory!B:B,SMALL(IF((License_Inventory!O$2:O$199&gt;=0)*(License_Inventory!O$2:O$199&lt;=Expiring_Soon!$B$2),ROW(License_Inventory!O$2:O$199),""),ROW()-7)),"")</f>
        <v/>
      </c>
      <c r="C16" s="2" t="str">
        <f t="array" ref="C16">IFERROR(INDEX(License_Inventory!E:E,SMALL(IF((License_Inventory!O$2:O$199&gt;=0)*(License_Inventory!O$2:O$199&lt;=Expiring_Soon!$B$2),ROW(License_Inventory!O$2:O$199),""),ROW()-7)),"")</f>
        <v/>
      </c>
      <c r="D16" s="2" t="str">
        <f t="array" ref="D16">IFERROR(INDEX(License_Inventory!H:H,SMALL(IF((License_Inventory!O$2:O$199&gt;=0)*(License_Inventory!O$2:O$199&lt;=Expiring_Soon!$B$2),ROW(License_Inventory!O$2:O$199),""),ROW()-7)),"")</f>
        <v/>
      </c>
      <c r="E16" s="2" t="str">
        <f t="array" ref="E16">IFERROR(INDEX(License_Inventory!M:M,SMALL(IF((License_Inventory!O$2:O$199&gt;=0)*(License_Inventory!O$2:O$199&lt;=Expiring_Soon!$B$2),ROW(License_Inventory!O$2:O$199),""),ROW()-7)),"")</f>
        <v/>
      </c>
      <c r="F16" s="2" t="str">
        <f t="array" ref="F16">IFERROR(INDEX(License_Inventory!I:I,SMALL(IF((License_Inventory!O$2:O$199&gt;=0)*(License_Inventory!O$2:O$199&lt;=Expiring_Soon!$B$2),ROW(License_Inventory!O$2:O$199),""),ROW()-7)),"")</f>
        <v/>
      </c>
      <c r="G16" s="2" t="str">
        <f t="array" ref="G16">IFERROR(INDEX(License_Inventory!J:J,SMALL(IF((License_Inventory!O$2:O$199&gt;=0)*(License_Inventory!O$2:O$199&lt;=Expiring_Soon!$B$2),ROW(License_Inventory!O$2:O$199),""),ROW()-7)),"")</f>
        <v/>
      </c>
      <c r="H16" s="2" t="str">
        <f t="array" ref="H16">IFERROR(INDEX(License_Inventory!O:O,SMALL(IF((License_Inventory!O$2:O$199&gt;=0)*(License_Inventory!O$2:O$199&lt;=Expiring_Soon!$B$2),ROW(License_Inventory!O$2:O$199),""),ROW()-7)),"")</f>
        <v/>
      </c>
      <c r="I16" s="2" t="str">
        <f t="array" ref="I16">IFERROR(INDEX(License_Inventory!P:P,SMALL(IF((License_Inventory!O$2:O$199&gt;=0)*(License_Inventory!O$2:O$199&lt;=Expiring_Soon!$B$2),ROW(License_Inventory!O$2:O$199),""),ROW()-7)),"")</f>
        <v/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 t="str">
        <f t="array" ref="A17">IFERROR(INDEX(License_Inventory!C:C,SMALL(IF((License_Inventory!O$2:O$199&gt;=0)*(License_Inventory!O$2:O$199&lt;=Expiring_Soon!$B$2),ROW(License_Inventory!O$2:O$199),""),ROW()-7)),"")</f>
        <v/>
      </c>
      <c r="B17" s="2" t="str">
        <f t="array" ref="B17">IFERROR(INDEX(License_Inventory!B:B,SMALL(IF((License_Inventory!O$2:O$199&gt;=0)*(License_Inventory!O$2:O$199&lt;=Expiring_Soon!$B$2),ROW(License_Inventory!O$2:O$199),""),ROW()-7)),"")</f>
        <v/>
      </c>
      <c r="C17" s="2" t="str">
        <f t="array" ref="C17">IFERROR(INDEX(License_Inventory!E:E,SMALL(IF((License_Inventory!O$2:O$199&gt;=0)*(License_Inventory!O$2:O$199&lt;=Expiring_Soon!$B$2),ROW(License_Inventory!O$2:O$199),""),ROW()-7)),"")</f>
        <v/>
      </c>
      <c r="D17" s="2" t="str">
        <f t="array" ref="D17">IFERROR(INDEX(License_Inventory!H:H,SMALL(IF((License_Inventory!O$2:O$199&gt;=0)*(License_Inventory!O$2:O$199&lt;=Expiring_Soon!$B$2),ROW(License_Inventory!O$2:O$199),""),ROW()-7)),"")</f>
        <v/>
      </c>
      <c r="E17" s="2" t="str">
        <f t="array" ref="E17">IFERROR(INDEX(License_Inventory!M:M,SMALL(IF((License_Inventory!O$2:O$199&gt;=0)*(License_Inventory!O$2:O$199&lt;=Expiring_Soon!$B$2),ROW(License_Inventory!O$2:O$199),""),ROW()-7)),"")</f>
        <v/>
      </c>
      <c r="F17" s="2" t="str">
        <f t="array" ref="F17">IFERROR(INDEX(License_Inventory!I:I,SMALL(IF((License_Inventory!O$2:O$199&gt;=0)*(License_Inventory!O$2:O$199&lt;=Expiring_Soon!$B$2),ROW(License_Inventory!O$2:O$199),""),ROW()-7)),"")</f>
        <v/>
      </c>
      <c r="G17" s="2" t="str">
        <f t="array" ref="G17">IFERROR(INDEX(License_Inventory!J:J,SMALL(IF((License_Inventory!O$2:O$199&gt;=0)*(License_Inventory!O$2:O$199&lt;=Expiring_Soon!$B$2),ROW(License_Inventory!O$2:O$199),""),ROW()-7)),"")</f>
        <v/>
      </c>
      <c r="H17" s="2" t="str">
        <f t="array" ref="H17">IFERROR(INDEX(License_Inventory!O:O,SMALL(IF((License_Inventory!O$2:O$199&gt;=0)*(License_Inventory!O$2:O$199&lt;=Expiring_Soon!$B$2),ROW(License_Inventory!O$2:O$199),""),ROW()-7)),"")</f>
        <v/>
      </c>
      <c r="I17" s="2" t="str">
        <f t="array" ref="I17">IFERROR(INDEX(License_Inventory!P:P,SMALL(IF((License_Inventory!O$2:O$199&gt;=0)*(License_Inventory!O$2:O$199&lt;=Expiring_Soon!$B$2),ROW(License_Inventory!O$2:O$199),""),ROW()-7)),"")</f>
        <v/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 t="str">
        <f t="array" ref="A18">IFERROR(INDEX(License_Inventory!C:C,SMALL(IF((License_Inventory!O$2:O$199&gt;=0)*(License_Inventory!O$2:O$199&lt;=Expiring_Soon!$B$2),ROW(License_Inventory!O$2:O$199),""),ROW()-7)),"")</f>
        <v/>
      </c>
      <c r="B18" s="2" t="str">
        <f t="array" ref="B18">IFERROR(INDEX(License_Inventory!B:B,SMALL(IF((License_Inventory!O$2:O$199&gt;=0)*(License_Inventory!O$2:O$199&lt;=Expiring_Soon!$B$2),ROW(License_Inventory!O$2:O$199),""),ROW()-7)),"")</f>
        <v/>
      </c>
      <c r="C18" s="2" t="str">
        <f t="array" ref="C18">IFERROR(INDEX(License_Inventory!E:E,SMALL(IF((License_Inventory!O$2:O$199&gt;=0)*(License_Inventory!O$2:O$199&lt;=Expiring_Soon!$B$2),ROW(License_Inventory!O$2:O$199),""),ROW()-7)),"")</f>
        <v/>
      </c>
      <c r="D18" s="2" t="str">
        <f t="array" ref="D18">IFERROR(INDEX(License_Inventory!H:H,SMALL(IF((License_Inventory!O$2:O$199&gt;=0)*(License_Inventory!O$2:O$199&lt;=Expiring_Soon!$B$2),ROW(License_Inventory!O$2:O$199),""),ROW()-7)),"")</f>
        <v/>
      </c>
      <c r="E18" s="2" t="str">
        <f t="array" ref="E18">IFERROR(INDEX(License_Inventory!M:M,SMALL(IF((License_Inventory!O$2:O$199&gt;=0)*(License_Inventory!O$2:O$199&lt;=Expiring_Soon!$B$2),ROW(License_Inventory!O$2:O$199),""),ROW()-7)),"")</f>
        <v/>
      </c>
      <c r="F18" s="2" t="str">
        <f t="array" ref="F18">IFERROR(INDEX(License_Inventory!I:I,SMALL(IF((License_Inventory!O$2:O$199&gt;=0)*(License_Inventory!O$2:O$199&lt;=Expiring_Soon!$B$2),ROW(License_Inventory!O$2:O$199),""),ROW()-7)),"")</f>
        <v/>
      </c>
      <c r="G18" s="2" t="str">
        <f t="array" ref="G18">IFERROR(INDEX(License_Inventory!J:J,SMALL(IF((License_Inventory!O$2:O$199&gt;=0)*(License_Inventory!O$2:O$199&lt;=Expiring_Soon!$B$2),ROW(License_Inventory!O$2:O$199),""),ROW()-7)),"")</f>
        <v/>
      </c>
      <c r="H18" s="2" t="str">
        <f t="array" ref="H18">IFERROR(INDEX(License_Inventory!O:O,SMALL(IF((License_Inventory!O$2:O$199&gt;=0)*(License_Inventory!O$2:O$199&lt;=Expiring_Soon!$B$2),ROW(License_Inventory!O$2:O$199),""),ROW()-7)),"")</f>
        <v/>
      </c>
      <c r="I18" s="2" t="str">
        <f t="array" ref="I18">IFERROR(INDEX(License_Inventory!P:P,SMALL(IF((License_Inventory!O$2:O$199&gt;=0)*(License_Inventory!O$2:O$199&lt;=Expiring_Soon!$B$2),ROW(License_Inventory!O$2:O$199),""),ROW()-7)),"")</f>
        <v/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 t="str">
        <f t="array" ref="A19">IFERROR(INDEX(License_Inventory!C:C,SMALL(IF((License_Inventory!O$2:O$199&gt;=0)*(License_Inventory!O$2:O$199&lt;=Expiring_Soon!$B$2),ROW(License_Inventory!O$2:O$199),""),ROW()-7)),"")</f>
        <v/>
      </c>
      <c r="B19" s="2" t="str">
        <f t="array" ref="B19">IFERROR(INDEX(License_Inventory!B:B,SMALL(IF((License_Inventory!O$2:O$199&gt;=0)*(License_Inventory!O$2:O$199&lt;=Expiring_Soon!$B$2),ROW(License_Inventory!O$2:O$199),""),ROW()-7)),"")</f>
        <v/>
      </c>
      <c r="C19" s="2" t="str">
        <f t="array" ref="C19">IFERROR(INDEX(License_Inventory!E:E,SMALL(IF((License_Inventory!O$2:O$199&gt;=0)*(License_Inventory!O$2:O$199&lt;=Expiring_Soon!$B$2),ROW(License_Inventory!O$2:O$199),""),ROW()-7)),"")</f>
        <v/>
      </c>
      <c r="D19" s="2" t="str">
        <f t="array" ref="D19">IFERROR(INDEX(License_Inventory!H:H,SMALL(IF((License_Inventory!O$2:O$199&gt;=0)*(License_Inventory!O$2:O$199&lt;=Expiring_Soon!$B$2),ROW(License_Inventory!O$2:O$199),""),ROW()-7)),"")</f>
        <v/>
      </c>
      <c r="E19" s="2" t="str">
        <f t="array" ref="E19">IFERROR(INDEX(License_Inventory!M:M,SMALL(IF((License_Inventory!O$2:O$199&gt;=0)*(License_Inventory!O$2:O$199&lt;=Expiring_Soon!$B$2),ROW(License_Inventory!O$2:O$199),""),ROW()-7)),"")</f>
        <v/>
      </c>
      <c r="F19" s="118" t="str">
        <f t="array" ref="F19">IFERROR(INDEX(License_Inventory!I:I,SMALL(IF((License_Inventory!O$2:O$199&gt;=0)*(License_Inventory!O$2:O$199&lt;=Expiring_Soon!$B$2),ROW(License_Inventory!O$2:O$199),""),ROW()-7)),"")</f>
        <v/>
      </c>
      <c r="G19" s="118" t="str">
        <f t="array" ref="G19">IFERROR(INDEX(License_Inventory!J:J,SMALL(IF((License_Inventory!O$2:O$199&gt;=0)*(License_Inventory!O$2:O$199&lt;=Expiring_Soon!$B$2),ROW(License_Inventory!O$2:O$199),""),ROW()-7)),"")</f>
        <v/>
      </c>
      <c r="H19" s="188" t="str">
        <f t="array" ref="H19">IFERROR(INDEX(License_Inventory!O:O,SMALL(IF((License_Inventory!O$2:O$199&gt;=0)*(License_Inventory!O$2:O$199&lt;=Expiring_Soon!$B$2),ROW(License_Inventory!O$2:O$199),""),ROW()-7)),"")</f>
        <v/>
      </c>
      <c r="I19" s="2" t="str">
        <f t="array" ref="I19">IFERROR(INDEX(License_Inventory!P:P,SMALL(IF((License_Inventory!O$2:O$199&gt;=0)*(License_Inventory!O$2:O$199&lt;=Expiring_Soon!$B$2),ROW(License_Inventory!O$2:O$199),""),ROW()-7)),"")</f>
        <v/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 t="str">
        <f t="array" ref="A20">IFERROR(INDEX(License_Inventory!C:C,SMALL(IF((License_Inventory!O$2:O$199&gt;=0)*(License_Inventory!O$2:O$199&lt;=Expiring_Soon!$B$2),ROW(License_Inventory!O$2:O$199),""),ROW()-7)),"")</f>
        <v/>
      </c>
      <c r="B20" s="2" t="str">
        <f t="array" ref="B20">IFERROR(INDEX(License_Inventory!B:B,SMALL(IF((License_Inventory!O$2:O$199&gt;=0)*(License_Inventory!O$2:O$199&lt;=Expiring_Soon!$B$2),ROW(License_Inventory!O$2:O$199),""),ROW()-7)),"")</f>
        <v/>
      </c>
      <c r="C20" s="2" t="str">
        <f t="array" ref="C20">IFERROR(INDEX(License_Inventory!E:E,SMALL(IF((License_Inventory!O$2:O$199&gt;=0)*(License_Inventory!O$2:O$199&lt;=Expiring_Soon!$B$2),ROW(License_Inventory!O$2:O$199),""),ROW()-7)),"")</f>
        <v/>
      </c>
      <c r="D20" s="2" t="str">
        <f t="array" ref="D20">IFERROR(INDEX(License_Inventory!H:H,SMALL(IF((License_Inventory!O$2:O$199&gt;=0)*(License_Inventory!O$2:O$199&lt;=Expiring_Soon!$B$2),ROW(License_Inventory!O$2:O$199),""),ROW()-7)),"")</f>
        <v/>
      </c>
      <c r="E20" s="2" t="str">
        <f t="array" ref="E20">IFERROR(INDEX(License_Inventory!M:M,SMALL(IF((License_Inventory!O$2:O$199&gt;=0)*(License_Inventory!O$2:O$199&lt;=Expiring_Soon!$B$2),ROW(License_Inventory!O$2:O$199),""),ROW()-7)),"")</f>
        <v/>
      </c>
      <c r="F20" s="2" t="str">
        <f t="array" ref="F20">IFERROR(INDEX(License_Inventory!I:I,SMALL(IF((License_Inventory!O$2:O$199&gt;=0)*(License_Inventory!O$2:O$199&lt;=Expiring_Soon!$B$2),ROW(License_Inventory!O$2:O$199),""),ROW()-7)),"")</f>
        <v/>
      </c>
      <c r="G20" s="2" t="str">
        <f t="array" ref="G20">IFERROR(INDEX(License_Inventory!J:J,SMALL(IF((License_Inventory!O$2:O$199&gt;=0)*(License_Inventory!O$2:O$199&lt;=Expiring_Soon!$B$2),ROW(License_Inventory!O$2:O$199),""),ROW()-7)),"")</f>
        <v/>
      </c>
      <c r="H20" s="2" t="str">
        <f t="array" ref="H20">IFERROR(INDEX(License_Inventory!O:O,SMALL(IF((License_Inventory!O$2:O$199&gt;=0)*(License_Inventory!O$2:O$199&lt;=Expiring_Soon!$B$2),ROW(License_Inventory!O$2:O$199),""),ROW()-7)),"")</f>
        <v/>
      </c>
      <c r="I20" s="2" t="str">
        <f t="array" ref="I20">IFERROR(INDEX(License_Inventory!P:P,SMALL(IF((License_Inventory!O$2:O$199&gt;=0)*(License_Inventory!O$2:O$199&lt;=Expiring_Soon!$B$2),ROW(License_Inventory!O$2:O$199),""),ROW()-7)),"")</f>
        <v/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tr">
        <f t="array" ref="A21">IFERROR(INDEX(License_Inventory!C:C,SMALL(IF((License_Inventory!O$2:O$199&gt;=0)*(License_Inventory!O$2:O$199&lt;=Expiring_Soon!$B$2),ROW(License_Inventory!O$2:O$199),""),ROW()-7)),"")</f>
        <v/>
      </c>
      <c r="B21" s="2" t="str">
        <f t="array" ref="B21">IFERROR(INDEX(License_Inventory!B:B,SMALL(IF((License_Inventory!O$2:O$199&gt;=0)*(License_Inventory!O$2:O$199&lt;=Expiring_Soon!$B$2),ROW(License_Inventory!O$2:O$199),""),ROW()-7)),"")</f>
        <v/>
      </c>
      <c r="C21" s="2" t="str">
        <f t="array" ref="C21">IFERROR(INDEX(License_Inventory!E:E,SMALL(IF((License_Inventory!O$2:O$199&gt;=0)*(License_Inventory!O$2:O$199&lt;=Expiring_Soon!$B$2),ROW(License_Inventory!O$2:O$199),""),ROW()-7)),"")</f>
        <v/>
      </c>
      <c r="D21" s="2" t="str">
        <f t="array" ref="D21">IFERROR(INDEX(License_Inventory!H:H,SMALL(IF((License_Inventory!O$2:O$199&gt;=0)*(License_Inventory!O$2:O$199&lt;=Expiring_Soon!$B$2),ROW(License_Inventory!O$2:O$199),""),ROW()-7)),"")</f>
        <v/>
      </c>
      <c r="E21" s="2" t="str">
        <f t="array" ref="E21">IFERROR(INDEX(License_Inventory!M:M,SMALL(IF((License_Inventory!O$2:O$199&gt;=0)*(License_Inventory!O$2:O$199&lt;=Expiring_Soon!$B$2),ROW(License_Inventory!O$2:O$199),""),ROW()-7)),"")</f>
        <v/>
      </c>
      <c r="F21" s="2" t="str">
        <f t="array" ref="F21">IFERROR(INDEX(License_Inventory!I:I,SMALL(IF((License_Inventory!O$2:O$199&gt;=0)*(License_Inventory!O$2:O$199&lt;=Expiring_Soon!$B$2),ROW(License_Inventory!O$2:O$199),""),ROW()-7)),"")</f>
        <v/>
      </c>
      <c r="G21" s="2" t="str">
        <f t="array" ref="G21">IFERROR(INDEX(License_Inventory!J:J,SMALL(IF((License_Inventory!O$2:O$199&gt;=0)*(License_Inventory!O$2:O$199&lt;=Expiring_Soon!$B$2),ROW(License_Inventory!O$2:O$199),""),ROW()-7)),"")</f>
        <v/>
      </c>
      <c r="H21" s="2" t="str">
        <f t="array" ref="H21">IFERROR(INDEX(License_Inventory!O:O,SMALL(IF((License_Inventory!O$2:O$199&gt;=0)*(License_Inventory!O$2:O$199&lt;=Expiring_Soon!$B$2),ROW(License_Inventory!O$2:O$199),""),ROW()-7)),"")</f>
        <v/>
      </c>
      <c r="I21" s="2" t="str">
        <f t="array" ref="I21">IFERROR(INDEX(License_Inventory!P:P,SMALL(IF((License_Inventory!O$2:O$199&gt;=0)*(License_Inventory!O$2:O$199&lt;=Expiring_Soon!$B$2),ROW(License_Inventory!O$2:O$199),""),ROW()-7)),"")</f>
        <v/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tr">
        <f t="array" ref="A22">IFERROR(INDEX(License_Inventory!C:C,SMALL(IF((License_Inventory!O$2:O$199&gt;=0)*(License_Inventory!O$2:O$199&lt;=Expiring_Soon!$B$2),ROW(License_Inventory!O$2:O$199),""),ROW()-7)),"")</f>
        <v/>
      </c>
      <c r="B22" s="2" t="str">
        <f t="array" ref="B22">IFERROR(INDEX(License_Inventory!B:B,SMALL(IF((License_Inventory!O$2:O$199&gt;=0)*(License_Inventory!O$2:O$199&lt;=Expiring_Soon!$B$2),ROW(License_Inventory!O$2:O$199),""),ROW()-7)),"")</f>
        <v/>
      </c>
      <c r="C22" s="2" t="str">
        <f t="array" ref="C22">IFERROR(INDEX(License_Inventory!E:E,SMALL(IF((License_Inventory!O$2:O$199&gt;=0)*(License_Inventory!O$2:O$199&lt;=Expiring_Soon!$B$2),ROW(License_Inventory!O$2:O$199),""),ROW()-7)),"")</f>
        <v/>
      </c>
      <c r="D22" s="2" t="str">
        <f t="array" ref="D22">IFERROR(INDEX(License_Inventory!H:H,SMALL(IF((License_Inventory!O$2:O$199&gt;=0)*(License_Inventory!O$2:O$199&lt;=Expiring_Soon!$B$2),ROW(License_Inventory!O$2:O$199),""),ROW()-7)),"")</f>
        <v/>
      </c>
      <c r="E22" s="2" t="str">
        <f t="array" ref="E22">IFERROR(INDEX(License_Inventory!M:M,SMALL(IF((License_Inventory!O$2:O$199&gt;=0)*(License_Inventory!O$2:O$199&lt;=Expiring_Soon!$B$2),ROW(License_Inventory!O$2:O$199),""),ROW()-7)),"")</f>
        <v/>
      </c>
      <c r="F22" s="2" t="str">
        <f t="array" ref="F22">IFERROR(INDEX(License_Inventory!I:I,SMALL(IF((License_Inventory!O$2:O$199&gt;=0)*(License_Inventory!O$2:O$199&lt;=Expiring_Soon!$B$2),ROW(License_Inventory!O$2:O$199),""),ROW()-7)),"")</f>
        <v/>
      </c>
      <c r="G22" s="2" t="str">
        <f t="array" ref="G22">IFERROR(INDEX(License_Inventory!J:J,SMALL(IF((License_Inventory!O$2:O$199&gt;=0)*(License_Inventory!O$2:O$199&lt;=Expiring_Soon!$B$2),ROW(License_Inventory!O$2:O$199),""),ROW()-7)),"")</f>
        <v/>
      </c>
      <c r="H22" s="2" t="str">
        <f t="array" ref="H22">IFERROR(INDEX(License_Inventory!O:O,SMALL(IF((License_Inventory!O$2:O$199&gt;=0)*(License_Inventory!O$2:O$199&lt;=Expiring_Soon!$B$2),ROW(License_Inventory!O$2:O$199),""),ROW()-7)),"")</f>
        <v/>
      </c>
      <c r="I22" s="2" t="str">
        <f t="array" ref="I22">IFERROR(INDEX(License_Inventory!P:P,SMALL(IF((License_Inventory!O$2:O$199&gt;=0)*(License_Inventory!O$2:O$199&lt;=Expiring_Soon!$B$2),ROW(License_Inventory!O$2:O$199),""),ROW()-7)),"")</f>
        <v/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tr">
        <f t="array" ref="A23">IFERROR(INDEX(License_Inventory!C:C,SMALL(IF((License_Inventory!O$2:O$199&gt;=0)*(License_Inventory!O$2:O$199&lt;=Expiring_Soon!$B$2),ROW(License_Inventory!O$2:O$199),""),ROW()-7)),"")</f>
        <v/>
      </c>
      <c r="B23" s="2" t="str">
        <f t="array" ref="B23">IFERROR(INDEX(License_Inventory!B:B,SMALL(IF((License_Inventory!O$2:O$199&gt;=0)*(License_Inventory!O$2:O$199&lt;=Expiring_Soon!$B$2),ROW(License_Inventory!O$2:O$199),""),ROW()-7)),"")</f>
        <v/>
      </c>
      <c r="C23" s="2" t="str">
        <f t="array" ref="C23">IFERROR(INDEX(License_Inventory!E:E,SMALL(IF((License_Inventory!O$2:O$199&gt;=0)*(License_Inventory!O$2:O$199&lt;=Expiring_Soon!$B$2),ROW(License_Inventory!O$2:O$199),""),ROW()-7)),"")</f>
        <v/>
      </c>
      <c r="D23" s="2" t="str">
        <f t="array" ref="D23">IFERROR(INDEX(License_Inventory!H:H,SMALL(IF((License_Inventory!O$2:O$199&gt;=0)*(License_Inventory!O$2:O$199&lt;=Expiring_Soon!$B$2),ROW(License_Inventory!O$2:O$199),""),ROW()-7)),"")</f>
        <v/>
      </c>
      <c r="E23" s="2" t="str">
        <f t="array" ref="E23">IFERROR(INDEX(License_Inventory!M:M,SMALL(IF((License_Inventory!O$2:O$199&gt;=0)*(License_Inventory!O$2:O$199&lt;=Expiring_Soon!$B$2),ROW(License_Inventory!O$2:O$199),""),ROW()-7)),"")</f>
        <v/>
      </c>
      <c r="F23" s="2" t="str">
        <f t="array" ref="F23">IFERROR(INDEX(License_Inventory!I:I,SMALL(IF((License_Inventory!O$2:O$199&gt;=0)*(License_Inventory!O$2:O$199&lt;=Expiring_Soon!$B$2),ROW(License_Inventory!O$2:O$199),""),ROW()-7)),"")</f>
        <v/>
      </c>
      <c r="G23" s="2" t="str">
        <f t="array" ref="G23">IFERROR(INDEX(License_Inventory!J:J,SMALL(IF((License_Inventory!O$2:O$199&gt;=0)*(License_Inventory!O$2:O$199&lt;=Expiring_Soon!$B$2),ROW(License_Inventory!O$2:O$199),""),ROW()-7)),"")</f>
        <v/>
      </c>
      <c r="H23" s="2" t="str">
        <f t="array" ref="H23">IFERROR(INDEX(License_Inventory!O:O,SMALL(IF((License_Inventory!O$2:O$199&gt;=0)*(License_Inventory!O$2:O$199&lt;=Expiring_Soon!$B$2),ROW(License_Inventory!O$2:O$199),""),ROW()-7)),"")</f>
        <v/>
      </c>
      <c r="I23" s="2" t="str">
        <f t="array" ref="I23">IFERROR(INDEX(License_Inventory!P:P,SMALL(IF((License_Inventory!O$2:O$199&gt;=0)*(License_Inventory!O$2:O$199&lt;=Expiring_Soon!$B$2),ROW(License_Inventory!O$2:O$199),""),ROW()-7)),"")</f>
        <v/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tr">
        <f t="array" ref="A24">IFERROR(INDEX(License_Inventory!C:C,SMALL(IF((License_Inventory!O$2:O$199&gt;=0)*(License_Inventory!O$2:O$199&lt;=Expiring_Soon!$B$2),ROW(License_Inventory!O$2:O$199),""),ROW()-7)),"")</f>
        <v/>
      </c>
      <c r="B24" s="2" t="str">
        <f t="array" ref="B24">IFERROR(INDEX(License_Inventory!B:B,SMALL(IF((License_Inventory!O$2:O$199&gt;=0)*(License_Inventory!O$2:O$199&lt;=Expiring_Soon!$B$2),ROW(License_Inventory!O$2:O$199),""),ROW()-7)),"")</f>
        <v/>
      </c>
      <c r="C24" s="2" t="str">
        <f t="array" ref="C24">IFERROR(INDEX(License_Inventory!E:E,SMALL(IF((License_Inventory!O$2:O$199&gt;=0)*(License_Inventory!O$2:O$199&lt;=Expiring_Soon!$B$2),ROW(License_Inventory!O$2:O$199),""),ROW()-7)),"")</f>
        <v/>
      </c>
      <c r="D24" s="2" t="str">
        <f t="array" ref="D24">IFERROR(INDEX(License_Inventory!H:H,SMALL(IF((License_Inventory!O$2:O$199&gt;=0)*(License_Inventory!O$2:O$199&lt;=Expiring_Soon!$B$2),ROW(License_Inventory!O$2:O$199),""),ROW()-7)),"")</f>
        <v/>
      </c>
      <c r="E24" s="2" t="str">
        <f t="array" ref="E24">IFERROR(INDEX(License_Inventory!M:M,SMALL(IF((License_Inventory!O$2:O$199&gt;=0)*(License_Inventory!O$2:O$199&lt;=Expiring_Soon!$B$2),ROW(License_Inventory!O$2:O$199),""),ROW()-7)),"")</f>
        <v/>
      </c>
      <c r="F24" s="2" t="str">
        <f t="array" ref="F24">IFERROR(INDEX(License_Inventory!I:I,SMALL(IF((License_Inventory!O$2:O$199&gt;=0)*(License_Inventory!O$2:O$199&lt;=Expiring_Soon!$B$2),ROW(License_Inventory!O$2:O$199),""),ROW()-7)),"")</f>
        <v/>
      </c>
      <c r="G24" s="2" t="str">
        <f t="array" ref="G24">IFERROR(INDEX(License_Inventory!J:J,SMALL(IF((License_Inventory!O$2:O$199&gt;=0)*(License_Inventory!O$2:O$199&lt;=Expiring_Soon!$B$2),ROW(License_Inventory!O$2:O$199),""),ROW()-7)),"")</f>
        <v/>
      </c>
      <c r="H24" s="2" t="str">
        <f t="array" ref="H24">IFERROR(INDEX(License_Inventory!O:O,SMALL(IF((License_Inventory!O$2:O$199&gt;=0)*(License_Inventory!O$2:O$199&lt;=Expiring_Soon!$B$2),ROW(License_Inventory!O$2:O$199),""),ROW()-7)),"")</f>
        <v/>
      </c>
      <c r="I24" s="2" t="str">
        <f t="array" ref="I24">IFERROR(INDEX(License_Inventory!P:P,SMALL(IF((License_Inventory!O$2:O$199&gt;=0)*(License_Inventory!O$2:O$199&lt;=Expiring_Soon!$B$2),ROW(License_Inventory!O$2:O$199),""),ROW()-7)),"")</f>
        <v/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tr">
        <f t="array" ref="A25">IFERROR(INDEX(License_Inventory!C:C,SMALL(IF((License_Inventory!O$2:O$199&gt;=0)*(License_Inventory!O$2:O$199&lt;=Expiring_Soon!$B$2),ROW(License_Inventory!O$2:O$199),""),ROW()-7)),"")</f>
        <v/>
      </c>
      <c r="B25" s="2" t="str">
        <f t="array" ref="B25">IFERROR(INDEX(License_Inventory!B:B,SMALL(IF((License_Inventory!O$2:O$199&gt;=0)*(License_Inventory!O$2:O$199&lt;=Expiring_Soon!$B$2),ROW(License_Inventory!O$2:O$199),""),ROW()-7)),"")</f>
        <v/>
      </c>
      <c r="C25" s="2" t="str">
        <f t="array" ref="C25">IFERROR(INDEX(License_Inventory!E:E,SMALL(IF((License_Inventory!O$2:O$199&gt;=0)*(License_Inventory!O$2:O$199&lt;=Expiring_Soon!$B$2),ROW(License_Inventory!O$2:O$199),""),ROW()-7)),"")</f>
        <v/>
      </c>
      <c r="D25" s="2" t="str">
        <f t="array" ref="D25">IFERROR(INDEX(License_Inventory!H:H,SMALL(IF((License_Inventory!O$2:O$199&gt;=0)*(License_Inventory!O$2:O$199&lt;=Expiring_Soon!$B$2),ROW(License_Inventory!O$2:O$199),""),ROW()-7)),"")</f>
        <v/>
      </c>
      <c r="E25" s="2" t="str">
        <f t="array" ref="E25">IFERROR(INDEX(License_Inventory!M:M,SMALL(IF((License_Inventory!O$2:O$199&gt;=0)*(License_Inventory!O$2:O$199&lt;=Expiring_Soon!$B$2),ROW(License_Inventory!O$2:O$199),""),ROW()-7)),"")</f>
        <v/>
      </c>
      <c r="F25" s="2" t="str">
        <f t="array" ref="F25">IFERROR(INDEX(License_Inventory!I:I,SMALL(IF((License_Inventory!O$2:O$199&gt;=0)*(License_Inventory!O$2:O$199&lt;=Expiring_Soon!$B$2),ROW(License_Inventory!O$2:O$199),""),ROW()-7)),"")</f>
        <v/>
      </c>
      <c r="G25" s="2" t="str">
        <f t="array" ref="G25">IFERROR(INDEX(License_Inventory!J:J,SMALL(IF((License_Inventory!O$2:O$199&gt;=0)*(License_Inventory!O$2:O$199&lt;=Expiring_Soon!$B$2),ROW(License_Inventory!O$2:O$199),""),ROW()-7)),"")</f>
        <v/>
      </c>
      <c r="H25" s="2" t="str">
        <f t="array" ref="H25">IFERROR(INDEX(License_Inventory!O:O,SMALL(IF((License_Inventory!O$2:O$199&gt;=0)*(License_Inventory!O$2:O$199&lt;=Expiring_Soon!$B$2),ROW(License_Inventory!O$2:O$199),""),ROW()-7)),"")</f>
        <v/>
      </c>
      <c r="I25" s="2" t="str">
        <f t="array" ref="I25">IFERROR(INDEX(License_Inventory!P:P,SMALL(IF((License_Inventory!O$2:O$199&gt;=0)*(License_Inventory!O$2:O$199&lt;=Expiring_Soon!$B$2),ROW(License_Inventory!O$2:O$199),""),ROW()-7)),"")</f>
        <v/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tr">
        <f t="array" ref="A26">IFERROR(INDEX(License_Inventory!C:C,SMALL(IF((License_Inventory!O$2:O$199&gt;=0)*(License_Inventory!O$2:O$199&lt;=Expiring_Soon!$B$2),ROW(License_Inventory!O$2:O$199),""),ROW()-7)),"")</f>
        <v/>
      </c>
      <c r="B26" s="2" t="str">
        <f t="array" ref="B26">IFERROR(INDEX(License_Inventory!B:B,SMALL(IF((License_Inventory!O$2:O$199&gt;=0)*(License_Inventory!O$2:O$199&lt;=Expiring_Soon!$B$2),ROW(License_Inventory!O$2:O$199),""),ROW()-7)),"")</f>
        <v/>
      </c>
      <c r="C26" s="2" t="str">
        <f t="array" ref="C26">IFERROR(INDEX(License_Inventory!E:E,SMALL(IF((License_Inventory!O$2:O$199&gt;=0)*(License_Inventory!O$2:O$199&lt;=Expiring_Soon!$B$2),ROW(License_Inventory!O$2:O$199),""),ROW()-7)),"")</f>
        <v/>
      </c>
      <c r="D26" s="2" t="str">
        <f t="array" ref="D26">IFERROR(INDEX(License_Inventory!H:H,SMALL(IF((License_Inventory!O$2:O$199&gt;=0)*(License_Inventory!O$2:O$199&lt;=Expiring_Soon!$B$2),ROW(License_Inventory!O$2:O$199),""),ROW()-7)),"")</f>
        <v/>
      </c>
      <c r="E26" s="2" t="str">
        <f t="array" ref="E26">IFERROR(INDEX(License_Inventory!M:M,SMALL(IF((License_Inventory!O$2:O$199&gt;=0)*(License_Inventory!O$2:O$199&lt;=Expiring_Soon!$B$2),ROW(License_Inventory!O$2:O$199),""),ROW()-7)),"")</f>
        <v/>
      </c>
      <c r="F26" s="2" t="str">
        <f t="array" ref="F26">IFERROR(INDEX(License_Inventory!I:I,SMALL(IF((License_Inventory!O$2:O$199&gt;=0)*(License_Inventory!O$2:O$199&lt;=Expiring_Soon!$B$2),ROW(License_Inventory!O$2:O$199),""),ROW()-7)),"")</f>
        <v/>
      </c>
      <c r="G26" s="2" t="str">
        <f t="array" ref="G26">IFERROR(INDEX(License_Inventory!J:J,SMALL(IF((License_Inventory!O$2:O$199&gt;=0)*(License_Inventory!O$2:O$199&lt;=Expiring_Soon!$B$2),ROW(License_Inventory!O$2:O$199),""),ROW()-7)),"")</f>
        <v/>
      </c>
      <c r="H26" s="2" t="str">
        <f t="array" ref="H26">IFERROR(INDEX(License_Inventory!O:O,SMALL(IF((License_Inventory!O$2:O$199&gt;=0)*(License_Inventory!O$2:O$199&lt;=Expiring_Soon!$B$2),ROW(License_Inventory!O$2:O$199),""),ROW()-7)),"")</f>
        <v/>
      </c>
      <c r="I26" s="2" t="str">
        <f t="array" ref="I26">IFERROR(INDEX(License_Inventory!P:P,SMALL(IF((License_Inventory!O$2:O$199&gt;=0)*(License_Inventory!O$2:O$199&lt;=Expiring_Soon!$B$2),ROW(License_Inventory!O$2:O$199),""),ROW()-7)),"")</f>
        <v/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tr">
        <f t="array" ref="A27">IFERROR(INDEX(License_Inventory!C:C,SMALL(IF((License_Inventory!O$2:O$199&gt;=0)*(License_Inventory!O$2:O$199&lt;=Expiring_Soon!$B$2),ROW(License_Inventory!O$2:O$199),""),ROW()-7)),"")</f>
        <v/>
      </c>
      <c r="B27" s="2" t="str">
        <f t="array" ref="B27">IFERROR(INDEX(License_Inventory!B:B,SMALL(IF((License_Inventory!O$2:O$199&gt;=0)*(License_Inventory!O$2:O$199&lt;=Expiring_Soon!$B$2),ROW(License_Inventory!O$2:O$199),""),ROW()-7)),"")</f>
        <v/>
      </c>
      <c r="C27" s="2" t="str">
        <f t="array" ref="C27">IFERROR(INDEX(License_Inventory!E:E,SMALL(IF((License_Inventory!O$2:O$199&gt;=0)*(License_Inventory!O$2:O$199&lt;=Expiring_Soon!$B$2),ROW(License_Inventory!O$2:O$199),""),ROW()-7)),"")</f>
        <v/>
      </c>
      <c r="D27" s="2" t="str">
        <f t="array" ref="D27">IFERROR(INDEX(License_Inventory!H:H,SMALL(IF((License_Inventory!O$2:O$199&gt;=0)*(License_Inventory!O$2:O$199&lt;=Expiring_Soon!$B$2),ROW(License_Inventory!O$2:O$199),""),ROW()-7)),"")</f>
        <v/>
      </c>
      <c r="E27" s="2" t="str">
        <f t="array" ref="E27">IFERROR(INDEX(License_Inventory!M:M,SMALL(IF((License_Inventory!O$2:O$199&gt;=0)*(License_Inventory!O$2:O$199&lt;=Expiring_Soon!$B$2),ROW(License_Inventory!O$2:O$199),""),ROW()-7)),"")</f>
        <v/>
      </c>
      <c r="F27" s="2" t="str">
        <f t="array" ref="F27">IFERROR(INDEX(License_Inventory!I:I,SMALL(IF((License_Inventory!O$2:O$199&gt;=0)*(License_Inventory!O$2:O$199&lt;=Expiring_Soon!$B$2),ROW(License_Inventory!O$2:O$199),""),ROW()-7)),"")</f>
        <v/>
      </c>
      <c r="G27" s="2" t="str">
        <f t="array" ref="G27">IFERROR(INDEX(License_Inventory!J:J,SMALL(IF((License_Inventory!O$2:O$199&gt;=0)*(License_Inventory!O$2:O$199&lt;=Expiring_Soon!$B$2),ROW(License_Inventory!O$2:O$199),""),ROW()-7)),"")</f>
        <v/>
      </c>
      <c r="H27" s="2" t="str">
        <f t="array" ref="H27">IFERROR(INDEX(License_Inventory!O:O,SMALL(IF((License_Inventory!O$2:O$199&gt;=0)*(License_Inventory!O$2:O$199&lt;=Expiring_Soon!$B$2),ROW(License_Inventory!O$2:O$199),""),ROW()-7)),"")</f>
        <v/>
      </c>
      <c r="I27" s="2" t="str">
        <f t="array" ref="I27">IFERROR(INDEX(License_Inventory!P:P,SMALL(IF((License_Inventory!O$2:O$199&gt;=0)*(License_Inventory!O$2:O$199&lt;=Expiring_Soon!$B$2),ROW(License_Inventory!O$2:O$199),""),ROW()-7)),"")</f>
        <v/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tr">
        <f t="array" ref="A28">IFERROR(INDEX(License_Inventory!C:C,SMALL(IF((License_Inventory!O$2:O$199&gt;=0)*(License_Inventory!O$2:O$199&lt;=Expiring_Soon!$B$2),ROW(License_Inventory!O$2:O$199),""),ROW()-7)),"")</f>
        <v/>
      </c>
      <c r="B28" s="2" t="str">
        <f t="array" ref="B28">IFERROR(INDEX(License_Inventory!B:B,SMALL(IF((License_Inventory!O$2:O$199&gt;=0)*(License_Inventory!O$2:O$199&lt;=Expiring_Soon!$B$2),ROW(License_Inventory!O$2:O$199),""),ROW()-7)),"")</f>
        <v/>
      </c>
      <c r="C28" s="2" t="str">
        <f t="array" ref="C28">IFERROR(INDEX(License_Inventory!E:E,SMALL(IF((License_Inventory!O$2:O$199&gt;=0)*(License_Inventory!O$2:O$199&lt;=Expiring_Soon!$B$2),ROW(License_Inventory!O$2:O$199),""),ROW()-7)),"")</f>
        <v/>
      </c>
      <c r="D28" s="2" t="str">
        <f t="array" ref="D28">IFERROR(INDEX(License_Inventory!H:H,SMALL(IF((License_Inventory!O$2:O$199&gt;=0)*(License_Inventory!O$2:O$199&lt;=Expiring_Soon!$B$2),ROW(License_Inventory!O$2:O$199),""),ROW()-7)),"")</f>
        <v/>
      </c>
      <c r="E28" s="2" t="str">
        <f t="array" ref="E28">IFERROR(INDEX(License_Inventory!M:M,SMALL(IF((License_Inventory!O$2:O$199&gt;=0)*(License_Inventory!O$2:O$199&lt;=Expiring_Soon!$B$2),ROW(License_Inventory!O$2:O$199),""),ROW()-7)),"")</f>
        <v/>
      </c>
      <c r="F28" s="2" t="str">
        <f t="array" ref="F28">IFERROR(INDEX(License_Inventory!I:I,SMALL(IF((License_Inventory!O$2:O$199&gt;=0)*(License_Inventory!O$2:O$199&lt;=Expiring_Soon!$B$2),ROW(License_Inventory!O$2:O$199),""),ROW()-7)),"")</f>
        <v/>
      </c>
      <c r="G28" s="2" t="str">
        <f t="array" ref="G28">IFERROR(INDEX(License_Inventory!J:J,SMALL(IF((License_Inventory!O$2:O$199&gt;=0)*(License_Inventory!O$2:O$199&lt;=Expiring_Soon!$B$2),ROW(License_Inventory!O$2:O$199),""),ROW()-7)),"")</f>
        <v/>
      </c>
      <c r="H28" s="2" t="str">
        <f t="array" ref="H28">IFERROR(INDEX(License_Inventory!O:O,SMALL(IF((License_Inventory!O$2:O$199&gt;=0)*(License_Inventory!O$2:O$199&lt;=Expiring_Soon!$B$2),ROW(License_Inventory!O$2:O$199),""),ROW()-7)),"")</f>
        <v/>
      </c>
      <c r="I28" s="2" t="str">
        <f t="array" ref="I28">IFERROR(INDEX(License_Inventory!P:P,SMALL(IF((License_Inventory!O$2:O$199&gt;=0)*(License_Inventory!O$2:O$199&lt;=Expiring_Soon!$B$2),ROW(License_Inventory!O$2:O$199),""),ROW()-7)),"")</f>
        <v/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tr">
        <f t="array" ref="A29">IFERROR(INDEX(License_Inventory!C:C,SMALL(IF((License_Inventory!O$2:O$199&gt;=0)*(License_Inventory!O$2:O$199&lt;=Expiring_Soon!$B$2),ROW(License_Inventory!O$2:O$199),""),ROW()-7)),"")</f>
        <v/>
      </c>
      <c r="B29" s="2" t="str">
        <f t="array" ref="B29">IFERROR(INDEX(License_Inventory!B:B,SMALL(IF((License_Inventory!O$2:O$199&gt;=0)*(License_Inventory!O$2:O$199&lt;=Expiring_Soon!$B$2),ROW(License_Inventory!O$2:O$199),""),ROW()-7)),"")</f>
        <v/>
      </c>
      <c r="C29" s="2" t="str">
        <f t="array" ref="C29">IFERROR(INDEX(License_Inventory!E:E,SMALL(IF((License_Inventory!O$2:O$199&gt;=0)*(License_Inventory!O$2:O$199&lt;=Expiring_Soon!$B$2),ROW(License_Inventory!O$2:O$199),""),ROW()-7)),"")</f>
        <v/>
      </c>
      <c r="D29" s="2" t="str">
        <f t="array" ref="D29">IFERROR(INDEX(License_Inventory!H:H,SMALL(IF((License_Inventory!O$2:O$199&gt;=0)*(License_Inventory!O$2:O$199&lt;=Expiring_Soon!$B$2),ROW(License_Inventory!O$2:O$199),""),ROW()-7)),"")</f>
        <v/>
      </c>
      <c r="E29" s="2" t="str">
        <f t="array" ref="E29">IFERROR(INDEX(License_Inventory!M:M,SMALL(IF((License_Inventory!O$2:O$199&gt;=0)*(License_Inventory!O$2:O$199&lt;=Expiring_Soon!$B$2),ROW(License_Inventory!O$2:O$199),""),ROW()-7)),"")</f>
        <v/>
      </c>
      <c r="F29" s="2" t="str">
        <f t="array" ref="F29">IFERROR(INDEX(License_Inventory!I:I,SMALL(IF((License_Inventory!O$2:O$199&gt;=0)*(License_Inventory!O$2:O$199&lt;=Expiring_Soon!$B$2),ROW(License_Inventory!O$2:O$199),""),ROW()-7)),"")</f>
        <v/>
      </c>
      <c r="G29" s="2" t="str">
        <f t="array" ref="G29">IFERROR(INDEX(License_Inventory!J:J,SMALL(IF((License_Inventory!O$2:O$199&gt;=0)*(License_Inventory!O$2:O$199&lt;=Expiring_Soon!$B$2),ROW(License_Inventory!O$2:O$199),""),ROW()-7)),"")</f>
        <v/>
      </c>
      <c r="H29" s="2" t="str">
        <f t="array" ref="H29">IFERROR(INDEX(License_Inventory!O:O,SMALL(IF((License_Inventory!O$2:O$199&gt;=0)*(License_Inventory!O$2:O$199&lt;=Expiring_Soon!$B$2),ROW(License_Inventory!O$2:O$199),""),ROW()-7)),"")</f>
        <v/>
      </c>
      <c r="I29" s="2" t="str">
        <f t="array" ref="I29">IFERROR(INDEX(License_Inventory!P:P,SMALL(IF((License_Inventory!O$2:O$199&gt;=0)*(License_Inventory!O$2:O$199&lt;=Expiring_Soon!$B$2),ROW(License_Inventory!O$2:O$199),""),ROW()-7)),"")</f>
        <v/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tr">
        <f t="array" ref="A30">IFERROR(INDEX(License_Inventory!C:C,SMALL(IF((License_Inventory!O$2:O$199&gt;=0)*(License_Inventory!O$2:O$199&lt;=Expiring_Soon!$B$2),ROW(License_Inventory!O$2:O$199),""),ROW()-7)),"")</f>
        <v/>
      </c>
      <c r="B30" s="2" t="str">
        <f t="array" ref="B30">IFERROR(INDEX(License_Inventory!B:B,SMALL(IF((License_Inventory!O$2:O$199&gt;=0)*(License_Inventory!O$2:O$199&lt;=Expiring_Soon!$B$2),ROW(License_Inventory!O$2:O$199),""),ROW()-7)),"")</f>
        <v/>
      </c>
      <c r="C30" s="2" t="str">
        <f t="array" ref="C30">IFERROR(INDEX(License_Inventory!E:E,SMALL(IF((License_Inventory!O$2:O$199&gt;=0)*(License_Inventory!O$2:O$199&lt;=Expiring_Soon!$B$2),ROW(License_Inventory!O$2:O$199),""),ROW()-7)),"")</f>
        <v/>
      </c>
      <c r="D30" s="2" t="str">
        <f t="array" ref="D30">IFERROR(INDEX(License_Inventory!H:H,SMALL(IF((License_Inventory!O$2:O$199&gt;=0)*(License_Inventory!O$2:O$199&lt;=Expiring_Soon!$B$2),ROW(License_Inventory!O$2:O$199),""),ROW()-7)),"")</f>
        <v/>
      </c>
      <c r="E30" s="2" t="str">
        <f t="array" ref="E30">IFERROR(INDEX(License_Inventory!M:M,SMALL(IF((License_Inventory!O$2:O$199&gt;=0)*(License_Inventory!O$2:O$199&lt;=Expiring_Soon!$B$2),ROW(License_Inventory!O$2:O$199),""),ROW()-7)),"")</f>
        <v/>
      </c>
      <c r="F30" s="2" t="str">
        <f t="array" ref="F30">IFERROR(INDEX(License_Inventory!I:I,SMALL(IF((License_Inventory!O$2:O$199&gt;=0)*(License_Inventory!O$2:O$199&lt;=Expiring_Soon!$B$2),ROW(License_Inventory!O$2:O$199),""),ROW()-7)),"")</f>
        <v/>
      </c>
      <c r="G30" s="2" t="str">
        <f t="array" ref="G30">IFERROR(INDEX(License_Inventory!J:J,SMALL(IF((License_Inventory!O$2:O$199&gt;=0)*(License_Inventory!O$2:O$199&lt;=Expiring_Soon!$B$2),ROW(License_Inventory!O$2:O$199),""),ROW()-7)),"")</f>
        <v/>
      </c>
      <c r="H30" s="2" t="str">
        <f t="array" ref="H30">IFERROR(INDEX(License_Inventory!O:O,SMALL(IF((License_Inventory!O$2:O$199&gt;=0)*(License_Inventory!O$2:O$199&lt;=Expiring_Soon!$B$2),ROW(License_Inventory!O$2:O$199),""),ROW()-7)),"")</f>
        <v/>
      </c>
      <c r="I30" s="2" t="str">
        <f t="array" ref="I30">IFERROR(INDEX(License_Inventory!P:P,SMALL(IF((License_Inventory!O$2:O$199&gt;=0)*(License_Inventory!O$2:O$199&lt;=Expiring_Soon!$B$2),ROW(License_Inventory!O$2:O$199),""),ROW()-7)),"")</f>
        <v/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tr">
        <f t="array" ref="A31">IFERROR(INDEX(License_Inventory!C:C,SMALL(IF((License_Inventory!O$2:O$199&gt;=0)*(License_Inventory!O$2:O$199&lt;=Expiring_Soon!$B$2),ROW(License_Inventory!O$2:O$199),""),ROW()-7)),"")</f>
        <v/>
      </c>
      <c r="B31" s="2" t="str">
        <f t="array" ref="B31">IFERROR(INDEX(License_Inventory!B:B,SMALL(IF((License_Inventory!O$2:O$199&gt;=0)*(License_Inventory!O$2:O$199&lt;=Expiring_Soon!$B$2),ROW(License_Inventory!O$2:O$199),""),ROW()-7)),"")</f>
        <v/>
      </c>
      <c r="C31" s="2" t="str">
        <f t="array" ref="C31">IFERROR(INDEX(License_Inventory!E:E,SMALL(IF((License_Inventory!O$2:O$199&gt;=0)*(License_Inventory!O$2:O$199&lt;=Expiring_Soon!$B$2),ROW(License_Inventory!O$2:O$199),""),ROW()-7)),"")</f>
        <v/>
      </c>
      <c r="D31" s="2" t="str">
        <f t="array" ref="D31">IFERROR(INDEX(License_Inventory!H:H,SMALL(IF((License_Inventory!O$2:O$199&gt;=0)*(License_Inventory!O$2:O$199&lt;=Expiring_Soon!$B$2),ROW(License_Inventory!O$2:O$199),""),ROW()-7)),"")</f>
        <v/>
      </c>
      <c r="E31" s="2" t="str">
        <f t="array" ref="E31">IFERROR(INDEX(License_Inventory!M:M,SMALL(IF((License_Inventory!O$2:O$199&gt;=0)*(License_Inventory!O$2:O$199&lt;=Expiring_Soon!$B$2),ROW(License_Inventory!O$2:O$199),""),ROW()-7)),"")</f>
        <v/>
      </c>
      <c r="F31" s="118" t="str">
        <f t="array" ref="F31">IFERROR(INDEX(License_Inventory!I:I,SMALL(IF((License_Inventory!O$2:O$199&gt;=0)*(License_Inventory!O$2:O$199&lt;=Expiring_Soon!$B$2),ROW(License_Inventory!O$2:O$199),""),ROW()-7)),"")</f>
        <v/>
      </c>
      <c r="G31" s="118" t="str">
        <f t="array" ref="G31">IFERROR(INDEX(License_Inventory!J:J,SMALL(IF((License_Inventory!O$2:O$199&gt;=0)*(License_Inventory!O$2:O$199&lt;=Expiring_Soon!$B$2),ROW(License_Inventory!O$2:O$199),""),ROW()-7)),"")</f>
        <v/>
      </c>
      <c r="H31" s="188" t="str">
        <f t="array" ref="H31">IFERROR(INDEX(License_Inventory!O:O,SMALL(IF((License_Inventory!O$2:O$199&gt;=0)*(License_Inventory!O$2:O$199&lt;=Expiring_Soon!$B$2),ROW(License_Inventory!O$2:O$199),""),ROW()-7)),"")</f>
        <v/>
      </c>
      <c r="I31" s="2" t="str">
        <f t="array" ref="I31">IFERROR(INDEX(License_Inventory!P:P,SMALL(IF((License_Inventory!O$2:O$199&gt;=0)*(License_Inventory!O$2:O$199&lt;=Expiring_Soon!$B$2),ROW(License_Inventory!O$2:O$199),""),ROW()-7)),"")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tr">
        <f t="array" ref="A32">IFERROR(INDEX(License_Inventory!C:C,SMALL(IF((License_Inventory!O$2:O$199&gt;=0)*(License_Inventory!O$2:O$199&lt;=Expiring_Soon!$B$2),ROW(License_Inventory!O$2:O$199),""),ROW()-7)),"")</f>
        <v/>
      </c>
      <c r="B32" s="2" t="str">
        <f t="array" ref="B32">IFERROR(INDEX(License_Inventory!B:B,SMALL(IF((License_Inventory!O$2:O$199&gt;=0)*(License_Inventory!O$2:O$199&lt;=Expiring_Soon!$B$2),ROW(License_Inventory!O$2:O$199),""),ROW()-7)),"")</f>
        <v/>
      </c>
      <c r="C32" s="2" t="str">
        <f t="array" ref="C32">IFERROR(INDEX(License_Inventory!E:E,SMALL(IF((License_Inventory!O$2:O$199&gt;=0)*(License_Inventory!O$2:O$199&lt;=Expiring_Soon!$B$2),ROW(License_Inventory!O$2:O$199),""),ROW()-7)),"")</f>
        <v/>
      </c>
      <c r="D32" s="2" t="str">
        <f t="array" ref="D32">IFERROR(INDEX(License_Inventory!H:H,SMALL(IF((License_Inventory!O$2:O$199&gt;=0)*(License_Inventory!O$2:O$199&lt;=Expiring_Soon!$B$2),ROW(License_Inventory!O$2:O$199),""),ROW()-7)),"")</f>
        <v/>
      </c>
      <c r="E32" s="2" t="str">
        <f t="array" ref="E32">IFERROR(INDEX(License_Inventory!M:M,SMALL(IF((License_Inventory!O$2:O$199&gt;=0)*(License_Inventory!O$2:O$199&lt;=Expiring_Soon!$B$2),ROW(License_Inventory!O$2:O$199),""),ROW()-7)),"")</f>
        <v/>
      </c>
      <c r="F32" s="118" t="str">
        <f t="array" ref="F32">IFERROR(INDEX(License_Inventory!I:I,SMALL(IF((License_Inventory!O$2:O$199&gt;=0)*(License_Inventory!O$2:O$199&lt;=Expiring_Soon!$B$2),ROW(License_Inventory!O$2:O$199),""),ROW()-7)),"")</f>
        <v/>
      </c>
      <c r="G32" s="118" t="str">
        <f t="array" ref="G32">IFERROR(INDEX(License_Inventory!J:J,SMALL(IF((License_Inventory!O$2:O$199&gt;=0)*(License_Inventory!O$2:O$199&lt;=Expiring_Soon!$B$2),ROW(License_Inventory!O$2:O$199),""),ROW()-7)),"")</f>
        <v/>
      </c>
      <c r="H32" s="188" t="str">
        <f t="array" ref="H32">IFERROR(INDEX(License_Inventory!O:O,SMALL(IF((License_Inventory!O$2:O$199&gt;=0)*(License_Inventory!O$2:O$199&lt;=Expiring_Soon!$B$2),ROW(License_Inventory!O$2:O$199),""),ROW()-7)),"")</f>
        <v/>
      </c>
      <c r="I32" s="2" t="str">
        <f t="array" ref="I32">IFERROR(INDEX(License_Inventory!P:P,SMALL(IF((License_Inventory!O$2:O$199&gt;=0)*(License_Inventory!O$2:O$199&lt;=Expiring_Soon!$B$2),ROW(License_Inventory!O$2:O$199),""),ROW()-7)),"")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tr">
        <f t="array" ref="A33">IFERROR(INDEX(License_Inventory!C:C,SMALL(IF((License_Inventory!O$2:O$199&gt;=0)*(License_Inventory!O$2:O$199&lt;=Expiring_Soon!$B$2),ROW(License_Inventory!O$2:O$199),""),ROW()-7)),"")</f>
        <v/>
      </c>
      <c r="B33" s="2" t="str">
        <f t="array" ref="B33">IFERROR(INDEX(License_Inventory!B:B,SMALL(IF((License_Inventory!O$2:O$199&gt;=0)*(License_Inventory!O$2:O$199&lt;=Expiring_Soon!$B$2),ROW(License_Inventory!O$2:O$199),""),ROW()-7)),"")</f>
        <v/>
      </c>
      <c r="C33" s="2" t="str">
        <f t="array" ref="C33">IFERROR(INDEX(License_Inventory!E:E,SMALL(IF((License_Inventory!O$2:O$199&gt;=0)*(License_Inventory!O$2:O$199&lt;=Expiring_Soon!$B$2),ROW(License_Inventory!O$2:O$199),""),ROW()-7)),"")</f>
        <v/>
      </c>
      <c r="D33" s="2" t="str">
        <f t="array" ref="D33">IFERROR(INDEX(License_Inventory!H:H,SMALL(IF((License_Inventory!O$2:O$199&gt;=0)*(License_Inventory!O$2:O$199&lt;=Expiring_Soon!$B$2),ROW(License_Inventory!O$2:O$199),""),ROW()-7)),"")</f>
        <v/>
      </c>
      <c r="E33" s="2" t="str">
        <f t="array" ref="E33">IFERROR(INDEX(License_Inventory!M:M,SMALL(IF((License_Inventory!O$2:O$199&gt;=0)*(License_Inventory!O$2:O$199&lt;=Expiring_Soon!$B$2),ROW(License_Inventory!O$2:O$199),""),ROW()-7)),"")</f>
        <v/>
      </c>
      <c r="F33" s="118" t="str">
        <f t="array" ref="F33">IFERROR(INDEX(License_Inventory!I:I,SMALL(IF((License_Inventory!O$2:O$199&gt;=0)*(License_Inventory!O$2:O$199&lt;=Expiring_Soon!$B$2),ROW(License_Inventory!O$2:O$199),""),ROW()-7)),"")</f>
        <v/>
      </c>
      <c r="G33" s="118" t="str">
        <f t="array" ref="G33">IFERROR(INDEX(License_Inventory!J:J,SMALL(IF((License_Inventory!O$2:O$199&gt;=0)*(License_Inventory!O$2:O$199&lt;=Expiring_Soon!$B$2),ROW(License_Inventory!O$2:O$199),""),ROW()-7)),"")</f>
        <v/>
      </c>
      <c r="H33" s="188" t="str">
        <f t="array" ref="H33">IFERROR(INDEX(License_Inventory!O:O,SMALL(IF((License_Inventory!O$2:O$199&gt;=0)*(License_Inventory!O$2:O$199&lt;=Expiring_Soon!$B$2),ROW(License_Inventory!O$2:O$199),""),ROW()-7)),"")</f>
        <v/>
      </c>
      <c r="I33" s="2" t="str">
        <f t="array" ref="I33">IFERROR(INDEX(License_Inventory!P:P,SMALL(IF((License_Inventory!O$2:O$199&gt;=0)*(License_Inventory!O$2:O$199&lt;=Expiring_Soon!$B$2),ROW(License_Inventory!O$2:O$199),""),ROW()-7)),"")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tr">
        <f t="array" ref="A34">IFERROR(INDEX(License_Inventory!C:C,SMALL(IF((License_Inventory!O$2:O$199&gt;=0)*(License_Inventory!O$2:O$199&lt;=Expiring_Soon!$B$2),ROW(License_Inventory!O$2:O$199),""),ROW()-7)),"")</f>
        <v/>
      </c>
      <c r="B34" s="2" t="str">
        <f t="array" ref="B34">IFERROR(INDEX(License_Inventory!B:B,SMALL(IF((License_Inventory!O$2:O$199&gt;=0)*(License_Inventory!O$2:O$199&lt;=Expiring_Soon!$B$2),ROW(License_Inventory!O$2:O$199),""),ROW()-7)),"")</f>
        <v/>
      </c>
      <c r="C34" s="2" t="str">
        <f t="array" ref="C34">IFERROR(INDEX(License_Inventory!E:E,SMALL(IF((License_Inventory!O$2:O$199&gt;=0)*(License_Inventory!O$2:O$199&lt;=Expiring_Soon!$B$2),ROW(License_Inventory!O$2:O$199),""),ROW()-7)),"")</f>
        <v/>
      </c>
      <c r="D34" s="2" t="str">
        <f t="array" ref="D34">IFERROR(INDEX(License_Inventory!H:H,SMALL(IF((License_Inventory!O$2:O$199&gt;=0)*(License_Inventory!O$2:O$199&lt;=Expiring_Soon!$B$2),ROW(License_Inventory!O$2:O$199),""),ROW()-7)),"")</f>
        <v/>
      </c>
      <c r="E34" s="2" t="str">
        <f t="array" ref="E34">IFERROR(INDEX(License_Inventory!M:M,SMALL(IF((License_Inventory!O$2:O$199&gt;=0)*(License_Inventory!O$2:O$199&lt;=Expiring_Soon!$B$2),ROW(License_Inventory!O$2:O$199),""),ROW()-7)),"")</f>
        <v/>
      </c>
      <c r="F34" s="118" t="str">
        <f t="array" ref="F34">IFERROR(INDEX(License_Inventory!I:I,SMALL(IF((License_Inventory!O$2:O$199&gt;=0)*(License_Inventory!O$2:O$199&lt;=Expiring_Soon!$B$2),ROW(License_Inventory!O$2:O$199),""),ROW()-7)),"")</f>
        <v/>
      </c>
      <c r="G34" s="118" t="str">
        <f t="array" ref="G34">IFERROR(INDEX(License_Inventory!J:J,SMALL(IF((License_Inventory!O$2:O$199&gt;=0)*(License_Inventory!O$2:O$199&lt;=Expiring_Soon!$B$2),ROW(License_Inventory!O$2:O$199),""),ROW()-7)),"")</f>
        <v/>
      </c>
      <c r="H34" s="188" t="str">
        <f t="array" ref="H34">IFERROR(INDEX(License_Inventory!O:O,SMALL(IF((License_Inventory!O$2:O$199&gt;=0)*(License_Inventory!O$2:O$199&lt;=Expiring_Soon!$B$2),ROW(License_Inventory!O$2:O$199),""),ROW()-7)),"")</f>
        <v/>
      </c>
      <c r="I34" s="2" t="str">
        <f t="array" ref="I34">IFERROR(INDEX(License_Inventory!P:P,SMALL(IF((License_Inventory!O$2:O$199&gt;=0)*(License_Inventory!O$2:O$199&lt;=Expiring_Soon!$B$2),ROW(License_Inventory!O$2:O$199),""),ROW()-7)),"")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tr">
        <f t="array" ref="A35">IFERROR(INDEX(License_Inventory!C:C,SMALL(IF((License_Inventory!O$2:O$199&gt;=0)*(License_Inventory!O$2:O$199&lt;=Expiring_Soon!$B$2),ROW(License_Inventory!O$2:O$199),""),ROW()-7)),"")</f>
        <v/>
      </c>
      <c r="B35" s="2" t="str">
        <f t="array" ref="B35">IFERROR(INDEX(License_Inventory!B:B,SMALL(IF((License_Inventory!O$2:O$199&gt;=0)*(License_Inventory!O$2:O$199&lt;=Expiring_Soon!$B$2),ROW(License_Inventory!O$2:O$199),""),ROW()-7)),"")</f>
        <v/>
      </c>
      <c r="C35" s="2" t="str">
        <f t="array" ref="C35">IFERROR(INDEX(License_Inventory!E:E,SMALL(IF((License_Inventory!O$2:O$199&gt;=0)*(License_Inventory!O$2:O$199&lt;=Expiring_Soon!$B$2),ROW(License_Inventory!O$2:O$199),""),ROW()-7)),"")</f>
        <v/>
      </c>
      <c r="D35" s="2" t="str">
        <f t="array" ref="D35">IFERROR(INDEX(License_Inventory!H:H,SMALL(IF((License_Inventory!O$2:O$199&gt;=0)*(License_Inventory!O$2:O$199&lt;=Expiring_Soon!$B$2),ROW(License_Inventory!O$2:O$199),""),ROW()-7)),"")</f>
        <v/>
      </c>
      <c r="E35" s="2" t="str">
        <f t="array" ref="E35">IFERROR(INDEX(License_Inventory!M:M,SMALL(IF((License_Inventory!O$2:O$199&gt;=0)*(License_Inventory!O$2:O$199&lt;=Expiring_Soon!$B$2),ROW(License_Inventory!O$2:O$199),""),ROW()-7)),"")</f>
        <v/>
      </c>
      <c r="F35" s="118" t="str">
        <f t="array" ref="F35">IFERROR(INDEX(License_Inventory!I:I,SMALL(IF((License_Inventory!O$2:O$199&gt;=0)*(License_Inventory!O$2:O$199&lt;=Expiring_Soon!$B$2),ROW(License_Inventory!O$2:O$199),""),ROW()-7)),"")</f>
        <v/>
      </c>
      <c r="G35" s="118" t="str">
        <f t="array" ref="G35">IFERROR(INDEX(License_Inventory!J:J,SMALL(IF((License_Inventory!O$2:O$199&gt;=0)*(License_Inventory!O$2:O$199&lt;=Expiring_Soon!$B$2),ROW(License_Inventory!O$2:O$199),""),ROW()-7)),"")</f>
        <v/>
      </c>
      <c r="H35" s="188" t="str">
        <f t="array" ref="H35">IFERROR(INDEX(License_Inventory!O:O,SMALL(IF((License_Inventory!O$2:O$199&gt;=0)*(License_Inventory!O$2:O$199&lt;=Expiring_Soon!$B$2),ROW(License_Inventory!O$2:O$199),""),ROW()-7)),"")</f>
        <v/>
      </c>
      <c r="I35" s="2" t="str">
        <f t="array" ref="I35">IFERROR(INDEX(License_Inventory!P:P,SMALL(IF((License_Inventory!O$2:O$199&gt;=0)*(License_Inventory!O$2:O$199&lt;=Expiring_Soon!$B$2),ROW(License_Inventory!O$2:O$199),""),ROW()-7)),"")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tr">
        <f t="array" ref="A36">IFERROR(INDEX(License_Inventory!C:C,SMALL(IF((License_Inventory!O$2:O$199&gt;=0)*(License_Inventory!O$2:O$199&lt;=Expiring_Soon!$B$2),ROW(License_Inventory!O$2:O$199),""),ROW()-7)),"")</f>
        <v/>
      </c>
      <c r="B36" s="2" t="str">
        <f t="array" ref="B36">IFERROR(INDEX(License_Inventory!B:B,SMALL(IF((License_Inventory!O$2:O$199&gt;=0)*(License_Inventory!O$2:O$199&lt;=Expiring_Soon!$B$2),ROW(License_Inventory!O$2:O$199),""),ROW()-7)),"")</f>
        <v/>
      </c>
      <c r="C36" s="2" t="str">
        <f t="array" ref="C36">IFERROR(INDEX(License_Inventory!E:E,SMALL(IF((License_Inventory!O$2:O$199&gt;=0)*(License_Inventory!O$2:O$199&lt;=Expiring_Soon!$B$2),ROW(License_Inventory!O$2:O$199),""),ROW()-7)),"")</f>
        <v/>
      </c>
      <c r="D36" s="2" t="str">
        <f t="array" ref="D36">IFERROR(INDEX(License_Inventory!H:H,SMALL(IF((License_Inventory!O$2:O$199&gt;=0)*(License_Inventory!O$2:O$199&lt;=Expiring_Soon!$B$2),ROW(License_Inventory!O$2:O$199),""),ROW()-7)),"")</f>
        <v/>
      </c>
      <c r="E36" s="2" t="str">
        <f t="array" ref="E36">IFERROR(INDEX(License_Inventory!M:M,SMALL(IF((License_Inventory!O$2:O$199&gt;=0)*(License_Inventory!O$2:O$199&lt;=Expiring_Soon!$B$2),ROW(License_Inventory!O$2:O$199),""),ROW()-7)),"")</f>
        <v/>
      </c>
      <c r="F36" s="118" t="str">
        <f t="array" ref="F36">IFERROR(INDEX(License_Inventory!I:I,SMALL(IF((License_Inventory!O$2:O$199&gt;=0)*(License_Inventory!O$2:O$199&lt;=Expiring_Soon!$B$2),ROW(License_Inventory!O$2:O$199),""),ROW()-7)),"")</f>
        <v/>
      </c>
      <c r="G36" s="118" t="str">
        <f t="array" ref="G36">IFERROR(INDEX(License_Inventory!J:J,SMALL(IF((License_Inventory!O$2:O$199&gt;=0)*(License_Inventory!O$2:O$199&lt;=Expiring_Soon!$B$2),ROW(License_Inventory!O$2:O$199),""),ROW()-7)),"")</f>
        <v/>
      </c>
      <c r="H36" s="2" t="str">
        <f t="array" ref="H36">IFERROR(INDEX(License_Inventory!O:O,SMALL(IF((License_Inventory!O$2:O$199&gt;=0)*(License_Inventory!O$2:O$199&lt;=Expiring_Soon!$B$2),ROW(License_Inventory!O$2:O$199),""),ROW()-7)),"")</f>
        <v/>
      </c>
      <c r="I36" s="2" t="str">
        <f t="array" ref="I36">IFERROR(INDEX(License_Inventory!P:P,SMALL(IF((License_Inventory!O$2:O$199&gt;=0)*(License_Inventory!O$2:O$199&lt;=Expiring_Soon!$B$2),ROW(License_Inventory!O$2:O$199),""),ROW()-7)),"")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tr">
        <f t="array" ref="A37">IFERROR(INDEX(License_Inventory!C:C,SMALL(IF((License_Inventory!O$2:O$199&gt;=0)*(License_Inventory!O$2:O$199&lt;=Expiring_Soon!$B$2),ROW(License_Inventory!O$2:O$199),""),ROW()-7)),"")</f>
        <v/>
      </c>
      <c r="B37" s="2" t="str">
        <f t="array" ref="B37">IFERROR(INDEX(License_Inventory!B:B,SMALL(IF((License_Inventory!O$2:O$199&gt;=0)*(License_Inventory!O$2:O$199&lt;=Expiring_Soon!$B$2),ROW(License_Inventory!O$2:O$199),""),ROW()-7)),"")</f>
        <v/>
      </c>
      <c r="C37" s="2" t="str">
        <f t="array" ref="C37">IFERROR(INDEX(License_Inventory!E:E,SMALL(IF((License_Inventory!O$2:O$199&gt;=0)*(License_Inventory!O$2:O$199&lt;=Expiring_Soon!$B$2),ROW(License_Inventory!O$2:O$199),""),ROW()-7)),"")</f>
        <v/>
      </c>
      <c r="D37" s="2" t="str">
        <f t="array" ref="D37">IFERROR(INDEX(License_Inventory!H:H,SMALL(IF((License_Inventory!O$2:O$199&gt;=0)*(License_Inventory!O$2:O$199&lt;=Expiring_Soon!$B$2),ROW(License_Inventory!O$2:O$199),""),ROW()-7)),"")</f>
        <v/>
      </c>
      <c r="E37" s="2" t="str">
        <f t="array" ref="E37">IFERROR(INDEX(License_Inventory!M:M,SMALL(IF((License_Inventory!O$2:O$199&gt;=0)*(License_Inventory!O$2:O$199&lt;=Expiring_Soon!$B$2),ROW(License_Inventory!O$2:O$199),""),ROW()-7)),"")</f>
        <v/>
      </c>
      <c r="F37" s="118" t="str">
        <f t="array" ref="F37">IFERROR(INDEX(License_Inventory!I:I,SMALL(IF((License_Inventory!O$2:O$199&gt;=0)*(License_Inventory!O$2:O$199&lt;=Expiring_Soon!$B$2),ROW(License_Inventory!O$2:O$199),""),ROW()-7)),"")</f>
        <v/>
      </c>
      <c r="G37" s="118" t="str">
        <f t="array" ref="G37">IFERROR(INDEX(License_Inventory!J:J,SMALL(IF((License_Inventory!O$2:O$199&gt;=0)*(License_Inventory!O$2:O$199&lt;=Expiring_Soon!$B$2),ROW(License_Inventory!O$2:O$199),""),ROW()-7)),"")</f>
        <v/>
      </c>
      <c r="H37" s="2" t="str">
        <f t="array" ref="H37">IFERROR(INDEX(License_Inventory!O:O,SMALL(IF((License_Inventory!O$2:O$199&gt;=0)*(License_Inventory!O$2:O$199&lt;=Expiring_Soon!$B$2),ROW(License_Inventory!O$2:O$199),""),ROW()-7)),"")</f>
        <v/>
      </c>
      <c r="I37" s="2" t="str">
        <f t="array" ref="I37">IFERROR(INDEX(License_Inventory!P:P,SMALL(IF((License_Inventory!O$2:O$199&gt;=0)*(License_Inventory!O$2:O$199&lt;=Expiring_Soon!$B$2),ROW(License_Inventory!O$2:O$199),""),ROW()-7)),"")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tr">
        <f t="array" ref="A38">IFERROR(INDEX(License_Inventory!C:C,SMALL(IF((License_Inventory!O$2:O$199&gt;=0)*(License_Inventory!O$2:O$199&lt;=Expiring_Soon!$B$2),ROW(License_Inventory!O$2:O$199),""),ROW()-7)),"")</f>
        <v/>
      </c>
      <c r="B38" s="2" t="str">
        <f t="array" ref="B38">IFERROR(INDEX(License_Inventory!B:B,SMALL(IF((License_Inventory!O$2:O$199&gt;=0)*(License_Inventory!O$2:O$199&lt;=Expiring_Soon!$B$2),ROW(License_Inventory!O$2:O$199),""),ROW()-7)),"")</f>
        <v/>
      </c>
      <c r="C38" s="2" t="str">
        <f t="array" ref="C38">IFERROR(INDEX(License_Inventory!E:E,SMALL(IF((License_Inventory!O$2:O$199&gt;=0)*(License_Inventory!O$2:O$199&lt;=Expiring_Soon!$B$2),ROW(License_Inventory!O$2:O$199),""),ROW()-7)),"")</f>
        <v/>
      </c>
      <c r="D38" s="2" t="str">
        <f t="array" ref="D38">IFERROR(INDEX(License_Inventory!H:H,SMALL(IF((License_Inventory!O$2:O$199&gt;=0)*(License_Inventory!O$2:O$199&lt;=Expiring_Soon!$B$2),ROW(License_Inventory!O$2:O$199),""),ROW()-7)),"")</f>
        <v/>
      </c>
      <c r="E38" s="2" t="str">
        <f t="array" ref="E38">IFERROR(INDEX(License_Inventory!M:M,SMALL(IF((License_Inventory!O$2:O$199&gt;=0)*(License_Inventory!O$2:O$199&lt;=Expiring_Soon!$B$2),ROW(License_Inventory!O$2:O$199),""),ROW()-7)),"")</f>
        <v/>
      </c>
      <c r="F38" s="118" t="str">
        <f t="array" ref="F38">IFERROR(INDEX(License_Inventory!I:I,SMALL(IF((License_Inventory!O$2:O$199&gt;=0)*(License_Inventory!O$2:O$199&lt;=Expiring_Soon!$B$2),ROW(License_Inventory!O$2:O$199),""),ROW()-7)),"")</f>
        <v/>
      </c>
      <c r="G38" s="118" t="str">
        <f t="array" ref="G38">IFERROR(INDEX(License_Inventory!J:J,SMALL(IF((License_Inventory!O$2:O$199&gt;=0)*(License_Inventory!O$2:O$199&lt;=Expiring_Soon!$B$2),ROW(License_Inventory!O$2:O$199),""),ROW()-7)),"")</f>
        <v/>
      </c>
      <c r="H38" s="2" t="str">
        <f t="array" ref="H38">IFERROR(INDEX(License_Inventory!O:O,SMALL(IF((License_Inventory!O$2:O$199&gt;=0)*(License_Inventory!O$2:O$199&lt;=Expiring_Soon!$B$2),ROW(License_Inventory!O$2:O$199),""),ROW()-7)),"")</f>
        <v/>
      </c>
      <c r="I38" s="2" t="str">
        <f t="array" ref="I38">IFERROR(INDEX(License_Inventory!P:P,SMALL(IF((License_Inventory!O$2:O$199&gt;=0)*(License_Inventory!O$2:O$199&lt;=Expiring_Soon!$B$2),ROW(License_Inventory!O$2:O$199),""),ROW()-7)),"")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tr">
        <f t="array" ref="A39">IFERROR(INDEX(License_Inventory!C:C,SMALL(IF((License_Inventory!O$2:O$199&gt;=0)*(License_Inventory!O$2:O$199&lt;=Expiring_Soon!$B$2),ROW(License_Inventory!O$2:O$199),""),ROW()-7)),"")</f>
        <v/>
      </c>
      <c r="B39" s="2" t="str">
        <f t="array" ref="B39">IFERROR(INDEX(License_Inventory!B:B,SMALL(IF((License_Inventory!O$2:O$199&gt;=0)*(License_Inventory!O$2:O$199&lt;=Expiring_Soon!$B$2),ROW(License_Inventory!O$2:O$199),""),ROW()-7)),"")</f>
        <v/>
      </c>
      <c r="C39" s="2" t="str">
        <f t="array" ref="C39">IFERROR(INDEX(License_Inventory!E:E,SMALL(IF((License_Inventory!O$2:O$199&gt;=0)*(License_Inventory!O$2:O$199&lt;=Expiring_Soon!$B$2),ROW(License_Inventory!O$2:O$199),""),ROW()-7)),"")</f>
        <v/>
      </c>
      <c r="D39" s="2" t="str">
        <f t="array" ref="D39">IFERROR(INDEX(License_Inventory!H:H,SMALL(IF((License_Inventory!O$2:O$199&gt;=0)*(License_Inventory!O$2:O$199&lt;=Expiring_Soon!$B$2),ROW(License_Inventory!O$2:O$199),""),ROW()-7)),"")</f>
        <v/>
      </c>
      <c r="E39" s="2" t="str">
        <f t="array" ref="E39">IFERROR(INDEX(License_Inventory!M:M,SMALL(IF((License_Inventory!O$2:O$199&gt;=0)*(License_Inventory!O$2:O$199&lt;=Expiring_Soon!$B$2),ROW(License_Inventory!O$2:O$199),""),ROW()-7)),"")</f>
        <v/>
      </c>
      <c r="F39" s="118" t="str">
        <f t="array" ref="F39">IFERROR(INDEX(License_Inventory!I:I,SMALL(IF((License_Inventory!O$2:O$199&gt;=0)*(License_Inventory!O$2:O$199&lt;=Expiring_Soon!$B$2),ROW(License_Inventory!O$2:O$199),""),ROW()-7)),"")</f>
        <v/>
      </c>
      <c r="G39" s="118" t="str">
        <f t="array" ref="G39">IFERROR(INDEX(License_Inventory!J:J,SMALL(IF((License_Inventory!O$2:O$199&gt;=0)*(License_Inventory!O$2:O$199&lt;=Expiring_Soon!$B$2),ROW(License_Inventory!O$2:O$199),""),ROW()-7)),"")</f>
        <v/>
      </c>
      <c r="H39" s="2" t="str">
        <f t="array" ref="H39">IFERROR(INDEX(License_Inventory!O:O,SMALL(IF((License_Inventory!O$2:O$199&gt;=0)*(License_Inventory!O$2:O$199&lt;=Expiring_Soon!$B$2),ROW(License_Inventory!O$2:O$199),""),ROW()-7)),"")</f>
        <v/>
      </c>
      <c r="I39" s="2" t="str">
        <f t="array" ref="I39">IFERROR(INDEX(License_Inventory!P:P,SMALL(IF((License_Inventory!O$2:O$199&gt;=0)*(License_Inventory!O$2:O$199&lt;=Expiring_Soon!$B$2),ROW(License_Inventory!O$2:O$199),""),ROW()-7)),"")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tr">
        <f t="array" ref="A40">IFERROR(INDEX(License_Inventory!C:C,SMALL(IF((License_Inventory!O$2:O$199&gt;=0)*(License_Inventory!O$2:O$199&lt;=Expiring_Soon!$B$2),ROW(License_Inventory!O$2:O$199),""),ROW()-7)),"")</f>
        <v/>
      </c>
      <c r="B40" s="2" t="str">
        <f t="array" ref="B40">IFERROR(INDEX(License_Inventory!B:B,SMALL(IF((License_Inventory!O$2:O$199&gt;=0)*(License_Inventory!O$2:O$199&lt;=Expiring_Soon!$B$2),ROW(License_Inventory!O$2:O$199),""),ROW()-7)),"")</f>
        <v/>
      </c>
      <c r="C40" s="2" t="str">
        <f t="array" ref="C40">IFERROR(INDEX(License_Inventory!E:E,SMALL(IF((License_Inventory!O$2:O$199&gt;=0)*(License_Inventory!O$2:O$199&lt;=Expiring_Soon!$B$2),ROW(License_Inventory!O$2:O$199),""),ROW()-7)),"")</f>
        <v/>
      </c>
      <c r="D40" s="2" t="str">
        <f t="array" ref="D40">IFERROR(INDEX(License_Inventory!H:H,SMALL(IF((License_Inventory!O$2:O$199&gt;=0)*(License_Inventory!O$2:O$199&lt;=Expiring_Soon!$B$2),ROW(License_Inventory!O$2:O$199),""),ROW()-7)),"")</f>
        <v/>
      </c>
      <c r="E40" s="2" t="str">
        <f t="array" ref="E40">IFERROR(INDEX(License_Inventory!M:M,SMALL(IF((License_Inventory!O$2:O$199&gt;=0)*(License_Inventory!O$2:O$199&lt;=Expiring_Soon!$B$2),ROW(License_Inventory!O$2:O$199),""),ROW()-7)),"")</f>
        <v/>
      </c>
      <c r="F40" s="118" t="str">
        <f t="array" ref="F40">IFERROR(INDEX(License_Inventory!I:I,SMALL(IF((License_Inventory!O$2:O$199&gt;=0)*(License_Inventory!O$2:O$199&lt;=Expiring_Soon!$B$2),ROW(License_Inventory!O$2:O$199),""),ROW()-7)),"")</f>
        <v/>
      </c>
      <c r="G40" s="118" t="str">
        <f t="array" ref="G40">IFERROR(INDEX(License_Inventory!J:J,SMALL(IF((License_Inventory!O$2:O$199&gt;=0)*(License_Inventory!O$2:O$199&lt;=Expiring_Soon!$B$2),ROW(License_Inventory!O$2:O$199),""),ROW()-7)),"")</f>
        <v/>
      </c>
      <c r="H40" s="2" t="str">
        <f t="array" ref="H40">IFERROR(INDEX(License_Inventory!O:O,SMALL(IF((License_Inventory!O$2:O$199&gt;=0)*(License_Inventory!O$2:O$199&lt;=Expiring_Soon!$B$2),ROW(License_Inventory!O$2:O$199),""),ROW()-7)),"")</f>
        <v/>
      </c>
      <c r="I40" s="2" t="str">
        <f t="array" ref="I40">IFERROR(INDEX(License_Inventory!P:P,SMALL(IF((License_Inventory!O$2:O$199&gt;=0)*(License_Inventory!O$2:O$199&lt;=Expiring_Soon!$B$2),ROW(License_Inventory!O$2:O$199),""),ROW()-7)),"")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tr">
        <f t="array" ref="A41">IFERROR(INDEX(License_Inventory!C:C,SMALL(IF((License_Inventory!O$2:O$199&gt;=0)*(License_Inventory!O$2:O$199&lt;=Expiring_Soon!$B$2),ROW(License_Inventory!O$2:O$199),""),ROW()-7)),"")</f>
        <v/>
      </c>
      <c r="B41" s="2" t="str">
        <f t="array" ref="B41">IFERROR(INDEX(License_Inventory!B:B,SMALL(IF((License_Inventory!O$2:O$199&gt;=0)*(License_Inventory!O$2:O$199&lt;=Expiring_Soon!$B$2),ROW(License_Inventory!O$2:O$199),""),ROW()-7)),"")</f>
        <v/>
      </c>
      <c r="C41" s="2" t="str">
        <f t="array" ref="C41">IFERROR(INDEX(License_Inventory!E:E,SMALL(IF((License_Inventory!O$2:O$199&gt;=0)*(License_Inventory!O$2:O$199&lt;=Expiring_Soon!$B$2),ROW(License_Inventory!O$2:O$199),""),ROW()-7)),"")</f>
        <v/>
      </c>
      <c r="D41" s="2" t="str">
        <f t="array" ref="D41">IFERROR(INDEX(License_Inventory!H:H,SMALL(IF((License_Inventory!O$2:O$199&gt;=0)*(License_Inventory!O$2:O$199&lt;=Expiring_Soon!$B$2),ROW(License_Inventory!O$2:O$199),""),ROW()-7)),"")</f>
        <v/>
      </c>
      <c r="E41" s="2" t="str">
        <f t="array" ref="E41">IFERROR(INDEX(License_Inventory!M:M,SMALL(IF((License_Inventory!O$2:O$199&gt;=0)*(License_Inventory!O$2:O$199&lt;=Expiring_Soon!$B$2),ROW(License_Inventory!O$2:O$199),""),ROW()-7)),"")</f>
        <v/>
      </c>
      <c r="F41" s="118" t="str">
        <f t="array" ref="F41">IFERROR(INDEX(License_Inventory!I:I,SMALL(IF((License_Inventory!O$2:O$199&gt;=0)*(License_Inventory!O$2:O$199&lt;=Expiring_Soon!$B$2),ROW(License_Inventory!O$2:O$199),""),ROW()-7)),"")</f>
        <v/>
      </c>
      <c r="G41" s="118" t="str">
        <f t="array" ref="G41">IFERROR(INDEX(License_Inventory!J:J,SMALL(IF((License_Inventory!O$2:O$199&gt;=0)*(License_Inventory!O$2:O$199&lt;=Expiring_Soon!$B$2),ROW(License_Inventory!O$2:O$199),""),ROW()-7)),"")</f>
        <v/>
      </c>
      <c r="H41" s="2" t="str">
        <f t="array" ref="H41">IFERROR(INDEX(License_Inventory!O:O,SMALL(IF((License_Inventory!O$2:O$199&gt;=0)*(License_Inventory!O$2:O$199&lt;=Expiring_Soon!$B$2),ROW(License_Inventory!O$2:O$199),""),ROW()-7)),"")</f>
        <v/>
      </c>
      <c r="I41" s="2" t="str">
        <f t="array" ref="I41">IFERROR(INDEX(License_Inventory!P:P,SMALL(IF((License_Inventory!O$2:O$199&gt;=0)*(License_Inventory!O$2:O$199&lt;=Expiring_Soon!$B$2),ROW(License_Inventory!O$2:O$199),""),ROW()-7)),"")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tr">
        <f t="array" ref="A42">IFERROR(INDEX(License_Inventory!C:C,SMALL(IF((License_Inventory!O$2:O$199&gt;=0)*(License_Inventory!O$2:O$199&lt;=Expiring_Soon!$B$2),ROW(License_Inventory!O$2:O$199),""),ROW()-7)),"")</f>
        <v/>
      </c>
      <c r="B42" s="2" t="str">
        <f t="array" ref="B42">IFERROR(INDEX(License_Inventory!B:B,SMALL(IF((License_Inventory!O$2:O$199&gt;=0)*(License_Inventory!O$2:O$199&lt;=Expiring_Soon!$B$2),ROW(License_Inventory!O$2:O$199),""),ROW()-7)),"")</f>
        <v/>
      </c>
      <c r="C42" s="2" t="str">
        <f t="array" ref="C42">IFERROR(INDEX(License_Inventory!E:E,SMALL(IF((License_Inventory!O$2:O$199&gt;=0)*(License_Inventory!O$2:O$199&lt;=Expiring_Soon!$B$2),ROW(License_Inventory!O$2:O$199),""),ROW()-7)),"")</f>
        <v/>
      </c>
      <c r="D42" s="2" t="str">
        <f t="array" ref="D42">IFERROR(INDEX(License_Inventory!H:H,SMALL(IF((License_Inventory!O$2:O$199&gt;=0)*(License_Inventory!O$2:O$199&lt;=Expiring_Soon!$B$2),ROW(License_Inventory!O$2:O$199),""),ROW()-7)),"")</f>
        <v/>
      </c>
      <c r="E42" s="2" t="str">
        <f t="array" ref="E42">IFERROR(INDEX(License_Inventory!M:M,SMALL(IF((License_Inventory!O$2:O$199&gt;=0)*(License_Inventory!O$2:O$199&lt;=Expiring_Soon!$B$2),ROW(License_Inventory!O$2:O$199),""),ROW()-7)),"")</f>
        <v/>
      </c>
      <c r="F42" s="118" t="str">
        <f t="array" ref="F42">IFERROR(INDEX(License_Inventory!I:I,SMALL(IF((License_Inventory!O$2:O$199&gt;=0)*(License_Inventory!O$2:O$199&lt;=Expiring_Soon!$B$2),ROW(License_Inventory!O$2:O$199),""),ROW()-7)),"")</f>
        <v/>
      </c>
      <c r="G42" s="118" t="str">
        <f t="array" ref="G42">IFERROR(INDEX(License_Inventory!J:J,SMALL(IF((License_Inventory!O$2:O$199&gt;=0)*(License_Inventory!O$2:O$199&lt;=Expiring_Soon!$B$2),ROW(License_Inventory!O$2:O$199),""),ROW()-7)),"")</f>
        <v/>
      </c>
      <c r="H42" s="2" t="str">
        <f t="array" ref="H42">IFERROR(INDEX(License_Inventory!O:O,SMALL(IF((License_Inventory!O$2:O$199&gt;=0)*(License_Inventory!O$2:O$199&lt;=Expiring_Soon!$B$2),ROW(License_Inventory!O$2:O$199),""),ROW()-7)),"")</f>
        <v/>
      </c>
      <c r="I42" s="2" t="str">
        <f t="array" ref="I42">IFERROR(INDEX(License_Inventory!P:P,SMALL(IF((License_Inventory!O$2:O$199&gt;=0)*(License_Inventory!O$2:O$199&lt;=Expiring_Soon!$B$2),ROW(License_Inventory!O$2:O$199),""),ROW()-7)),"")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tr">
        <f t="array" ref="A43">IFERROR(INDEX(License_Inventory!C:C,SMALL(IF((License_Inventory!O$2:O$199&gt;=0)*(License_Inventory!O$2:O$199&lt;=Expiring_Soon!$B$2),ROW(License_Inventory!O$2:O$199),""),ROW()-7)),"")</f>
        <v/>
      </c>
      <c r="B43" s="2" t="str">
        <f t="array" ref="B43">IFERROR(INDEX(License_Inventory!B:B,SMALL(IF((License_Inventory!O$2:O$199&gt;=0)*(License_Inventory!O$2:O$199&lt;=Expiring_Soon!$B$2),ROW(License_Inventory!O$2:O$199),""),ROW()-7)),"")</f>
        <v/>
      </c>
      <c r="C43" s="2" t="str">
        <f t="array" ref="C43">IFERROR(INDEX(License_Inventory!E:E,SMALL(IF((License_Inventory!O$2:O$199&gt;=0)*(License_Inventory!O$2:O$199&lt;=Expiring_Soon!$B$2),ROW(License_Inventory!O$2:O$199),""),ROW()-7)),"")</f>
        <v/>
      </c>
      <c r="D43" s="2" t="str">
        <f t="array" ref="D43">IFERROR(INDEX(License_Inventory!H:H,SMALL(IF((License_Inventory!O$2:O$199&gt;=0)*(License_Inventory!O$2:O$199&lt;=Expiring_Soon!$B$2),ROW(License_Inventory!O$2:O$199),""),ROW()-7)),"")</f>
        <v/>
      </c>
      <c r="E43" s="2" t="str">
        <f t="array" ref="E43">IFERROR(INDEX(License_Inventory!M:M,SMALL(IF((License_Inventory!O$2:O$199&gt;=0)*(License_Inventory!O$2:O$199&lt;=Expiring_Soon!$B$2),ROW(License_Inventory!O$2:O$199),""),ROW()-7)),"")</f>
        <v/>
      </c>
      <c r="F43" s="118" t="str">
        <f t="array" ref="F43">IFERROR(INDEX(License_Inventory!I:I,SMALL(IF((License_Inventory!O$2:O$199&gt;=0)*(License_Inventory!O$2:O$199&lt;=Expiring_Soon!$B$2),ROW(License_Inventory!O$2:O$199),""),ROW()-7)),"")</f>
        <v/>
      </c>
      <c r="G43" s="118" t="str">
        <f t="array" ref="G43">IFERROR(INDEX(License_Inventory!J:J,SMALL(IF((License_Inventory!O$2:O$199&gt;=0)*(License_Inventory!O$2:O$199&lt;=Expiring_Soon!$B$2),ROW(License_Inventory!O$2:O$199),""),ROW()-7)),"")</f>
        <v/>
      </c>
      <c r="H43" s="2" t="str">
        <f t="array" ref="H43">IFERROR(INDEX(License_Inventory!O:O,SMALL(IF((License_Inventory!O$2:O$199&gt;=0)*(License_Inventory!O$2:O$199&lt;=Expiring_Soon!$B$2),ROW(License_Inventory!O$2:O$199),""),ROW()-7)),"")</f>
        <v/>
      </c>
      <c r="I43" s="2" t="str">
        <f t="array" ref="I43">IFERROR(INDEX(License_Inventory!P:P,SMALL(IF((License_Inventory!O$2:O$199&gt;=0)*(License_Inventory!O$2:O$199&lt;=Expiring_Soon!$B$2),ROW(License_Inventory!O$2:O$199),""),ROW()-7)),"")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tr">
        <f t="array" ref="A44">IFERROR(INDEX(License_Inventory!C:C,SMALL(IF((License_Inventory!O$2:O$199&gt;=0)*(License_Inventory!O$2:O$199&lt;=Expiring_Soon!$B$2),ROW(License_Inventory!O$2:O$199),""),ROW()-7)),"")</f>
        <v/>
      </c>
      <c r="B44" s="2" t="str">
        <f t="array" ref="B44">IFERROR(INDEX(License_Inventory!B:B,SMALL(IF((License_Inventory!O$2:O$199&gt;=0)*(License_Inventory!O$2:O$199&lt;=Expiring_Soon!$B$2),ROW(License_Inventory!O$2:O$199),""),ROW()-7)),"")</f>
        <v/>
      </c>
      <c r="C44" s="2" t="str">
        <f t="array" ref="C44">IFERROR(INDEX(License_Inventory!E:E,SMALL(IF((License_Inventory!O$2:O$199&gt;=0)*(License_Inventory!O$2:O$199&lt;=Expiring_Soon!$B$2),ROW(License_Inventory!O$2:O$199),""),ROW()-7)),"")</f>
        <v/>
      </c>
      <c r="D44" s="2" t="str">
        <f t="array" ref="D44">IFERROR(INDEX(License_Inventory!H:H,SMALL(IF((License_Inventory!O$2:O$199&gt;=0)*(License_Inventory!O$2:O$199&lt;=Expiring_Soon!$B$2),ROW(License_Inventory!O$2:O$199),""),ROW()-7)),"")</f>
        <v/>
      </c>
      <c r="E44" s="2" t="str">
        <f t="array" ref="E44">IFERROR(INDEX(License_Inventory!M:M,SMALL(IF((License_Inventory!O$2:O$199&gt;=0)*(License_Inventory!O$2:O$199&lt;=Expiring_Soon!$B$2),ROW(License_Inventory!O$2:O$199),""),ROW()-7)),"")</f>
        <v/>
      </c>
      <c r="F44" s="118" t="str">
        <f t="array" ref="F44">IFERROR(INDEX(License_Inventory!I:I,SMALL(IF((License_Inventory!O$2:O$199&gt;=0)*(License_Inventory!O$2:O$199&lt;=Expiring_Soon!$B$2),ROW(License_Inventory!O$2:O$199),""),ROW()-7)),"")</f>
        <v/>
      </c>
      <c r="G44" s="118" t="str">
        <f t="array" ref="G44">IFERROR(INDEX(License_Inventory!J:J,SMALL(IF((License_Inventory!O$2:O$199&gt;=0)*(License_Inventory!O$2:O$199&lt;=Expiring_Soon!$B$2),ROW(License_Inventory!O$2:O$199),""),ROW()-7)),"")</f>
        <v/>
      </c>
      <c r="H44" s="2" t="str">
        <f t="array" ref="H44">IFERROR(INDEX(License_Inventory!O:O,SMALL(IF((License_Inventory!O$2:O$199&gt;=0)*(License_Inventory!O$2:O$199&lt;=Expiring_Soon!$B$2),ROW(License_Inventory!O$2:O$199),""),ROW()-7)),"")</f>
        <v/>
      </c>
      <c r="I44" s="2" t="str">
        <f t="array" ref="I44">IFERROR(INDEX(License_Inventory!P:P,SMALL(IF((License_Inventory!O$2:O$199&gt;=0)*(License_Inventory!O$2:O$199&lt;=Expiring_Soon!$B$2),ROW(License_Inventory!O$2:O$199),""),ROW()-7)),"")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tr">
        <f t="array" ref="A45">IFERROR(INDEX(License_Inventory!C:C,SMALL(IF((License_Inventory!O$2:O$199&gt;=0)*(License_Inventory!O$2:O$199&lt;=Expiring_Soon!$B$2),ROW(License_Inventory!O$2:O$199),""),ROW()-7)),"")</f>
        <v/>
      </c>
      <c r="B45" s="2" t="str">
        <f t="array" ref="B45">IFERROR(INDEX(License_Inventory!B:B,SMALL(IF((License_Inventory!O$2:O$199&gt;=0)*(License_Inventory!O$2:O$199&lt;=Expiring_Soon!$B$2),ROW(License_Inventory!O$2:O$199),""),ROW()-7)),"")</f>
        <v/>
      </c>
      <c r="C45" s="2" t="str">
        <f t="array" ref="C45">IFERROR(INDEX(License_Inventory!E:E,SMALL(IF((License_Inventory!O$2:O$199&gt;=0)*(License_Inventory!O$2:O$199&lt;=Expiring_Soon!$B$2),ROW(License_Inventory!O$2:O$199),""),ROW()-7)),"")</f>
        <v/>
      </c>
      <c r="D45" s="2" t="str">
        <f t="array" ref="D45">IFERROR(INDEX(License_Inventory!H:H,SMALL(IF((License_Inventory!O$2:O$199&gt;=0)*(License_Inventory!O$2:O$199&lt;=Expiring_Soon!$B$2),ROW(License_Inventory!O$2:O$199),""),ROW()-7)),"")</f>
        <v/>
      </c>
      <c r="E45" s="2" t="str">
        <f t="array" ref="E45">IFERROR(INDEX(License_Inventory!M:M,SMALL(IF((License_Inventory!O$2:O$199&gt;=0)*(License_Inventory!O$2:O$199&lt;=Expiring_Soon!$B$2),ROW(License_Inventory!O$2:O$199),""),ROW()-7)),"")</f>
        <v/>
      </c>
      <c r="F45" s="118" t="str">
        <f t="array" ref="F45">IFERROR(INDEX(License_Inventory!I:I,SMALL(IF((License_Inventory!O$2:O$199&gt;=0)*(License_Inventory!O$2:O$199&lt;=Expiring_Soon!$B$2),ROW(License_Inventory!O$2:O$199),""),ROW()-7)),"")</f>
        <v/>
      </c>
      <c r="G45" s="118" t="str">
        <f t="array" ref="G45">IFERROR(INDEX(License_Inventory!J:J,SMALL(IF((License_Inventory!O$2:O$199&gt;=0)*(License_Inventory!O$2:O$199&lt;=Expiring_Soon!$B$2),ROW(License_Inventory!O$2:O$199),""),ROW()-7)),"")</f>
        <v/>
      </c>
      <c r="H45" s="2" t="str">
        <f t="array" ref="H45">IFERROR(INDEX(License_Inventory!O:O,SMALL(IF((License_Inventory!O$2:O$199&gt;=0)*(License_Inventory!O$2:O$199&lt;=Expiring_Soon!$B$2),ROW(License_Inventory!O$2:O$199),""),ROW()-7)),"")</f>
        <v/>
      </c>
      <c r="I45" s="2" t="str">
        <f t="array" ref="I45">IFERROR(INDEX(License_Inventory!P:P,SMALL(IF((License_Inventory!O$2:O$199&gt;=0)*(License_Inventory!O$2:O$199&lt;=Expiring_Soon!$B$2),ROW(License_Inventory!O$2:O$199),""),ROW()-7)),"")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tr">
        <f t="array" ref="A46">IFERROR(INDEX(License_Inventory!C:C,SMALL(IF((License_Inventory!O$2:O$199&gt;=0)*(License_Inventory!O$2:O$199&lt;=Expiring_Soon!$B$2),ROW(License_Inventory!O$2:O$199),""),ROW()-7)),"")</f>
        <v/>
      </c>
      <c r="B46" s="2" t="str">
        <f t="array" ref="B46">IFERROR(INDEX(License_Inventory!B:B,SMALL(IF((License_Inventory!O$2:O$199&gt;=0)*(License_Inventory!O$2:O$199&lt;=Expiring_Soon!$B$2),ROW(License_Inventory!O$2:O$199),""),ROW()-7)),"")</f>
        <v/>
      </c>
      <c r="C46" s="2" t="str">
        <f t="array" ref="C46">IFERROR(INDEX(License_Inventory!E:E,SMALL(IF((License_Inventory!O$2:O$199&gt;=0)*(License_Inventory!O$2:O$199&lt;=Expiring_Soon!$B$2),ROW(License_Inventory!O$2:O$199),""),ROW()-7)),"")</f>
        <v/>
      </c>
      <c r="D46" s="2" t="str">
        <f t="array" ref="D46">IFERROR(INDEX(License_Inventory!H:H,SMALL(IF((License_Inventory!O$2:O$199&gt;=0)*(License_Inventory!O$2:O$199&lt;=Expiring_Soon!$B$2),ROW(License_Inventory!O$2:O$199),""),ROW()-7)),"")</f>
        <v/>
      </c>
      <c r="E46" s="2" t="str">
        <f t="array" ref="E46">IFERROR(INDEX(License_Inventory!M:M,SMALL(IF((License_Inventory!O$2:O$199&gt;=0)*(License_Inventory!O$2:O$199&lt;=Expiring_Soon!$B$2),ROW(License_Inventory!O$2:O$199),""),ROW()-7)),"")</f>
        <v/>
      </c>
      <c r="F46" s="118" t="str">
        <f t="array" ref="F46">IFERROR(INDEX(License_Inventory!I:I,SMALL(IF((License_Inventory!O$2:O$199&gt;=0)*(License_Inventory!O$2:O$199&lt;=Expiring_Soon!$B$2),ROW(License_Inventory!O$2:O$199),""),ROW()-7)),"")</f>
        <v/>
      </c>
      <c r="G46" s="118" t="str">
        <f t="array" ref="G46">IFERROR(INDEX(License_Inventory!J:J,SMALL(IF((License_Inventory!O$2:O$199&gt;=0)*(License_Inventory!O$2:O$199&lt;=Expiring_Soon!$B$2),ROW(License_Inventory!O$2:O$199),""),ROW()-7)),"")</f>
        <v/>
      </c>
      <c r="H46" s="2" t="str">
        <f t="array" ref="H46">IFERROR(INDEX(License_Inventory!O:O,SMALL(IF((License_Inventory!O$2:O$199&gt;=0)*(License_Inventory!O$2:O$199&lt;=Expiring_Soon!$B$2),ROW(License_Inventory!O$2:O$199),""),ROW()-7)),"")</f>
        <v/>
      </c>
      <c r="I46" s="2" t="str">
        <f t="array" ref="I46">IFERROR(INDEX(License_Inventory!P:P,SMALL(IF((License_Inventory!O$2:O$199&gt;=0)*(License_Inventory!O$2:O$199&lt;=Expiring_Soon!$B$2),ROW(License_Inventory!O$2:O$199),""),ROW()-7)),"")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tr">
        <f t="array" ref="A47">IFERROR(INDEX(License_Inventory!C:C,SMALL(IF((License_Inventory!O$2:O$199&gt;=0)*(License_Inventory!O$2:O$199&lt;=Expiring_Soon!$B$2),ROW(License_Inventory!O$2:O$199),""),ROW()-7)),"")</f>
        <v/>
      </c>
      <c r="B47" s="2" t="str">
        <f t="array" ref="B47">IFERROR(INDEX(License_Inventory!B:B,SMALL(IF((License_Inventory!O$2:O$199&gt;=0)*(License_Inventory!O$2:O$199&lt;=Expiring_Soon!$B$2),ROW(License_Inventory!O$2:O$199),""),ROW()-7)),"")</f>
        <v/>
      </c>
      <c r="C47" s="2" t="str">
        <f t="array" ref="C47">IFERROR(INDEX(License_Inventory!E:E,SMALL(IF((License_Inventory!O$2:O$199&gt;=0)*(License_Inventory!O$2:O$199&lt;=Expiring_Soon!$B$2),ROW(License_Inventory!O$2:O$199),""),ROW()-7)),"")</f>
        <v/>
      </c>
      <c r="D47" s="2" t="str">
        <f t="array" ref="D47">IFERROR(INDEX(License_Inventory!H:H,SMALL(IF((License_Inventory!O$2:O$199&gt;=0)*(License_Inventory!O$2:O$199&lt;=Expiring_Soon!$B$2),ROW(License_Inventory!O$2:O$199),""),ROW()-7)),"")</f>
        <v/>
      </c>
      <c r="E47" s="2" t="str">
        <f t="array" ref="E47">IFERROR(INDEX(License_Inventory!M:M,SMALL(IF((License_Inventory!O$2:O$199&gt;=0)*(License_Inventory!O$2:O$199&lt;=Expiring_Soon!$B$2),ROW(License_Inventory!O$2:O$199),""),ROW()-7)),"")</f>
        <v/>
      </c>
      <c r="F47" s="118" t="str">
        <f t="array" ref="F47">IFERROR(INDEX(License_Inventory!I:I,SMALL(IF((License_Inventory!O$2:O$199&gt;=0)*(License_Inventory!O$2:O$199&lt;=Expiring_Soon!$B$2),ROW(License_Inventory!O$2:O$199),""),ROW()-7)),"")</f>
        <v/>
      </c>
      <c r="G47" s="118" t="str">
        <f t="array" ref="G47">IFERROR(INDEX(License_Inventory!J:J,SMALL(IF((License_Inventory!O$2:O$199&gt;=0)*(License_Inventory!O$2:O$199&lt;=Expiring_Soon!$B$2),ROW(License_Inventory!O$2:O$199),""),ROW()-7)),"")</f>
        <v/>
      </c>
      <c r="H47" s="2" t="str">
        <f t="array" ref="H47">IFERROR(INDEX(License_Inventory!O:O,SMALL(IF((License_Inventory!O$2:O$199&gt;=0)*(License_Inventory!O$2:O$199&lt;=Expiring_Soon!$B$2),ROW(License_Inventory!O$2:O$199),""),ROW()-7)),"")</f>
        <v/>
      </c>
      <c r="I47" s="2" t="str">
        <f t="array" ref="I47">IFERROR(INDEX(License_Inventory!P:P,SMALL(IF((License_Inventory!O$2:O$199&gt;=0)*(License_Inventory!O$2:O$199&lt;=Expiring_Soon!$B$2),ROW(License_Inventory!O$2:O$199),""),ROW()-7)),"")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tr">
        <f t="array" ref="A48">IFERROR(INDEX(License_Inventory!C:C,SMALL(IF((License_Inventory!O$2:O$199&gt;=0)*(License_Inventory!O$2:O$199&lt;=Expiring_Soon!$B$2),ROW(License_Inventory!O$2:O$199),""),ROW()-7)),"")</f>
        <v/>
      </c>
      <c r="B48" s="2" t="str">
        <f t="array" ref="B48">IFERROR(INDEX(License_Inventory!B:B,SMALL(IF((License_Inventory!O$2:O$199&gt;=0)*(License_Inventory!O$2:O$199&lt;=Expiring_Soon!$B$2),ROW(License_Inventory!O$2:O$199),""),ROW()-7)),"")</f>
        <v/>
      </c>
      <c r="C48" s="2" t="str">
        <f t="array" ref="C48">IFERROR(INDEX(License_Inventory!E:E,SMALL(IF((License_Inventory!O$2:O$199&gt;=0)*(License_Inventory!O$2:O$199&lt;=Expiring_Soon!$B$2),ROW(License_Inventory!O$2:O$199),""),ROW()-7)),"")</f>
        <v/>
      </c>
      <c r="D48" s="2" t="str">
        <f t="array" ref="D48">IFERROR(INDEX(License_Inventory!H:H,SMALL(IF((License_Inventory!O$2:O$199&gt;=0)*(License_Inventory!O$2:O$199&lt;=Expiring_Soon!$B$2),ROW(License_Inventory!O$2:O$199),""),ROW()-7)),"")</f>
        <v/>
      </c>
      <c r="E48" s="2" t="str">
        <f t="array" ref="E48">IFERROR(INDEX(License_Inventory!M:M,SMALL(IF((License_Inventory!O$2:O$199&gt;=0)*(License_Inventory!O$2:O$199&lt;=Expiring_Soon!$B$2),ROW(License_Inventory!O$2:O$199),""),ROW()-7)),"")</f>
        <v/>
      </c>
      <c r="F48" s="118" t="str">
        <f t="array" ref="F48">IFERROR(INDEX(License_Inventory!I:I,SMALL(IF((License_Inventory!O$2:O$199&gt;=0)*(License_Inventory!O$2:O$199&lt;=Expiring_Soon!$B$2),ROW(License_Inventory!O$2:O$199),""),ROW()-7)),"")</f>
        <v/>
      </c>
      <c r="G48" s="118" t="str">
        <f t="array" ref="G48">IFERROR(INDEX(License_Inventory!J:J,SMALL(IF((License_Inventory!O$2:O$199&gt;=0)*(License_Inventory!O$2:O$199&lt;=Expiring_Soon!$B$2),ROW(License_Inventory!O$2:O$199),""),ROW()-7)),"")</f>
        <v/>
      </c>
      <c r="H48" s="2" t="str">
        <f t="array" ref="H48">IFERROR(INDEX(License_Inventory!O:O,SMALL(IF((License_Inventory!O$2:O$199&gt;=0)*(License_Inventory!O$2:O$199&lt;=Expiring_Soon!$B$2),ROW(License_Inventory!O$2:O$199),""),ROW()-7)),"")</f>
        <v/>
      </c>
      <c r="I48" s="2" t="str">
        <f t="array" ref="I48">IFERROR(INDEX(License_Inventory!P:P,SMALL(IF((License_Inventory!O$2:O$199&gt;=0)*(License_Inventory!O$2:O$199&lt;=Expiring_Soon!$B$2),ROW(License_Inventory!O$2:O$199),""),ROW()-7)),"")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tr">
        <f t="array" ref="A49">IFERROR(INDEX(License_Inventory!C:C,SMALL(IF((License_Inventory!O$2:O$199&gt;=0)*(License_Inventory!O$2:O$199&lt;=Expiring_Soon!$B$2),ROW(License_Inventory!O$2:O$199),""),ROW()-7)),"")</f>
        <v/>
      </c>
      <c r="B49" s="2" t="str">
        <f t="array" ref="B49">IFERROR(INDEX(License_Inventory!B:B,SMALL(IF((License_Inventory!O$2:O$199&gt;=0)*(License_Inventory!O$2:O$199&lt;=Expiring_Soon!$B$2),ROW(License_Inventory!O$2:O$199),""),ROW()-7)),"")</f>
        <v/>
      </c>
      <c r="C49" s="2" t="str">
        <f t="array" ref="C49">IFERROR(INDEX(License_Inventory!E:E,SMALL(IF((License_Inventory!O$2:O$199&gt;=0)*(License_Inventory!O$2:O$199&lt;=Expiring_Soon!$B$2),ROW(License_Inventory!O$2:O$199),""),ROW()-7)),"")</f>
        <v/>
      </c>
      <c r="D49" s="2" t="str">
        <f t="array" ref="D49">IFERROR(INDEX(License_Inventory!H:H,SMALL(IF((License_Inventory!O$2:O$199&gt;=0)*(License_Inventory!O$2:O$199&lt;=Expiring_Soon!$B$2),ROW(License_Inventory!O$2:O$199),""),ROW()-7)),"")</f>
        <v/>
      </c>
      <c r="E49" s="2" t="str">
        <f t="array" ref="E49">IFERROR(INDEX(License_Inventory!M:M,SMALL(IF((License_Inventory!O$2:O$199&gt;=0)*(License_Inventory!O$2:O$199&lt;=Expiring_Soon!$B$2),ROW(License_Inventory!O$2:O$199),""),ROW()-7)),"")</f>
        <v/>
      </c>
      <c r="F49" s="118" t="str">
        <f t="array" ref="F49">IFERROR(INDEX(License_Inventory!I:I,SMALL(IF((License_Inventory!O$2:O$199&gt;=0)*(License_Inventory!O$2:O$199&lt;=Expiring_Soon!$B$2),ROW(License_Inventory!O$2:O$199),""),ROW()-7)),"")</f>
        <v/>
      </c>
      <c r="G49" s="118" t="str">
        <f t="array" ref="G49">IFERROR(INDEX(License_Inventory!J:J,SMALL(IF((License_Inventory!O$2:O$199&gt;=0)*(License_Inventory!O$2:O$199&lt;=Expiring_Soon!$B$2),ROW(License_Inventory!O$2:O$199),""),ROW()-7)),"")</f>
        <v/>
      </c>
      <c r="H49" s="2" t="str">
        <f t="array" ref="H49">IFERROR(INDEX(License_Inventory!O:O,SMALL(IF((License_Inventory!O$2:O$199&gt;=0)*(License_Inventory!O$2:O$199&lt;=Expiring_Soon!$B$2),ROW(License_Inventory!O$2:O$199),""),ROW()-7)),"")</f>
        <v/>
      </c>
      <c r="I49" s="2" t="str">
        <f t="array" ref="I49">IFERROR(INDEX(License_Inventory!P:P,SMALL(IF((License_Inventory!O$2:O$199&gt;=0)*(License_Inventory!O$2:O$199&lt;=Expiring_Soon!$B$2),ROW(License_Inventory!O$2:O$199),""),ROW()-7)),"")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tr">
        <f t="array" ref="A50">IFERROR(INDEX(License_Inventory!C:C,SMALL(IF((License_Inventory!O$2:O$199&gt;=0)*(License_Inventory!O$2:O$199&lt;=Expiring_Soon!$B$2),ROW(License_Inventory!O$2:O$199),""),ROW()-7)),"")</f>
        <v/>
      </c>
      <c r="B50" s="2" t="str">
        <f t="array" ref="B50">IFERROR(INDEX(License_Inventory!B:B,SMALL(IF((License_Inventory!O$2:O$199&gt;=0)*(License_Inventory!O$2:O$199&lt;=Expiring_Soon!$B$2),ROW(License_Inventory!O$2:O$199),""),ROW()-7)),"")</f>
        <v/>
      </c>
      <c r="C50" s="2" t="str">
        <f t="array" ref="C50">IFERROR(INDEX(License_Inventory!E:E,SMALL(IF((License_Inventory!O$2:O$199&gt;=0)*(License_Inventory!O$2:O$199&lt;=Expiring_Soon!$B$2),ROW(License_Inventory!O$2:O$199),""),ROW()-7)),"")</f>
        <v/>
      </c>
      <c r="D50" s="2" t="str">
        <f t="array" ref="D50">IFERROR(INDEX(License_Inventory!H:H,SMALL(IF((License_Inventory!O$2:O$199&gt;=0)*(License_Inventory!O$2:O$199&lt;=Expiring_Soon!$B$2),ROW(License_Inventory!O$2:O$199),""),ROW()-7)),"")</f>
        <v/>
      </c>
      <c r="E50" s="2" t="str">
        <f t="array" ref="E50">IFERROR(INDEX(License_Inventory!M:M,SMALL(IF((License_Inventory!O$2:O$199&gt;=0)*(License_Inventory!O$2:O$199&lt;=Expiring_Soon!$B$2),ROW(License_Inventory!O$2:O$199),""),ROW()-7)),"")</f>
        <v/>
      </c>
      <c r="F50" s="118" t="str">
        <f t="array" ref="F50">IFERROR(INDEX(License_Inventory!I:I,SMALL(IF((License_Inventory!O$2:O$199&gt;=0)*(License_Inventory!O$2:O$199&lt;=Expiring_Soon!$B$2),ROW(License_Inventory!O$2:O$199),""),ROW()-7)),"")</f>
        <v/>
      </c>
      <c r="G50" s="118" t="str">
        <f t="array" ref="G50">IFERROR(INDEX(License_Inventory!J:J,SMALL(IF((License_Inventory!O$2:O$199&gt;=0)*(License_Inventory!O$2:O$199&lt;=Expiring_Soon!$B$2),ROW(License_Inventory!O$2:O$199),""),ROW()-7)),"")</f>
        <v/>
      </c>
      <c r="H50" s="2" t="str">
        <f t="array" ref="H50">IFERROR(INDEX(License_Inventory!O:O,SMALL(IF((License_Inventory!O$2:O$199&gt;=0)*(License_Inventory!O$2:O$199&lt;=Expiring_Soon!$B$2),ROW(License_Inventory!O$2:O$199),""),ROW()-7)),"")</f>
        <v/>
      </c>
      <c r="I50" s="2" t="str">
        <f t="array" ref="I50">IFERROR(INDEX(License_Inventory!P:P,SMALL(IF((License_Inventory!O$2:O$199&gt;=0)*(License_Inventory!O$2:O$199&lt;=Expiring_Soon!$B$2),ROW(License_Inventory!O$2:O$199),""),ROW()-7)),"")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tr">
        <f t="array" ref="A51">IFERROR(INDEX(License_Inventory!C:C,SMALL(IF((License_Inventory!O$2:O$199&gt;=0)*(License_Inventory!O$2:O$199&lt;=Expiring_Soon!$B$2),ROW(License_Inventory!O$2:O$199),""),ROW()-7)),"")</f>
        <v/>
      </c>
      <c r="B51" s="2" t="str">
        <f t="array" ref="B51">IFERROR(INDEX(License_Inventory!B:B,SMALL(IF((License_Inventory!O$2:O$199&gt;=0)*(License_Inventory!O$2:O$199&lt;=Expiring_Soon!$B$2),ROW(License_Inventory!O$2:O$199),""),ROW()-7)),"")</f>
        <v/>
      </c>
      <c r="C51" s="2" t="str">
        <f t="array" ref="C51">IFERROR(INDEX(License_Inventory!E:E,SMALL(IF((License_Inventory!O$2:O$199&gt;=0)*(License_Inventory!O$2:O$199&lt;=Expiring_Soon!$B$2),ROW(License_Inventory!O$2:O$199),""),ROW()-7)),"")</f>
        <v/>
      </c>
      <c r="D51" s="2" t="str">
        <f t="array" ref="D51">IFERROR(INDEX(License_Inventory!H:H,SMALL(IF((License_Inventory!O$2:O$199&gt;=0)*(License_Inventory!O$2:O$199&lt;=Expiring_Soon!$B$2),ROW(License_Inventory!O$2:O$199),""),ROW()-7)),"")</f>
        <v/>
      </c>
      <c r="E51" s="2" t="str">
        <f t="array" ref="E51">IFERROR(INDEX(License_Inventory!M:M,SMALL(IF((License_Inventory!O$2:O$199&gt;=0)*(License_Inventory!O$2:O$199&lt;=Expiring_Soon!$B$2),ROW(License_Inventory!O$2:O$199),""),ROW()-7)),"")</f>
        <v/>
      </c>
      <c r="F51" s="118" t="str">
        <f t="array" ref="F51">IFERROR(INDEX(License_Inventory!I:I,SMALL(IF((License_Inventory!O$2:O$199&gt;=0)*(License_Inventory!O$2:O$199&lt;=Expiring_Soon!$B$2),ROW(License_Inventory!O$2:O$199),""),ROW()-7)),"")</f>
        <v/>
      </c>
      <c r="G51" s="118" t="str">
        <f t="array" ref="G51">IFERROR(INDEX(License_Inventory!J:J,SMALL(IF((License_Inventory!O$2:O$199&gt;=0)*(License_Inventory!O$2:O$199&lt;=Expiring_Soon!$B$2),ROW(License_Inventory!O$2:O$199),""),ROW()-7)),"")</f>
        <v/>
      </c>
      <c r="H51" s="2" t="str">
        <f t="array" ref="H51">IFERROR(INDEX(License_Inventory!O:O,SMALL(IF((License_Inventory!O$2:O$199&gt;=0)*(License_Inventory!O$2:O$199&lt;=Expiring_Soon!$B$2),ROW(License_Inventory!O$2:O$199),""),ROW()-7)),"")</f>
        <v/>
      </c>
      <c r="I51" s="2" t="str">
        <f t="array" ref="I51">IFERROR(INDEX(License_Inventory!P:P,SMALL(IF((License_Inventory!O$2:O$199&gt;=0)*(License_Inventory!O$2:O$199&lt;=Expiring_Soon!$B$2),ROW(License_Inventory!O$2:O$199),""),ROW()-7)),"")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tr">
        <f t="array" ref="A52">IFERROR(INDEX(License_Inventory!C:C,SMALL(IF((License_Inventory!O$2:O$199&gt;=0)*(License_Inventory!O$2:O$199&lt;=Expiring_Soon!$B$2),ROW(License_Inventory!O$2:O$199),""),ROW()-7)),"")</f>
        <v/>
      </c>
      <c r="B52" s="2" t="str">
        <f t="array" ref="B52">IFERROR(INDEX(License_Inventory!B:B,SMALL(IF((License_Inventory!O$2:O$199&gt;=0)*(License_Inventory!O$2:O$199&lt;=Expiring_Soon!$B$2),ROW(License_Inventory!O$2:O$199),""),ROW()-7)),"")</f>
        <v/>
      </c>
      <c r="C52" s="2" t="str">
        <f t="array" ref="C52">IFERROR(INDEX(License_Inventory!E:E,SMALL(IF((License_Inventory!O$2:O$199&gt;=0)*(License_Inventory!O$2:O$199&lt;=Expiring_Soon!$B$2),ROW(License_Inventory!O$2:O$199),""),ROW()-7)),"")</f>
        <v/>
      </c>
      <c r="D52" s="2" t="str">
        <f t="array" ref="D52">IFERROR(INDEX(License_Inventory!H:H,SMALL(IF((License_Inventory!O$2:O$199&gt;=0)*(License_Inventory!O$2:O$199&lt;=Expiring_Soon!$B$2),ROW(License_Inventory!O$2:O$199),""),ROW()-7)),"")</f>
        <v/>
      </c>
      <c r="E52" s="2" t="str">
        <f t="array" ref="E52">IFERROR(INDEX(License_Inventory!M:M,SMALL(IF((License_Inventory!O$2:O$199&gt;=0)*(License_Inventory!O$2:O$199&lt;=Expiring_Soon!$B$2),ROW(License_Inventory!O$2:O$199),""),ROW()-7)),"")</f>
        <v/>
      </c>
      <c r="F52" s="118" t="str">
        <f t="array" ref="F52">IFERROR(INDEX(License_Inventory!I:I,SMALL(IF((License_Inventory!O$2:O$199&gt;=0)*(License_Inventory!O$2:O$199&lt;=Expiring_Soon!$B$2),ROW(License_Inventory!O$2:O$199),""),ROW()-7)),"")</f>
        <v/>
      </c>
      <c r="G52" s="118" t="str">
        <f t="array" ref="G52">IFERROR(INDEX(License_Inventory!J:J,SMALL(IF((License_Inventory!O$2:O$199&gt;=0)*(License_Inventory!O$2:O$199&lt;=Expiring_Soon!$B$2),ROW(License_Inventory!O$2:O$199),""),ROW()-7)),"")</f>
        <v/>
      </c>
      <c r="H52" s="2" t="str">
        <f t="array" ref="H52">IFERROR(INDEX(License_Inventory!O:O,SMALL(IF((License_Inventory!O$2:O$199&gt;=0)*(License_Inventory!O$2:O$199&lt;=Expiring_Soon!$B$2),ROW(License_Inventory!O$2:O$199),""),ROW()-7)),"")</f>
        <v/>
      </c>
      <c r="I52" s="2" t="str">
        <f t="array" ref="I52">IFERROR(INDEX(License_Inventory!P:P,SMALL(IF((License_Inventory!O$2:O$199&gt;=0)*(License_Inventory!O$2:O$199&lt;=Expiring_Soon!$B$2),ROW(License_Inventory!O$2:O$199),""),ROW()-7)),"")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tr">
        <f t="array" ref="A53">IFERROR(INDEX(License_Inventory!C:C,SMALL(IF((License_Inventory!O$2:O$199&gt;=0)*(License_Inventory!O$2:O$199&lt;=Expiring_Soon!$B$2),ROW(License_Inventory!O$2:O$199),""),ROW()-7)),"")</f>
        <v/>
      </c>
      <c r="B53" s="2" t="str">
        <f t="array" ref="B53">IFERROR(INDEX(License_Inventory!B:B,SMALL(IF((License_Inventory!O$2:O$199&gt;=0)*(License_Inventory!O$2:O$199&lt;=Expiring_Soon!$B$2),ROW(License_Inventory!O$2:O$199),""),ROW()-7)),"")</f>
        <v/>
      </c>
      <c r="C53" s="2" t="str">
        <f t="array" ref="C53">IFERROR(INDEX(License_Inventory!E:E,SMALL(IF((License_Inventory!O$2:O$199&gt;=0)*(License_Inventory!O$2:O$199&lt;=Expiring_Soon!$B$2),ROW(License_Inventory!O$2:O$199),""),ROW()-7)),"")</f>
        <v/>
      </c>
      <c r="D53" s="2" t="str">
        <f t="array" ref="D53">IFERROR(INDEX(License_Inventory!H:H,SMALL(IF((License_Inventory!O$2:O$199&gt;=0)*(License_Inventory!O$2:O$199&lt;=Expiring_Soon!$B$2),ROW(License_Inventory!O$2:O$199),""),ROW()-7)),"")</f>
        <v/>
      </c>
      <c r="E53" s="2" t="str">
        <f t="array" ref="E53">IFERROR(INDEX(License_Inventory!M:M,SMALL(IF((License_Inventory!O$2:O$199&gt;=0)*(License_Inventory!O$2:O$199&lt;=Expiring_Soon!$B$2),ROW(License_Inventory!O$2:O$199),""),ROW()-7)),"")</f>
        <v/>
      </c>
      <c r="F53" s="118" t="str">
        <f t="array" ref="F53">IFERROR(INDEX(License_Inventory!I:I,SMALL(IF((License_Inventory!O$2:O$199&gt;=0)*(License_Inventory!O$2:O$199&lt;=Expiring_Soon!$B$2),ROW(License_Inventory!O$2:O$199),""),ROW()-7)),"")</f>
        <v/>
      </c>
      <c r="G53" s="118" t="str">
        <f t="array" ref="G53">IFERROR(INDEX(License_Inventory!J:J,SMALL(IF((License_Inventory!O$2:O$199&gt;=0)*(License_Inventory!O$2:O$199&lt;=Expiring_Soon!$B$2),ROW(License_Inventory!O$2:O$199),""),ROW()-7)),"")</f>
        <v/>
      </c>
      <c r="H53" s="2" t="str">
        <f t="array" ref="H53">IFERROR(INDEX(License_Inventory!O:O,SMALL(IF((License_Inventory!O$2:O$199&gt;=0)*(License_Inventory!O$2:O$199&lt;=Expiring_Soon!$B$2),ROW(License_Inventory!O$2:O$199),""),ROW()-7)),"")</f>
        <v/>
      </c>
      <c r="I53" s="2" t="str">
        <f t="array" ref="I53">IFERROR(INDEX(License_Inventory!P:P,SMALL(IF((License_Inventory!O$2:O$199&gt;=0)*(License_Inventory!O$2:O$199&lt;=Expiring_Soon!$B$2),ROW(License_Inventory!O$2:O$199),""),ROW()-7)),"")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tr">
        <f t="array" ref="A54">IFERROR(INDEX(License_Inventory!C:C,SMALL(IF((License_Inventory!O$2:O$199&gt;=0)*(License_Inventory!O$2:O$199&lt;=Expiring_Soon!$B$2),ROW(License_Inventory!O$2:O$199),""),ROW()-7)),"")</f>
        <v/>
      </c>
      <c r="B54" s="2" t="str">
        <f t="array" ref="B54">IFERROR(INDEX(License_Inventory!B:B,SMALL(IF((License_Inventory!O$2:O$199&gt;=0)*(License_Inventory!O$2:O$199&lt;=Expiring_Soon!$B$2),ROW(License_Inventory!O$2:O$199),""),ROW()-7)),"")</f>
        <v/>
      </c>
      <c r="C54" s="2" t="str">
        <f t="array" ref="C54">IFERROR(INDEX(License_Inventory!E:E,SMALL(IF((License_Inventory!O$2:O$199&gt;=0)*(License_Inventory!O$2:O$199&lt;=Expiring_Soon!$B$2),ROW(License_Inventory!O$2:O$199),""),ROW()-7)),"")</f>
        <v/>
      </c>
      <c r="D54" s="2" t="str">
        <f t="array" ref="D54">IFERROR(INDEX(License_Inventory!H:H,SMALL(IF((License_Inventory!O$2:O$199&gt;=0)*(License_Inventory!O$2:O$199&lt;=Expiring_Soon!$B$2),ROW(License_Inventory!O$2:O$199),""),ROW()-7)),"")</f>
        <v/>
      </c>
      <c r="E54" s="2" t="str">
        <f t="array" ref="E54">IFERROR(INDEX(License_Inventory!M:M,SMALL(IF((License_Inventory!O$2:O$199&gt;=0)*(License_Inventory!O$2:O$199&lt;=Expiring_Soon!$B$2),ROW(License_Inventory!O$2:O$199),""),ROW()-7)),"")</f>
        <v/>
      </c>
      <c r="F54" s="118" t="str">
        <f t="array" ref="F54">IFERROR(INDEX(License_Inventory!I:I,SMALL(IF((License_Inventory!O$2:O$199&gt;=0)*(License_Inventory!O$2:O$199&lt;=Expiring_Soon!$B$2),ROW(License_Inventory!O$2:O$199),""),ROW()-7)),"")</f>
        <v/>
      </c>
      <c r="G54" s="118" t="str">
        <f t="array" ref="G54">IFERROR(INDEX(License_Inventory!J:J,SMALL(IF((License_Inventory!O$2:O$199&gt;=0)*(License_Inventory!O$2:O$199&lt;=Expiring_Soon!$B$2),ROW(License_Inventory!O$2:O$199),""),ROW()-7)),"")</f>
        <v/>
      </c>
      <c r="H54" s="2" t="str">
        <f t="array" ref="H54">IFERROR(INDEX(License_Inventory!O:O,SMALL(IF((License_Inventory!O$2:O$199&gt;=0)*(License_Inventory!O$2:O$199&lt;=Expiring_Soon!$B$2),ROW(License_Inventory!O$2:O$199),""),ROW()-7)),"")</f>
        <v/>
      </c>
      <c r="I54" s="2" t="str">
        <f t="array" ref="I54">IFERROR(INDEX(License_Inventory!P:P,SMALL(IF((License_Inventory!O$2:O$199&gt;=0)*(License_Inventory!O$2:O$199&lt;=Expiring_Soon!$B$2),ROW(License_Inventory!O$2:O$199),""),ROW()-7)),"")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2">
    <mergeCell ref="A1:I1"/>
    <mergeCell ref="E2:I2"/>
  </mergeCells>
  <conditionalFormatting sqref="A5:I18">
    <cfRule type="expression" dxfId="4" priority="1">
      <formula>$I5="Expired"</formula>
    </cfRule>
  </conditionalFormatting>
  <conditionalFormatting sqref="A5:I18">
    <cfRule type="expression" dxfId="5" priority="2">
      <formula>$I5="Expiring Soon"</formula>
    </cfRule>
  </conditionalFormatting>
  <conditionalFormatting sqref="A5:I18">
    <cfRule type="expression" dxfId="8" priority="3">
      <formula>$I5="Watch"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3.43"/>
    <col customWidth="1" min="2" max="2" width="22.0"/>
    <col customWidth="1" min="3" max="3" width="17.0"/>
    <col customWidth="1" min="4" max="4" width="4.0"/>
    <col customWidth="1" min="5" max="5" width="4.43"/>
    <col customWidth="1" min="6" max="6" width="25.71"/>
    <col customWidth="1" min="7" max="7" width="7.43"/>
    <col customWidth="1" min="8" max="8" width="7.86"/>
    <col customWidth="1" min="9" max="9" width="4.86"/>
    <col customWidth="1" min="10" max="11" width="6.29"/>
    <col customWidth="1" min="12" max="12" width="6.57"/>
    <col customWidth="1" min="13" max="13" width="7.57"/>
    <col customWidth="1" min="14" max="14" width="5.0"/>
    <col customWidth="1" min="15" max="15" width="5.86"/>
    <col customWidth="1" min="16" max="16" width="7.0"/>
    <col customWidth="1" min="17" max="17" width="5.14"/>
    <col customWidth="1" min="18" max="18" width="5.0"/>
    <col customWidth="1" min="19" max="19" width="18.71"/>
    <col customWidth="1" min="20" max="20" width="8.43"/>
    <col customWidth="1" min="21" max="21" width="7.0"/>
    <col customWidth="1" min="22" max="22" width="5.14"/>
    <col customWidth="1" min="23" max="23" width="5.71"/>
    <col customWidth="1" min="24" max="24" width="5.29"/>
  </cols>
  <sheetData>
    <row r="1" ht="27.75" customHeight="1">
      <c r="A1" s="189" t="s">
        <v>2151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1"/>
      <c r="Y1" s="2"/>
      <c r="Z1" s="2"/>
    </row>
    <row r="2" ht="15.75" customHeight="1">
      <c r="A2" s="192" t="s">
        <v>2152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1"/>
      <c r="Y2" s="2"/>
      <c r="Z2" s="2"/>
    </row>
    <row r="3" ht="13.5" customHeight="1">
      <c r="A3" s="2"/>
      <c r="B3" s="2"/>
      <c r="C3" s="2"/>
      <c r="D3" s="2"/>
      <c r="E3" s="2"/>
      <c r="F3" s="193" t="s">
        <v>2153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1"/>
      <c r="S3" s="194" t="s">
        <v>2154</v>
      </c>
      <c r="T3" s="190"/>
      <c r="U3" s="190"/>
      <c r="V3" s="190"/>
      <c r="W3" s="191"/>
      <c r="X3" s="195"/>
      <c r="Y3" s="2"/>
      <c r="Z3" s="2"/>
    </row>
    <row r="4" ht="36.0" customHeight="1">
      <c r="A4" s="196" t="s">
        <v>28</v>
      </c>
      <c r="B4" s="196" t="s">
        <v>56</v>
      </c>
      <c r="C4" s="196" t="s">
        <v>57</v>
      </c>
      <c r="D4" s="196" t="s">
        <v>2155</v>
      </c>
      <c r="E4" s="196" t="s">
        <v>2156</v>
      </c>
      <c r="F4" s="197" t="s">
        <v>2157</v>
      </c>
      <c r="G4" s="197" t="s">
        <v>2158</v>
      </c>
      <c r="H4" s="197" t="s">
        <v>2159</v>
      </c>
      <c r="I4" s="197" t="s">
        <v>2160</v>
      </c>
      <c r="J4" s="197" t="s">
        <v>2161</v>
      </c>
      <c r="K4" s="197" t="s">
        <v>2162</v>
      </c>
      <c r="L4" s="197" t="s">
        <v>2163</v>
      </c>
      <c r="M4" s="197" t="s">
        <v>2164</v>
      </c>
      <c r="N4" s="197" t="s">
        <v>2165</v>
      </c>
      <c r="O4" s="197" t="s">
        <v>2166</v>
      </c>
      <c r="P4" s="197" t="s">
        <v>2167</v>
      </c>
      <c r="Q4" s="197" t="s">
        <v>2168</v>
      </c>
      <c r="R4" s="197" t="s">
        <v>2169</v>
      </c>
      <c r="S4" s="198" t="s">
        <v>2170</v>
      </c>
      <c r="T4" s="198" t="s">
        <v>2171</v>
      </c>
      <c r="U4" s="198" t="s">
        <v>2172</v>
      </c>
      <c r="V4" s="198" t="s">
        <v>2173</v>
      </c>
      <c r="W4" s="198" t="s">
        <v>2174</v>
      </c>
      <c r="X4" s="199" t="s">
        <v>659</v>
      </c>
      <c r="Y4" s="2"/>
      <c r="Z4" s="2"/>
    </row>
    <row r="5" ht="31.5" customHeight="1">
      <c r="A5" s="200"/>
      <c r="B5" s="200"/>
      <c r="C5" s="200"/>
      <c r="D5" s="200"/>
      <c r="E5" s="200"/>
      <c r="F5" s="201" t="s">
        <v>482</v>
      </c>
      <c r="G5" s="201" t="s">
        <v>537</v>
      </c>
      <c r="H5" s="201" t="s">
        <v>481</v>
      </c>
      <c r="I5" s="201" t="s">
        <v>479</v>
      </c>
      <c r="J5" s="201" t="s">
        <v>480</v>
      </c>
      <c r="K5" s="201" t="s">
        <v>477</v>
      </c>
      <c r="L5" s="201" t="s">
        <v>672</v>
      </c>
      <c r="M5" s="201" t="s">
        <v>670</v>
      </c>
      <c r="N5" s="201" t="s">
        <v>473</v>
      </c>
      <c r="O5" s="201" t="s">
        <v>492</v>
      </c>
      <c r="P5" s="201" t="s">
        <v>2175</v>
      </c>
      <c r="Q5" s="201" t="s">
        <v>2176</v>
      </c>
      <c r="R5" s="201" t="s">
        <v>697</v>
      </c>
      <c r="S5" s="202" t="s">
        <v>873</v>
      </c>
      <c r="T5" s="202" t="s">
        <v>706</v>
      </c>
      <c r="U5" s="202" t="s">
        <v>760</v>
      </c>
      <c r="V5" s="202" t="s">
        <v>738</v>
      </c>
      <c r="W5" s="202" t="s">
        <v>855</v>
      </c>
      <c r="X5" s="200"/>
      <c r="Y5" s="2"/>
      <c r="Z5" s="2"/>
    </row>
    <row r="6" ht="19.5" customHeight="1">
      <c r="A6" s="203" t="s">
        <v>2177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1"/>
      <c r="Y6" s="2"/>
      <c r="Z6" s="2"/>
    </row>
    <row r="7" ht="19.5" customHeight="1">
      <c r="A7" s="204" t="s">
        <v>31</v>
      </c>
      <c r="B7" s="205" t="s">
        <v>554</v>
      </c>
      <c r="C7" s="206" t="s">
        <v>31</v>
      </c>
      <c r="D7" s="207">
        <v>1.0</v>
      </c>
      <c r="E7" s="207">
        <v>0.0</v>
      </c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9">
        <v>0.0</v>
      </c>
      <c r="Y7" s="2"/>
      <c r="Z7" s="2"/>
    </row>
    <row r="8" ht="19.5" customHeight="1">
      <c r="A8" s="204" t="s">
        <v>31</v>
      </c>
      <c r="B8" s="210" t="s">
        <v>556</v>
      </c>
      <c r="C8" s="211" t="s">
        <v>187</v>
      </c>
      <c r="D8" s="212">
        <v>5.0</v>
      </c>
      <c r="E8" s="212">
        <v>4.0</v>
      </c>
      <c r="F8" s="213">
        <v>5.0</v>
      </c>
      <c r="G8" s="213">
        <v>5.0</v>
      </c>
      <c r="H8" s="213">
        <v>1.0</v>
      </c>
      <c r="I8" s="214"/>
      <c r="J8" s="214"/>
      <c r="K8" s="214"/>
      <c r="L8" s="214"/>
      <c r="M8" s="213">
        <v>4.0</v>
      </c>
      <c r="N8" s="214"/>
      <c r="O8" s="214"/>
      <c r="P8" s="214"/>
      <c r="Q8" s="214"/>
      <c r="R8" s="214"/>
      <c r="S8" s="214"/>
      <c r="T8" s="215">
        <v>2.0</v>
      </c>
      <c r="U8" s="216">
        <v>2.0</v>
      </c>
      <c r="V8" s="214"/>
      <c r="W8" s="214"/>
      <c r="X8" s="217">
        <v>15.0</v>
      </c>
      <c r="Y8" s="2"/>
      <c r="Z8" s="2"/>
    </row>
    <row r="9" ht="19.5" customHeight="1">
      <c r="A9" s="204" t="s">
        <v>31</v>
      </c>
      <c r="B9" s="205" t="s">
        <v>558</v>
      </c>
      <c r="C9" s="206" t="s">
        <v>222</v>
      </c>
      <c r="D9" s="207">
        <v>9.0</v>
      </c>
      <c r="E9" s="207">
        <v>7.0</v>
      </c>
      <c r="F9" s="213">
        <v>9.0</v>
      </c>
      <c r="G9" s="213">
        <v>6.0</v>
      </c>
      <c r="H9" s="213">
        <v>1.0</v>
      </c>
      <c r="I9" s="208"/>
      <c r="J9" s="208"/>
      <c r="K9" s="208"/>
      <c r="L9" s="208"/>
      <c r="M9" s="213">
        <v>3.0</v>
      </c>
      <c r="N9" s="208"/>
      <c r="O9" s="208"/>
      <c r="P9" s="208"/>
      <c r="Q9" s="208"/>
      <c r="R9" s="208"/>
      <c r="S9" s="208"/>
      <c r="T9" s="215">
        <v>6.0</v>
      </c>
      <c r="U9" s="208"/>
      <c r="V9" s="218">
        <v>1.0</v>
      </c>
      <c r="W9" s="208"/>
      <c r="X9" s="217">
        <v>19.0</v>
      </c>
      <c r="Y9" s="2"/>
      <c r="Z9" s="2"/>
    </row>
    <row r="10" ht="19.5" customHeight="1">
      <c r="A10" s="204" t="s">
        <v>31</v>
      </c>
      <c r="B10" s="210" t="s">
        <v>560</v>
      </c>
      <c r="C10" s="211" t="s">
        <v>252</v>
      </c>
      <c r="D10" s="212">
        <v>10.0</v>
      </c>
      <c r="E10" s="212">
        <v>7.0</v>
      </c>
      <c r="F10" s="213">
        <v>9.0</v>
      </c>
      <c r="G10" s="213">
        <v>5.0</v>
      </c>
      <c r="H10" s="214"/>
      <c r="I10" s="214"/>
      <c r="J10" s="214"/>
      <c r="K10" s="214"/>
      <c r="L10" s="214"/>
      <c r="M10" s="213">
        <v>3.0</v>
      </c>
      <c r="N10" s="214"/>
      <c r="O10" s="214"/>
      <c r="P10" s="214"/>
      <c r="Q10" s="214"/>
      <c r="R10" s="214"/>
      <c r="S10" s="215">
        <v>1.0</v>
      </c>
      <c r="T10" s="215">
        <v>3.0</v>
      </c>
      <c r="U10" s="216">
        <v>3.0</v>
      </c>
      <c r="V10" s="214"/>
      <c r="W10" s="214"/>
      <c r="X10" s="217">
        <v>17.0</v>
      </c>
      <c r="Y10" s="2"/>
      <c r="Z10" s="2"/>
    </row>
    <row r="11" ht="19.5" customHeight="1">
      <c r="A11" s="219" t="s">
        <v>2178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1"/>
      <c r="Y11" s="2"/>
      <c r="Z11" s="2"/>
    </row>
    <row r="12" ht="19.5" customHeight="1">
      <c r="A12" s="220" t="s">
        <v>32</v>
      </c>
      <c r="B12" s="210" t="s">
        <v>554</v>
      </c>
      <c r="C12" s="211" t="s">
        <v>32</v>
      </c>
      <c r="D12" s="212">
        <v>1.0</v>
      </c>
      <c r="E12" s="212">
        <v>0.0</v>
      </c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21">
        <v>0.0</v>
      </c>
      <c r="Y12" s="2"/>
      <c r="Z12" s="2"/>
    </row>
    <row r="13" ht="19.5" customHeight="1">
      <c r="A13" s="220" t="s">
        <v>32</v>
      </c>
      <c r="B13" s="205" t="s">
        <v>564</v>
      </c>
      <c r="C13" s="206" t="s">
        <v>288</v>
      </c>
      <c r="D13" s="207">
        <v>9.0</v>
      </c>
      <c r="E13" s="207">
        <v>7.0</v>
      </c>
      <c r="F13" s="213">
        <v>7.0</v>
      </c>
      <c r="G13" s="213">
        <v>4.0</v>
      </c>
      <c r="H13" s="213">
        <v>1.0</v>
      </c>
      <c r="I13" s="208"/>
      <c r="J13" s="208"/>
      <c r="K13" s="208"/>
      <c r="L13" s="213">
        <v>1.0</v>
      </c>
      <c r="M13" s="213">
        <v>4.0</v>
      </c>
      <c r="N13" s="208"/>
      <c r="O13" s="208"/>
      <c r="P13" s="208"/>
      <c r="Q13" s="208"/>
      <c r="R13" s="208"/>
      <c r="S13" s="215">
        <v>1.0</v>
      </c>
      <c r="T13" s="215">
        <v>1.0</v>
      </c>
      <c r="U13" s="216">
        <v>1.0</v>
      </c>
      <c r="V13" s="218">
        <v>4.0</v>
      </c>
      <c r="W13" s="208"/>
      <c r="X13" s="217">
        <v>17.0</v>
      </c>
      <c r="Y13" s="2"/>
      <c r="Z13" s="2"/>
    </row>
    <row r="14" ht="19.5" customHeight="1">
      <c r="A14" s="220" t="s">
        <v>32</v>
      </c>
      <c r="B14" s="210" t="s">
        <v>566</v>
      </c>
      <c r="C14" s="211" t="s">
        <v>319</v>
      </c>
      <c r="D14" s="212">
        <v>11.0</v>
      </c>
      <c r="E14" s="212">
        <v>8.0</v>
      </c>
      <c r="F14" s="213">
        <v>10.0</v>
      </c>
      <c r="G14" s="213">
        <v>5.0</v>
      </c>
      <c r="H14" s="213">
        <v>1.0</v>
      </c>
      <c r="I14" s="214"/>
      <c r="J14" s="214"/>
      <c r="K14" s="214"/>
      <c r="L14" s="214"/>
      <c r="M14" s="213">
        <v>3.0</v>
      </c>
      <c r="N14" s="214"/>
      <c r="O14" s="214"/>
      <c r="P14" s="214"/>
      <c r="Q14" s="214"/>
      <c r="R14" s="214"/>
      <c r="S14" s="214"/>
      <c r="T14" s="215">
        <v>2.0</v>
      </c>
      <c r="U14" s="216">
        <v>3.0</v>
      </c>
      <c r="V14" s="218">
        <v>3.0</v>
      </c>
      <c r="W14" s="214"/>
      <c r="X14" s="217">
        <v>19.0</v>
      </c>
      <c r="Y14" s="2"/>
      <c r="Z14" s="2"/>
    </row>
    <row r="15" ht="19.5" customHeight="1">
      <c r="A15" s="222" t="s">
        <v>2179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1"/>
      <c r="Y15" s="2"/>
      <c r="Z15" s="2"/>
    </row>
    <row r="16" ht="19.5" customHeight="1">
      <c r="A16" s="223" t="s">
        <v>33</v>
      </c>
      <c r="B16" s="210" t="s">
        <v>554</v>
      </c>
      <c r="C16" s="211" t="s">
        <v>33</v>
      </c>
      <c r="D16" s="212">
        <v>1.0</v>
      </c>
      <c r="E16" s="212">
        <v>0.0</v>
      </c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21">
        <v>0.0</v>
      </c>
      <c r="Y16" s="2"/>
      <c r="Z16" s="2"/>
    </row>
    <row r="17" ht="19.5" customHeight="1">
      <c r="A17" s="223" t="s">
        <v>33</v>
      </c>
      <c r="B17" s="205" t="s">
        <v>569</v>
      </c>
      <c r="C17" s="206" t="s">
        <v>358</v>
      </c>
      <c r="D17" s="207">
        <v>11.0</v>
      </c>
      <c r="E17" s="207">
        <v>3.0</v>
      </c>
      <c r="F17" s="213">
        <v>8.0</v>
      </c>
      <c r="G17" s="213">
        <v>6.0</v>
      </c>
      <c r="H17" s="213">
        <v>4.0</v>
      </c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15">
        <v>1.0</v>
      </c>
      <c r="T17" s="208"/>
      <c r="U17" s="208"/>
      <c r="V17" s="218">
        <v>1.0</v>
      </c>
      <c r="W17" s="224">
        <v>1.0</v>
      </c>
      <c r="X17" s="217">
        <v>18.0</v>
      </c>
      <c r="Y17" s="2"/>
      <c r="Z17" s="2"/>
    </row>
    <row r="18" ht="19.5" customHeight="1">
      <c r="A18" s="223" t="s">
        <v>33</v>
      </c>
      <c r="B18" s="210" t="s">
        <v>571</v>
      </c>
      <c r="C18" s="211" t="s">
        <v>395</v>
      </c>
      <c r="D18" s="212">
        <v>15.0</v>
      </c>
      <c r="E18" s="212">
        <v>7.0</v>
      </c>
      <c r="F18" s="213">
        <v>13.0</v>
      </c>
      <c r="G18" s="213">
        <v>8.0</v>
      </c>
      <c r="H18" s="213">
        <v>5.0</v>
      </c>
      <c r="I18" s="213">
        <v>2.0</v>
      </c>
      <c r="J18" s="214"/>
      <c r="K18" s="213">
        <v>1.0</v>
      </c>
      <c r="L18" s="214"/>
      <c r="M18" s="214"/>
      <c r="N18" s="214"/>
      <c r="O18" s="214"/>
      <c r="P18" s="214"/>
      <c r="Q18" s="214"/>
      <c r="R18" s="214"/>
      <c r="S18" s="215">
        <v>1.0</v>
      </c>
      <c r="T18" s="215">
        <v>1.0</v>
      </c>
      <c r="U18" s="216">
        <v>2.0</v>
      </c>
      <c r="V18" s="218">
        <v>3.0</v>
      </c>
      <c r="W18" s="214"/>
      <c r="X18" s="217">
        <v>29.0</v>
      </c>
      <c r="Y18" s="2"/>
      <c r="Z18" s="2"/>
    </row>
    <row r="19" ht="19.5" customHeight="1">
      <c r="A19" s="223" t="s">
        <v>33</v>
      </c>
      <c r="B19" s="205" t="s">
        <v>574</v>
      </c>
      <c r="C19" s="206" t="s">
        <v>442</v>
      </c>
      <c r="D19" s="207">
        <v>3.0</v>
      </c>
      <c r="E19" s="207">
        <v>1.0</v>
      </c>
      <c r="F19" s="213">
        <v>2.0</v>
      </c>
      <c r="G19" s="213">
        <v>1.0</v>
      </c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16">
        <v>1.0</v>
      </c>
      <c r="V19" s="208"/>
      <c r="W19" s="208"/>
      <c r="X19" s="217">
        <v>3.0</v>
      </c>
      <c r="Y19" s="2"/>
      <c r="Z19" s="2"/>
    </row>
    <row r="20" ht="19.5" customHeight="1">
      <c r="A20" s="225" t="s">
        <v>2180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1"/>
      <c r="Y20" s="2"/>
      <c r="Z20" s="2"/>
    </row>
    <row r="21" ht="19.5" customHeight="1">
      <c r="A21" s="226" t="s">
        <v>30</v>
      </c>
      <c r="B21" s="205" t="s">
        <v>211</v>
      </c>
      <c r="C21" s="206" t="s">
        <v>204</v>
      </c>
      <c r="D21" s="207">
        <v>3.0</v>
      </c>
      <c r="E21" s="207">
        <v>2.0</v>
      </c>
      <c r="F21" s="213">
        <v>2.0</v>
      </c>
      <c r="G21" s="213">
        <v>1.0</v>
      </c>
      <c r="H21" s="208"/>
      <c r="I21" s="208"/>
      <c r="J21" s="208"/>
      <c r="K21" s="213">
        <v>2.0</v>
      </c>
      <c r="L21" s="213">
        <v>1.0</v>
      </c>
      <c r="M21" s="213">
        <v>1.0</v>
      </c>
      <c r="N21" s="208"/>
      <c r="O21" s="208"/>
      <c r="P21" s="208"/>
      <c r="Q21" s="208"/>
      <c r="R21" s="208"/>
      <c r="S21" s="208"/>
      <c r="T21" s="208"/>
      <c r="U21" s="208"/>
      <c r="V21" s="218">
        <v>2.0</v>
      </c>
      <c r="W21" s="208"/>
      <c r="X21" s="217">
        <v>7.0</v>
      </c>
      <c r="Y21" s="2"/>
      <c r="Z21" s="2"/>
    </row>
    <row r="22" ht="19.5" customHeight="1">
      <c r="A22" s="226" t="s">
        <v>30</v>
      </c>
      <c r="B22" s="210" t="s">
        <v>544</v>
      </c>
      <c r="C22" s="211" t="s">
        <v>175</v>
      </c>
      <c r="D22" s="212">
        <v>3.0</v>
      </c>
      <c r="E22" s="212">
        <v>0.0</v>
      </c>
      <c r="F22" s="213">
        <v>1.0</v>
      </c>
      <c r="G22" s="214"/>
      <c r="H22" s="214"/>
      <c r="I22" s="214"/>
      <c r="J22" s="214"/>
      <c r="K22" s="214"/>
      <c r="L22" s="214"/>
      <c r="M22" s="213">
        <v>2.0</v>
      </c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7">
        <v>3.0</v>
      </c>
      <c r="Y22" s="2"/>
      <c r="Z22" s="2"/>
    </row>
    <row r="23" ht="19.5" customHeight="1">
      <c r="A23" s="226" t="s">
        <v>30</v>
      </c>
      <c r="B23" s="205" t="s">
        <v>546</v>
      </c>
      <c r="C23" s="206" t="s">
        <v>125</v>
      </c>
      <c r="D23" s="207">
        <v>5.0</v>
      </c>
      <c r="E23" s="207">
        <v>1.0</v>
      </c>
      <c r="F23" s="213">
        <v>4.0</v>
      </c>
      <c r="G23" s="213">
        <v>1.0</v>
      </c>
      <c r="H23" s="213">
        <v>2.0</v>
      </c>
      <c r="I23" s="213">
        <v>1.0</v>
      </c>
      <c r="J23" s="213">
        <v>1.0</v>
      </c>
      <c r="K23" s="208"/>
      <c r="L23" s="213">
        <v>2.0</v>
      </c>
      <c r="M23" s="213">
        <v>1.0</v>
      </c>
      <c r="N23" s="213">
        <v>1.0</v>
      </c>
      <c r="O23" s="208"/>
      <c r="P23" s="208"/>
      <c r="Q23" s="208"/>
      <c r="R23" s="208"/>
      <c r="S23" s="208"/>
      <c r="T23" s="215">
        <v>1.0</v>
      </c>
      <c r="U23" s="208"/>
      <c r="V23" s="208"/>
      <c r="W23" s="208"/>
      <c r="X23" s="217">
        <v>13.0</v>
      </c>
      <c r="Y23" s="2"/>
      <c r="Z23" s="2"/>
    </row>
    <row r="24" ht="19.5" customHeight="1">
      <c r="A24" s="226" t="s">
        <v>30</v>
      </c>
      <c r="B24" s="210" t="s">
        <v>548</v>
      </c>
      <c r="C24" s="211" t="s">
        <v>162</v>
      </c>
      <c r="D24" s="212">
        <v>3.0</v>
      </c>
      <c r="E24" s="212">
        <v>1.0</v>
      </c>
      <c r="F24" s="213">
        <v>3.0</v>
      </c>
      <c r="G24" s="213">
        <v>1.0</v>
      </c>
      <c r="H24" s="214"/>
      <c r="I24" s="214"/>
      <c r="J24" s="214"/>
      <c r="K24" s="214"/>
      <c r="L24" s="213">
        <v>1.0</v>
      </c>
      <c r="M24" s="213">
        <v>1.0</v>
      </c>
      <c r="N24" s="214"/>
      <c r="O24" s="214"/>
      <c r="P24" s="214"/>
      <c r="Q24" s="214"/>
      <c r="R24" s="214"/>
      <c r="S24" s="214"/>
      <c r="T24" s="214"/>
      <c r="U24" s="214"/>
      <c r="V24" s="214"/>
      <c r="W24" s="224">
        <v>1.0</v>
      </c>
      <c r="X24" s="217">
        <v>6.0</v>
      </c>
      <c r="Y24" s="2"/>
      <c r="Z24" s="2"/>
    </row>
    <row r="25" ht="19.5" customHeight="1">
      <c r="A25" s="226" t="s">
        <v>30</v>
      </c>
      <c r="B25" s="205" t="s">
        <v>550</v>
      </c>
      <c r="C25" s="206" t="s">
        <v>96</v>
      </c>
      <c r="D25" s="207">
        <v>7.0</v>
      </c>
      <c r="E25" s="207">
        <v>1.0</v>
      </c>
      <c r="F25" s="213">
        <v>2.0</v>
      </c>
      <c r="G25" s="213">
        <v>2.0</v>
      </c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18">
        <v>1.0</v>
      </c>
      <c r="W25" s="208"/>
      <c r="X25" s="217">
        <v>4.0</v>
      </c>
      <c r="Y25" s="2"/>
      <c r="Z25" s="2"/>
    </row>
    <row r="26" ht="19.5" customHeight="1">
      <c r="A26" s="226" t="s">
        <v>30</v>
      </c>
      <c r="B26" s="210" t="s">
        <v>552</v>
      </c>
      <c r="C26" s="211" t="s">
        <v>30</v>
      </c>
      <c r="D26" s="212">
        <v>7.0</v>
      </c>
      <c r="E26" s="212">
        <v>5.0</v>
      </c>
      <c r="F26" s="213">
        <v>5.0</v>
      </c>
      <c r="G26" s="213">
        <v>3.0</v>
      </c>
      <c r="H26" s="213">
        <v>2.0</v>
      </c>
      <c r="I26" s="214"/>
      <c r="J26" s="214"/>
      <c r="K26" s="214"/>
      <c r="L26" s="214"/>
      <c r="M26" s="213">
        <v>1.0</v>
      </c>
      <c r="N26" s="214"/>
      <c r="O26" s="214"/>
      <c r="P26" s="214"/>
      <c r="Q26" s="214"/>
      <c r="R26" s="214"/>
      <c r="S26" s="215">
        <v>1.0</v>
      </c>
      <c r="T26" s="215">
        <v>1.0</v>
      </c>
      <c r="U26" s="216">
        <v>1.0</v>
      </c>
      <c r="V26" s="218">
        <v>2.0</v>
      </c>
      <c r="W26" s="214"/>
      <c r="X26" s="217">
        <v>11.0</v>
      </c>
      <c r="Y26" s="2"/>
      <c r="Z26" s="2"/>
    </row>
    <row r="27" ht="21.75" customHeight="1">
      <c r="A27" s="227" t="s">
        <v>2181</v>
      </c>
      <c r="B27" s="190"/>
      <c r="C27" s="191"/>
      <c r="D27" s="228">
        <f t="shared" ref="D27:X27" si="1">SUM(D6:D26)</f>
        <v>104</v>
      </c>
      <c r="E27" s="228">
        <f t="shared" si="1"/>
        <v>54</v>
      </c>
      <c r="F27" s="228">
        <f t="shared" si="1"/>
        <v>80</v>
      </c>
      <c r="G27" s="228">
        <f t="shared" si="1"/>
        <v>48</v>
      </c>
      <c r="H27" s="228">
        <f t="shared" si="1"/>
        <v>17</v>
      </c>
      <c r="I27" s="228">
        <f t="shared" si="1"/>
        <v>3</v>
      </c>
      <c r="J27" s="228">
        <f t="shared" si="1"/>
        <v>1</v>
      </c>
      <c r="K27" s="228">
        <f t="shared" si="1"/>
        <v>3</v>
      </c>
      <c r="L27" s="228">
        <f t="shared" si="1"/>
        <v>5</v>
      </c>
      <c r="M27" s="228">
        <f t="shared" si="1"/>
        <v>23</v>
      </c>
      <c r="N27" s="228">
        <f t="shared" si="1"/>
        <v>1</v>
      </c>
      <c r="O27" s="228">
        <f t="shared" si="1"/>
        <v>0</v>
      </c>
      <c r="P27" s="228">
        <f t="shared" si="1"/>
        <v>0</v>
      </c>
      <c r="Q27" s="228">
        <f t="shared" si="1"/>
        <v>0</v>
      </c>
      <c r="R27" s="228">
        <f t="shared" si="1"/>
        <v>0</v>
      </c>
      <c r="S27" s="228">
        <f t="shared" si="1"/>
        <v>5</v>
      </c>
      <c r="T27" s="228">
        <f t="shared" si="1"/>
        <v>17</v>
      </c>
      <c r="U27" s="228">
        <f t="shared" si="1"/>
        <v>13</v>
      </c>
      <c r="V27" s="228">
        <f t="shared" si="1"/>
        <v>17</v>
      </c>
      <c r="W27" s="228">
        <f t="shared" si="1"/>
        <v>2</v>
      </c>
      <c r="X27" s="228">
        <f t="shared" si="1"/>
        <v>181</v>
      </c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A20:X20"/>
    <mergeCell ref="A27:C27"/>
    <mergeCell ref="A1:X1"/>
    <mergeCell ref="A2:X2"/>
    <mergeCell ref="F3:R3"/>
    <mergeCell ref="S3:W3"/>
    <mergeCell ref="A6:X6"/>
    <mergeCell ref="A11:X11"/>
    <mergeCell ref="A15:X15"/>
  </mergeCell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3" width="18.0"/>
    <col customWidth="1" min="4" max="4" width="10.0"/>
    <col customWidth="1" min="5" max="5" width="24.0"/>
    <col customWidth="1" min="6" max="8" width="14.0"/>
  </cols>
  <sheetData>
    <row r="1" ht="17.25" customHeight="1">
      <c r="A1" s="5" t="s">
        <v>2182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29" t="s">
        <v>578</v>
      </c>
      <c r="B3" s="229" t="s">
        <v>577</v>
      </c>
      <c r="C3" s="229" t="s">
        <v>580</v>
      </c>
      <c r="D3" s="229" t="s">
        <v>583</v>
      </c>
      <c r="E3" s="229" t="s">
        <v>587</v>
      </c>
      <c r="F3" s="229" t="s">
        <v>584</v>
      </c>
      <c r="G3" s="229" t="s">
        <v>585</v>
      </c>
      <c r="H3" s="229" t="s">
        <v>2183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 t="str">
        <f t="array" ref="A4">IFERROR(INDEX(License_Inventory!C:C,SMALL(IF(License_Inventory!O$2:O$199&lt;0,ROW(License_Inventory!O$2:O$199),""),1)),"")</f>
        <v/>
      </c>
      <c r="B4" s="2" t="str">
        <f t="array" ref="B4">IFERROR(INDEX(License_Inventory!B:B,SMALL(IF(License_Inventory!O$2:O$199&lt;0,ROW(License_Inventory!O$2:O$199),""),1)),"")</f>
        <v/>
      </c>
      <c r="C4" s="2" t="str">
        <f t="array" ref="C4">IFERROR(INDEX(License_Inventory!E:E,SMALL(IF(License_Inventory!O$2:O$199&lt;0,ROW(License_Inventory!O$2:O$199),""),1)),"")</f>
        <v/>
      </c>
      <c r="D4" s="2" t="str">
        <f t="array" ref="D4">IFERROR(INDEX(License_Inventory!H:H,SMALL(IF(License_Inventory!O$2:O$199&lt;0,ROW(License_Inventory!O$2:O$199),""),1)),"")</f>
        <v/>
      </c>
      <c r="E4" s="2" t="str">
        <f t="array" ref="E4">IFERROR(INDEX(License_Inventory!M:M,SMALL(IF(License_Inventory!O$2:O$199&lt;0,ROW(License_Inventory!O$2:O$199),""),1)),"")</f>
        <v/>
      </c>
      <c r="F4" s="130" t="str">
        <f t="array" ref="F4">IFERROR(INDEX(License_Inventory!I:I,SMALL(IF(License_Inventory!O$2:O$199&lt;0,ROW(License_Inventory!O$2:O$199),""),1)),"")</f>
        <v/>
      </c>
      <c r="G4" s="130" t="str">
        <f t="array" ref="G4">IFERROR(INDEX(License_Inventory!J:J,SMALL(IF(License_Inventory!O$2:O$199&lt;0,ROW(License_Inventory!O$2:O$199),""),1)),"")</f>
        <v/>
      </c>
      <c r="H4" s="2" t="str">
        <f t="array" ref="H4">IFERROR(-INDEX(License_Inventory!O:O,SMALL(IF(License_Inventory!O$2:O$199&lt;0,ROW(License_Inventory!O$2:O$199),""),1)),"")</f>
        <v/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 t="str">
        <f t="array" ref="A5">IFERROR(INDEX(License_Inventory!C:C,SMALL(IF(License_Inventory!O$2:O$199&lt;0,ROW(License_Inventory!O$2:O$199),""),2)),"")</f>
        <v/>
      </c>
      <c r="B5" s="2" t="str">
        <f t="array" ref="B5">IFERROR(INDEX(License_Inventory!B:B,SMALL(IF(License_Inventory!O$2:O$199&lt;0,ROW(License_Inventory!O$2:O$199),""),2)),"")</f>
        <v/>
      </c>
      <c r="C5" s="2" t="str">
        <f t="array" ref="C5">IFERROR(INDEX(License_Inventory!E:E,SMALL(IF(License_Inventory!O$2:O$199&lt;0,ROW(License_Inventory!O$2:O$199),""),2)),"")</f>
        <v/>
      </c>
      <c r="D5" s="2" t="str">
        <f t="array" ref="D5">IFERROR(INDEX(License_Inventory!H:H,SMALL(IF(License_Inventory!O$2:O$199&lt;0,ROW(License_Inventory!O$2:O$199),""),2)),"")</f>
        <v/>
      </c>
      <c r="E5" s="2" t="str">
        <f t="array" ref="E5">IFERROR(INDEX(License_Inventory!M:M,SMALL(IF(License_Inventory!O$2:O$199&lt;0,ROW(License_Inventory!O$2:O$199),""),2)),"")</f>
        <v/>
      </c>
      <c r="F5" s="130" t="str">
        <f t="array" ref="F5">IFERROR(INDEX(License_Inventory!I:I,SMALL(IF(License_Inventory!O$2:O$199&lt;0,ROW(License_Inventory!O$2:O$199),""),2)),"")</f>
        <v/>
      </c>
      <c r="G5" s="130" t="str">
        <f t="array" ref="G5">IFERROR(INDEX(License_Inventory!J:J,SMALL(IF(License_Inventory!O$2:O$199&lt;0,ROW(License_Inventory!O$2:O$199),""),2)),"")</f>
        <v/>
      </c>
      <c r="H5" s="2" t="str">
        <f t="array" ref="H5">IFERROR(-INDEX(License_Inventory!O:O,SMALL(IF(License_Inventory!O$2:O$199&lt;0,ROW(License_Inventory!O$2:O$199),""),2)),"")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 t="str">
        <f t="array" ref="A6">IFERROR(INDEX(License_Inventory!C:C,SMALL(IF(License_Inventory!O$2:O$199&lt;0,ROW(License_Inventory!O$2:O$199),""),3)),"")</f>
        <v/>
      </c>
      <c r="B6" s="2" t="str">
        <f t="array" ref="B6">IFERROR(INDEX(License_Inventory!B:B,SMALL(IF(License_Inventory!O$2:O$199&lt;0,ROW(License_Inventory!O$2:O$199),""),3)),"")</f>
        <v/>
      </c>
      <c r="C6" s="2" t="str">
        <f t="array" ref="C6">IFERROR(INDEX(License_Inventory!E:E,SMALL(IF(License_Inventory!O$2:O$199&lt;0,ROW(License_Inventory!O$2:O$199),""),3)),"")</f>
        <v/>
      </c>
      <c r="D6" s="2" t="str">
        <f t="array" ref="D6">IFERROR(INDEX(License_Inventory!H:H,SMALL(IF(License_Inventory!O$2:O$199&lt;0,ROW(License_Inventory!O$2:O$199),""),3)),"")</f>
        <v/>
      </c>
      <c r="E6" s="2" t="str">
        <f t="array" ref="E6">IFERROR(INDEX(License_Inventory!M:M,SMALL(IF(License_Inventory!O$2:O$199&lt;0,ROW(License_Inventory!O$2:O$199),""),3)),"")</f>
        <v/>
      </c>
      <c r="F6" s="130" t="str">
        <f t="array" ref="F6">IFERROR(INDEX(License_Inventory!I:I,SMALL(IF(License_Inventory!O$2:O$199&lt;0,ROW(License_Inventory!O$2:O$199),""),3)),"")</f>
        <v/>
      </c>
      <c r="G6" s="130" t="str">
        <f t="array" ref="G6">IFERROR(INDEX(License_Inventory!J:J,SMALL(IF(License_Inventory!O$2:O$199&lt;0,ROW(License_Inventory!O$2:O$199),""),3)),"")</f>
        <v/>
      </c>
      <c r="H6" s="2" t="str">
        <f t="array" ref="H6">IFERROR(-INDEX(License_Inventory!O:O,SMALL(IF(License_Inventory!O$2:O$199&lt;0,ROW(License_Inventory!O$2:O$199),""),3)),"")</f>
        <v/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 t="str">
        <f t="array" ref="A7">IFERROR(INDEX(License_Inventory!C:C,SMALL(IF(License_Inventory!O$2:O$199&lt;0,ROW(License_Inventory!O$2:O$199),""),4)),"")</f>
        <v/>
      </c>
      <c r="B7" s="2" t="str">
        <f t="array" ref="B7">IFERROR(INDEX(License_Inventory!B:B,SMALL(IF(License_Inventory!O$2:O$199&lt;0,ROW(License_Inventory!O$2:O$199),""),4)),"")</f>
        <v/>
      </c>
      <c r="C7" s="2" t="str">
        <f t="array" ref="C7">IFERROR(INDEX(License_Inventory!E:E,SMALL(IF(License_Inventory!O$2:O$199&lt;0,ROW(License_Inventory!O$2:O$199),""),4)),"")</f>
        <v/>
      </c>
      <c r="D7" s="2" t="str">
        <f t="array" ref="D7">IFERROR(INDEX(License_Inventory!H:H,SMALL(IF(License_Inventory!O$2:O$199&lt;0,ROW(License_Inventory!O$2:O$199),""),4)),"")</f>
        <v/>
      </c>
      <c r="E7" s="2" t="str">
        <f t="array" ref="E7">IFERROR(INDEX(License_Inventory!M:M,SMALL(IF(License_Inventory!O$2:O$199&lt;0,ROW(License_Inventory!O$2:O$199),""),4)),"")</f>
        <v/>
      </c>
      <c r="F7" s="130" t="str">
        <f t="array" ref="F7">IFERROR(INDEX(License_Inventory!I:I,SMALL(IF(License_Inventory!O$2:O$199&lt;0,ROW(License_Inventory!O$2:O$199),""),4)),"")</f>
        <v/>
      </c>
      <c r="G7" s="130" t="str">
        <f t="array" ref="G7">IFERROR(INDEX(License_Inventory!J:J,SMALL(IF(License_Inventory!O$2:O$199&lt;0,ROW(License_Inventory!O$2:O$199),""),4)),"")</f>
        <v/>
      </c>
      <c r="H7" s="2" t="str">
        <f t="array" ref="H7">IFERROR(-INDEX(License_Inventory!O:O,SMALL(IF(License_Inventory!O$2:O$199&lt;0,ROW(License_Inventory!O$2:O$199),""),4)),"")</f>
        <v/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 t="str">
        <f t="array" ref="A8">IFERROR(INDEX(License_Inventory!C:C,SMALL(IF(License_Inventory!O$2:O$199&lt;0,ROW(License_Inventory!O$2:O$199),""),5)),"")</f>
        <v/>
      </c>
      <c r="B8" s="2" t="str">
        <f t="array" ref="B8">IFERROR(INDEX(License_Inventory!B:B,SMALL(IF(License_Inventory!O$2:O$199&lt;0,ROW(License_Inventory!O$2:O$199),""),5)),"")</f>
        <v/>
      </c>
      <c r="C8" s="2" t="str">
        <f t="array" ref="C8">IFERROR(INDEX(License_Inventory!E:E,SMALL(IF(License_Inventory!O$2:O$199&lt;0,ROW(License_Inventory!O$2:O$199),""),5)),"")</f>
        <v/>
      </c>
      <c r="D8" s="2" t="str">
        <f t="array" ref="D8">IFERROR(INDEX(License_Inventory!H:H,SMALL(IF(License_Inventory!O$2:O$199&lt;0,ROW(License_Inventory!O$2:O$199),""),5)),"")</f>
        <v/>
      </c>
      <c r="E8" s="2" t="str">
        <f t="array" ref="E8">IFERROR(INDEX(License_Inventory!M:M,SMALL(IF(License_Inventory!O$2:O$199&lt;0,ROW(License_Inventory!O$2:O$199),""),5)),"")</f>
        <v/>
      </c>
      <c r="F8" s="130" t="str">
        <f t="array" ref="F8">IFERROR(INDEX(License_Inventory!I:I,SMALL(IF(License_Inventory!O$2:O$199&lt;0,ROW(License_Inventory!O$2:O$199),""),5)),"")</f>
        <v/>
      </c>
      <c r="G8" s="130" t="str">
        <f t="array" ref="G8">IFERROR(INDEX(License_Inventory!J:J,SMALL(IF(License_Inventory!O$2:O$199&lt;0,ROW(License_Inventory!O$2:O$199),""),5)),"")</f>
        <v/>
      </c>
      <c r="H8" s="2" t="str">
        <f t="array" ref="H8">IFERROR(-INDEX(License_Inventory!O:O,SMALL(IF(License_Inventory!O$2:O$199&lt;0,ROW(License_Inventory!O$2:O$199),""),5)),"")</f>
        <v/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 t="str">
        <f t="array" ref="A9">IFERROR(INDEX(License_Inventory!C:C,SMALL(IF(License_Inventory!O$2:O$199&lt;0,ROW(License_Inventory!O$2:O$199),""),6)),"")</f>
        <v/>
      </c>
      <c r="B9" s="2" t="str">
        <f t="array" ref="B9">IFERROR(INDEX(License_Inventory!B:B,SMALL(IF(License_Inventory!O$2:O$199&lt;0,ROW(License_Inventory!O$2:O$199),""),6)),"")</f>
        <v/>
      </c>
      <c r="C9" s="2" t="str">
        <f t="array" ref="C9">IFERROR(INDEX(License_Inventory!E:E,SMALL(IF(License_Inventory!O$2:O$199&lt;0,ROW(License_Inventory!O$2:O$199),""),6)),"")</f>
        <v/>
      </c>
      <c r="D9" s="2" t="str">
        <f t="array" ref="D9">IFERROR(INDEX(License_Inventory!H:H,SMALL(IF(License_Inventory!O$2:O$199&lt;0,ROW(License_Inventory!O$2:O$199),""),6)),"")</f>
        <v/>
      </c>
      <c r="E9" s="2" t="str">
        <f t="array" ref="E9">IFERROR(INDEX(License_Inventory!M:M,SMALL(IF(License_Inventory!O$2:O$199&lt;0,ROW(License_Inventory!O$2:O$199),""),6)),"")</f>
        <v/>
      </c>
      <c r="F9" s="130" t="str">
        <f t="array" ref="F9">IFERROR(INDEX(License_Inventory!I:I,SMALL(IF(License_Inventory!O$2:O$199&lt;0,ROW(License_Inventory!O$2:O$199),""),6)),"")</f>
        <v/>
      </c>
      <c r="G9" s="130" t="str">
        <f t="array" ref="G9">IFERROR(INDEX(License_Inventory!J:J,SMALL(IF(License_Inventory!O$2:O$199&lt;0,ROW(License_Inventory!O$2:O$199),""),6)),"")</f>
        <v/>
      </c>
      <c r="H9" s="2" t="str">
        <f t="array" ref="H9">IFERROR(-INDEX(License_Inventory!O:O,SMALL(IF(License_Inventory!O$2:O$199&lt;0,ROW(License_Inventory!O$2:O$199),""),6)),"")</f>
        <v/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 t="str">
        <f t="array" ref="A10">IFERROR(INDEX(License_Inventory!C:C,SMALL(IF(License_Inventory!O$2:O$199&lt;0,ROW(License_Inventory!O$2:O$199),""),7)),"")</f>
        <v/>
      </c>
      <c r="B10" s="2" t="str">
        <f t="array" ref="B10">IFERROR(INDEX(License_Inventory!B:B,SMALL(IF(License_Inventory!O$2:O$199&lt;0,ROW(License_Inventory!O$2:O$199),""),7)),"")</f>
        <v/>
      </c>
      <c r="C10" s="2" t="str">
        <f t="array" ref="C10">IFERROR(INDEX(License_Inventory!E:E,SMALL(IF(License_Inventory!O$2:O$199&lt;0,ROW(License_Inventory!O$2:O$199),""),7)),"")</f>
        <v/>
      </c>
      <c r="D10" s="2" t="str">
        <f t="array" ref="D10">IFERROR(INDEX(License_Inventory!H:H,SMALL(IF(License_Inventory!O$2:O$199&lt;0,ROW(License_Inventory!O$2:O$199),""),7)),"")</f>
        <v/>
      </c>
      <c r="E10" s="2" t="str">
        <f t="array" ref="E10">IFERROR(INDEX(License_Inventory!M:M,SMALL(IF(License_Inventory!O$2:O$199&lt;0,ROW(License_Inventory!O$2:O$199),""),7)),"")</f>
        <v/>
      </c>
      <c r="F10" s="2" t="str">
        <f t="array" ref="F10">IFERROR(INDEX(License_Inventory!I:I,SMALL(IF(License_Inventory!O$2:O$199&lt;0,ROW(License_Inventory!O$2:O$199),""),7)),"")</f>
        <v/>
      </c>
      <c r="G10" s="2" t="str">
        <f t="array" ref="G10">IFERROR(INDEX(License_Inventory!J:J,SMALL(IF(License_Inventory!O$2:O$199&lt;0,ROW(License_Inventory!O$2:O$199),""),7)),"")</f>
        <v/>
      </c>
      <c r="H10" s="2" t="str">
        <f t="array" ref="H10">IFERROR(-INDEX(License_Inventory!O:O,SMALL(IF(License_Inventory!O$2:O$199&lt;0,ROW(License_Inventory!O$2:O$199),""),7)),"")</f>
        <v/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tr">
        <f t="array" ref="A11">IFERROR(INDEX(License_Inventory!C:C,SMALL(IF(License_Inventory!O$2:O$199&lt;0,ROW(License_Inventory!O$2:O$199),""),8)),"")</f>
        <v/>
      </c>
      <c r="B11" s="2" t="str">
        <f t="array" ref="B11">IFERROR(INDEX(License_Inventory!B:B,SMALL(IF(License_Inventory!O$2:O$199&lt;0,ROW(License_Inventory!O$2:O$199),""),8)),"")</f>
        <v/>
      </c>
      <c r="C11" s="2" t="str">
        <f t="array" ref="C11">IFERROR(INDEX(License_Inventory!E:E,SMALL(IF(License_Inventory!O$2:O$199&lt;0,ROW(License_Inventory!O$2:O$199),""),8)),"")</f>
        <v/>
      </c>
      <c r="D11" s="2" t="str">
        <f t="array" ref="D11">IFERROR(INDEX(License_Inventory!H:H,SMALL(IF(License_Inventory!O$2:O$199&lt;0,ROW(License_Inventory!O$2:O$199),""),8)),"")</f>
        <v/>
      </c>
      <c r="E11" s="2" t="str">
        <f t="array" ref="E11">IFERROR(INDEX(License_Inventory!M:M,SMALL(IF(License_Inventory!O$2:O$199&lt;0,ROW(License_Inventory!O$2:O$199),""),8)),"")</f>
        <v/>
      </c>
      <c r="F11" s="2" t="str">
        <f t="array" ref="F11">IFERROR(INDEX(License_Inventory!I:I,SMALL(IF(License_Inventory!O$2:O$199&lt;0,ROW(License_Inventory!O$2:O$199),""),8)),"")</f>
        <v/>
      </c>
      <c r="G11" s="2" t="str">
        <f t="array" ref="G11">IFERROR(INDEX(License_Inventory!J:J,SMALL(IF(License_Inventory!O$2:O$199&lt;0,ROW(License_Inventory!O$2:O$199),""),8)),"")</f>
        <v/>
      </c>
      <c r="H11" s="2" t="str">
        <f t="array" ref="H11">IFERROR(-INDEX(License_Inventory!O:O,SMALL(IF(License_Inventory!O$2:O$199&lt;0,ROW(License_Inventory!O$2:O$199),""),8)),"")</f>
        <v/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 t="str">
        <f t="array" ref="A12">IFERROR(INDEX(License_Inventory!C:C,SMALL(IF(License_Inventory!O$2:O$199&lt;0,ROW(License_Inventory!O$2:O$199),""),9)),"")</f>
        <v/>
      </c>
      <c r="B12" s="2" t="str">
        <f t="array" ref="B12">IFERROR(INDEX(License_Inventory!B:B,SMALL(IF(License_Inventory!O$2:O$199&lt;0,ROW(License_Inventory!O$2:O$199),""),9)),"")</f>
        <v/>
      </c>
      <c r="C12" s="2" t="str">
        <f t="array" ref="C12">IFERROR(INDEX(License_Inventory!E:E,SMALL(IF(License_Inventory!O$2:O$199&lt;0,ROW(License_Inventory!O$2:O$199),""),9)),"")</f>
        <v/>
      </c>
      <c r="D12" s="2" t="str">
        <f t="array" ref="D12">IFERROR(INDEX(License_Inventory!H:H,SMALL(IF(License_Inventory!O$2:O$199&lt;0,ROW(License_Inventory!O$2:O$199),""),9)),"")</f>
        <v/>
      </c>
      <c r="E12" s="2" t="str">
        <f t="array" ref="E12">IFERROR(INDEX(License_Inventory!M:M,SMALL(IF(License_Inventory!O$2:O$199&lt;0,ROW(License_Inventory!O$2:O$199),""),9)),"")</f>
        <v/>
      </c>
      <c r="F12" s="2" t="str">
        <f t="array" ref="F12">IFERROR(INDEX(License_Inventory!I:I,SMALL(IF(License_Inventory!O$2:O$199&lt;0,ROW(License_Inventory!O$2:O$199),""),9)),"")</f>
        <v/>
      </c>
      <c r="G12" s="2" t="str">
        <f t="array" ref="G12">IFERROR(INDEX(License_Inventory!J:J,SMALL(IF(License_Inventory!O$2:O$199&lt;0,ROW(License_Inventory!O$2:O$199),""),9)),"")</f>
        <v/>
      </c>
      <c r="H12" s="2" t="str">
        <f t="array" ref="H12">IFERROR(-INDEX(License_Inventory!O:O,SMALL(IF(License_Inventory!O$2:O$199&lt;0,ROW(License_Inventory!O$2:O$199),""),9)),"")</f>
        <v/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 t="str">
        <f t="array" ref="A13">IFERROR(INDEX(License_Inventory!C:C,SMALL(IF(License_Inventory!O$2:O$199&lt;0,ROW(License_Inventory!O$2:O$199),""),10)),"")</f>
        <v/>
      </c>
      <c r="B13" s="2" t="str">
        <f t="array" ref="B13">IFERROR(INDEX(License_Inventory!B:B,SMALL(IF(License_Inventory!O$2:O$199&lt;0,ROW(License_Inventory!O$2:O$199),""),10)),"")</f>
        <v/>
      </c>
      <c r="C13" s="2" t="str">
        <f t="array" ref="C13">IFERROR(INDEX(License_Inventory!E:E,SMALL(IF(License_Inventory!O$2:O$199&lt;0,ROW(License_Inventory!O$2:O$199),""),10)),"")</f>
        <v/>
      </c>
      <c r="D13" s="2" t="str">
        <f t="array" ref="D13">IFERROR(INDEX(License_Inventory!H:H,SMALL(IF(License_Inventory!O$2:O$199&lt;0,ROW(License_Inventory!O$2:O$199),""),10)),"")</f>
        <v/>
      </c>
      <c r="E13" s="2" t="str">
        <f t="array" ref="E13">IFERROR(INDEX(License_Inventory!M:M,SMALL(IF(License_Inventory!O$2:O$199&lt;0,ROW(License_Inventory!O$2:O$199),""),10)),"")</f>
        <v/>
      </c>
      <c r="F13" s="2" t="str">
        <f t="array" ref="F13">IFERROR(INDEX(License_Inventory!I:I,SMALL(IF(License_Inventory!O$2:O$199&lt;0,ROW(License_Inventory!O$2:O$199),""),10)),"")</f>
        <v/>
      </c>
      <c r="G13" s="2" t="str">
        <f t="array" ref="G13">IFERROR(INDEX(License_Inventory!J:J,SMALL(IF(License_Inventory!O$2:O$199&lt;0,ROW(License_Inventory!O$2:O$199),""),10)),"")</f>
        <v/>
      </c>
      <c r="H13" s="2" t="str">
        <f t="array" ref="H13">IFERROR(-INDEX(License_Inventory!O:O,SMALL(IF(License_Inventory!O$2:O$199&lt;0,ROW(License_Inventory!O$2:O$199),""),10)),"")</f>
        <v/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 t="str">
        <f t="array" ref="A14">IFERROR(INDEX(License_Inventory!C:C,SMALL(IF(License_Inventory!O$2:O$199&lt;0,ROW(License_Inventory!O$2:O$199),""),11)),"")</f>
        <v/>
      </c>
      <c r="B14" s="2" t="str">
        <f t="array" ref="B14">IFERROR(INDEX(License_Inventory!B:B,SMALL(IF(License_Inventory!O$2:O$199&lt;0,ROW(License_Inventory!O$2:O$199),""),11)),"")</f>
        <v/>
      </c>
      <c r="C14" s="2" t="str">
        <f t="array" ref="C14">IFERROR(INDEX(License_Inventory!E:E,SMALL(IF(License_Inventory!O$2:O$199&lt;0,ROW(License_Inventory!O$2:O$199),""),11)),"")</f>
        <v/>
      </c>
      <c r="D14" s="2" t="str">
        <f t="array" ref="D14">IFERROR(INDEX(License_Inventory!H:H,SMALL(IF(License_Inventory!O$2:O$199&lt;0,ROW(License_Inventory!O$2:O$199),""),11)),"")</f>
        <v/>
      </c>
      <c r="E14" s="2" t="str">
        <f t="array" ref="E14">IFERROR(INDEX(License_Inventory!M:M,SMALL(IF(License_Inventory!O$2:O$199&lt;0,ROW(License_Inventory!O$2:O$199),""),11)),"")</f>
        <v/>
      </c>
      <c r="F14" s="2" t="str">
        <f t="array" ref="F14">IFERROR(INDEX(License_Inventory!I:I,SMALL(IF(License_Inventory!O$2:O$199&lt;0,ROW(License_Inventory!O$2:O$199),""),11)),"")</f>
        <v/>
      </c>
      <c r="G14" s="2" t="str">
        <f t="array" ref="G14">IFERROR(INDEX(License_Inventory!J:J,SMALL(IF(License_Inventory!O$2:O$199&lt;0,ROW(License_Inventory!O$2:O$199),""),11)),"")</f>
        <v/>
      </c>
      <c r="H14" s="2" t="str">
        <f t="array" ref="H14">IFERROR(-INDEX(License_Inventory!O:O,SMALL(IF(License_Inventory!O$2:O$199&lt;0,ROW(License_Inventory!O$2:O$199),""),11)),"")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 t="str">
        <f t="array" ref="A15">IFERROR(INDEX(License_Inventory!C:C,SMALL(IF(License_Inventory!O$2:O$199&lt;0,ROW(License_Inventory!O$2:O$199),""),12)),"")</f>
        <v/>
      </c>
      <c r="B15" s="2" t="str">
        <f t="array" ref="B15">IFERROR(INDEX(License_Inventory!B:B,SMALL(IF(License_Inventory!O$2:O$199&lt;0,ROW(License_Inventory!O$2:O$199),""),12)),"")</f>
        <v/>
      </c>
      <c r="C15" s="2" t="str">
        <f t="array" ref="C15">IFERROR(INDEX(License_Inventory!E:E,SMALL(IF(License_Inventory!O$2:O$199&lt;0,ROW(License_Inventory!O$2:O$199),""),12)),"")</f>
        <v/>
      </c>
      <c r="D15" s="2" t="str">
        <f t="array" ref="D15">IFERROR(INDEX(License_Inventory!H:H,SMALL(IF(License_Inventory!O$2:O$199&lt;0,ROW(License_Inventory!O$2:O$199),""),12)),"")</f>
        <v/>
      </c>
      <c r="E15" s="2" t="str">
        <f t="array" ref="E15">IFERROR(INDEX(License_Inventory!M:M,SMALL(IF(License_Inventory!O$2:O$199&lt;0,ROW(License_Inventory!O$2:O$199),""),12)),"")</f>
        <v/>
      </c>
      <c r="F15" s="2" t="str">
        <f t="array" ref="F15">IFERROR(INDEX(License_Inventory!I:I,SMALL(IF(License_Inventory!O$2:O$199&lt;0,ROW(License_Inventory!O$2:O$199),""),12)),"")</f>
        <v/>
      </c>
      <c r="G15" s="2" t="str">
        <f t="array" ref="G15">IFERROR(INDEX(License_Inventory!J:J,SMALL(IF(License_Inventory!O$2:O$199&lt;0,ROW(License_Inventory!O$2:O$199),""),12)),"")</f>
        <v/>
      </c>
      <c r="H15" s="2" t="str">
        <f t="array" ref="H15">IFERROR(-INDEX(License_Inventory!O:O,SMALL(IF(License_Inventory!O$2:O$199&lt;0,ROW(License_Inventory!O$2:O$199),""),12)),"")</f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 t="str">
        <f t="array" ref="A16">IFERROR(INDEX(License_Inventory!C:C,SMALL(IF(License_Inventory!O$2:O$199&lt;0,ROW(License_Inventory!O$2:O$199),""),13)),"")</f>
        <v/>
      </c>
      <c r="B16" s="2" t="str">
        <f t="array" ref="B16">IFERROR(INDEX(License_Inventory!B:B,SMALL(IF(License_Inventory!O$2:O$199&lt;0,ROW(License_Inventory!O$2:O$199),""),13)),"")</f>
        <v/>
      </c>
      <c r="C16" s="2" t="str">
        <f t="array" ref="C16">IFERROR(INDEX(License_Inventory!E:E,SMALL(IF(License_Inventory!O$2:O$199&lt;0,ROW(License_Inventory!O$2:O$199),""),13)),"")</f>
        <v/>
      </c>
      <c r="D16" s="2" t="str">
        <f t="array" ref="D16">IFERROR(INDEX(License_Inventory!H:H,SMALL(IF(License_Inventory!O$2:O$199&lt;0,ROW(License_Inventory!O$2:O$199),""),13)),"")</f>
        <v/>
      </c>
      <c r="E16" s="2" t="str">
        <f t="array" ref="E16">IFERROR(INDEX(License_Inventory!M:M,SMALL(IF(License_Inventory!O$2:O$199&lt;0,ROW(License_Inventory!O$2:O$199),""),13)),"")</f>
        <v/>
      </c>
      <c r="F16" s="2" t="str">
        <f t="array" ref="F16">IFERROR(INDEX(License_Inventory!I:I,SMALL(IF(License_Inventory!O$2:O$199&lt;0,ROW(License_Inventory!O$2:O$199),""),13)),"")</f>
        <v/>
      </c>
      <c r="G16" s="2" t="str">
        <f t="array" ref="G16">IFERROR(INDEX(License_Inventory!J:J,SMALL(IF(License_Inventory!O$2:O$199&lt;0,ROW(License_Inventory!O$2:O$199),""),13)),"")</f>
        <v/>
      </c>
      <c r="H16" s="2" t="str">
        <f t="array" ref="H16">IFERROR(-INDEX(License_Inventory!O:O,SMALL(IF(License_Inventory!O$2:O$199&lt;0,ROW(License_Inventory!O$2:O$199),""),13)),"")</f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 t="str">
        <f t="array" ref="A17">IFERROR(INDEX(License_Inventory!C:C,SMALL(IF(License_Inventory!O$2:O$199&lt;0,ROW(License_Inventory!O$2:O$199),""),14)),"")</f>
        <v/>
      </c>
      <c r="B17" s="2" t="str">
        <f t="array" ref="B17">IFERROR(INDEX(License_Inventory!B:B,SMALL(IF(License_Inventory!O$2:O$199&lt;0,ROW(License_Inventory!O$2:O$199),""),14)),"")</f>
        <v/>
      </c>
      <c r="C17" s="2" t="str">
        <f t="array" ref="C17">IFERROR(INDEX(License_Inventory!E:E,SMALL(IF(License_Inventory!O$2:O$199&lt;0,ROW(License_Inventory!O$2:O$199),""),14)),"")</f>
        <v/>
      </c>
      <c r="D17" s="2" t="str">
        <f t="array" ref="D17">IFERROR(INDEX(License_Inventory!H:H,SMALL(IF(License_Inventory!O$2:O$199&lt;0,ROW(License_Inventory!O$2:O$199),""),14)),"")</f>
        <v/>
      </c>
      <c r="E17" s="2" t="str">
        <f t="array" ref="E17">IFERROR(INDEX(License_Inventory!M:M,SMALL(IF(License_Inventory!O$2:O$199&lt;0,ROW(License_Inventory!O$2:O$199),""),14)),"")</f>
        <v/>
      </c>
      <c r="F17" s="2" t="str">
        <f t="array" ref="F17">IFERROR(INDEX(License_Inventory!I:I,SMALL(IF(License_Inventory!O$2:O$199&lt;0,ROW(License_Inventory!O$2:O$199),""),14)),"")</f>
        <v/>
      </c>
      <c r="G17" s="2" t="str">
        <f t="array" ref="G17">IFERROR(INDEX(License_Inventory!J:J,SMALL(IF(License_Inventory!O$2:O$199&lt;0,ROW(License_Inventory!O$2:O$199),""),14)),"")</f>
        <v/>
      </c>
      <c r="H17" s="2" t="str">
        <f t="array" ref="H17">IFERROR(-INDEX(License_Inventory!O:O,SMALL(IF(License_Inventory!O$2:O$199&lt;0,ROW(License_Inventory!O$2:O$199),""),14)),"")</f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 t="str">
        <f t="array" ref="A18">IFERROR(INDEX(License_Inventory!C:C,SMALL(IF(License_Inventory!O$2:O$199&lt;0,ROW(License_Inventory!O$2:O$199),""),15)),"")</f>
        <v/>
      </c>
      <c r="B18" s="2" t="str">
        <f t="array" ref="B18">IFERROR(INDEX(License_Inventory!B:B,SMALL(IF(License_Inventory!O$2:O$199&lt;0,ROW(License_Inventory!O$2:O$199),""),15)),"")</f>
        <v/>
      </c>
      <c r="C18" s="2" t="str">
        <f t="array" ref="C18">IFERROR(INDEX(License_Inventory!E:E,SMALL(IF(License_Inventory!O$2:O$199&lt;0,ROW(License_Inventory!O$2:O$199),""),15)),"")</f>
        <v/>
      </c>
      <c r="D18" s="2" t="str">
        <f t="array" ref="D18">IFERROR(INDEX(License_Inventory!H:H,SMALL(IF(License_Inventory!O$2:O$199&lt;0,ROW(License_Inventory!O$2:O$199),""),15)),"")</f>
        <v/>
      </c>
      <c r="E18" s="2" t="str">
        <f t="array" ref="E18">IFERROR(INDEX(License_Inventory!M:M,SMALL(IF(License_Inventory!O$2:O$199&lt;0,ROW(License_Inventory!O$2:O$199),""),15)),"")</f>
        <v/>
      </c>
      <c r="F18" s="2" t="str">
        <f t="array" ref="F18">IFERROR(INDEX(License_Inventory!I:I,SMALL(IF(License_Inventory!O$2:O$199&lt;0,ROW(License_Inventory!O$2:O$199),""),15)),"")</f>
        <v/>
      </c>
      <c r="G18" s="2" t="str">
        <f t="array" ref="G18">IFERROR(INDEX(License_Inventory!J:J,SMALL(IF(License_Inventory!O$2:O$199&lt;0,ROW(License_Inventory!O$2:O$199),""),15)),"")</f>
        <v/>
      </c>
      <c r="H18" s="2" t="str">
        <f t="array" ref="H18">IFERROR(-INDEX(License_Inventory!O:O,SMALL(IF(License_Inventory!O$2:O$199&lt;0,ROW(License_Inventory!O$2:O$199),""),15)),"")</f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 t="str">
        <f t="array" ref="A19">IFERROR(INDEX(License_Inventory!C:C,SMALL(IF(License_Inventory!O$2:O$199&lt;0,ROW(License_Inventory!O$2:O$199),""),16)),"")</f>
        <v/>
      </c>
      <c r="B19" s="2" t="str">
        <f t="array" ref="B19">IFERROR(INDEX(License_Inventory!B:B,SMALL(IF(License_Inventory!O$2:O$199&lt;0,ROW(License_Inventory!O$2:O$199),""),16)),"")</f>
        <v/>
      </c>
      <c r="C19" s="2" t="str">
        <f t="array" ref="C19">IFERROR(INDEX(License_Inventory!E:E,SMALL(IF(License_Inventory!O$2:O$199&lt;0,ROW(License_Inventory!O$2:O$199),""),16)),"")</f>
        <v/>
      </c>
      <c r="D19" s="2" t="str">
        <f t="array" ref="D19">IFERROR(INDEX(License_Inventory!H:H,SMALL(IF(License_Inventory!O$2:O$199&lt;0,ROW(License_Inventory!O$2:O$199),""),16)),"")</f>
        <v/>
      </c>
      <c r="E19" s="2" t="str">
        <f t="array" ref="E19">IFERROR(INDEX(License_Inventory!M:M,SMALL(IF(License_Inventory!O$2:O$199&lt;0,ROW(License_Inventory!O$2:O$199),""),16)),"")</f>
        <v/>
      </c>
      <c r="F19" s="2" t="str">
        <f t="array" ref="F19">IFERROR(INDEX(License_Inventory!I:I,SMALL(IF(License_Inventory!O$2:O$199&lt;0,ROW(License_Inventory!O$2:O$199),""),16)),"")</f>
        <v/>
      </c>
      <c r="G19" s="2" t="str">
        <f t="array" ref="G19">IFERROR(INDEX(License_Inventory!J:J,SMALL(IF(License_Inventory!O$2:O$199&lt;0,ROW(License_Inventory!O$2:O$199),""),16)),"")</f>
        <v/>
      </c>
      <c r="H19" s="2" t="str">
        <f t="array" ref="H19">IFERROR(-INDEX(License_Inventory!O:O,SMALL(IF(License_Inventory!O$2:O$199&lt;0,ROW(License_Inventory!O$2:O$199),""),16)),"")</f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 t="str">
        <f t="array" ref="A20">IFERROR(INDEX(License_Inventory!C:C,SMALL(IF(License_Inventory!O$2:O$199&lt;0,ROW(License_Inventory!O$2:O$199),""),17)),"")</f>
        <v/>
      </c>
      <c r="B20" s="2" t="str">
        <f t="array" ref="B20">IFERROR(INDEX(License_Inventory!B:B,SMALL(IF(License_Inventory!O$2:O$199&lt;0,ROW(License_Inventory!O$2:O$199),""),17)),"")</f>
        <v/>
      </c>
      <c r="C20" s="2" t="str">
        <f t="array" ref="C20">IFERROR(INDEX(License_Inventory!E:E,SMALL(IF(License_Inventory!O$2:O$199&lt;0,ROW(License_Inventory!O$2:O$199),""),17)),"")</f>
        <v/>
      </c>
      <c r="D20" s="2" t="str">
        <f t="array" ref="D20">IFERROR(INDEX(License_Inventory!H:H,SMALL(IF(License_Inventory!O$2:O$199&lt;0,ROW(License_Inventory!O$2:O$199),""),17)),"")</f>
        <v/>
      </c>
      <c r="E20" s="2" t="str">
        <f t="array" ref="E20">IFERROR(INDEX(License_Inventory!M:M,SMALL(IF(License_Inventory!O$2:O$199&lt;0,ROW(License_Inventory!O$2:O$199),""),17)),"")</f>
        <v/>
      </c>
      <c r="F20" s="2" t="str">
        <f t="array" ref="F20">IFERROR(INDEX(License_Inventory!I:I,SMALL(IF(License_Inventory!O$2:O$199&lt;0,ROW(License_Inventory!O$2:O$199),""),17)),"")</f>
        <v/>
      </c>
      <c r="G20" s="2" t="str">
        <f t="array" ref="G20">IFERROR(INDEX(License_Inventory!J:J,SMALL(IF(License_Inventory!O$2:O$199&lt;0,ROW(License_Inventory!O$2:O$199),""),17)),"")</f>
        <v/>
      </c>
      <c r="H20" s="2" t="str">
        <f t="array" ref="H20">IFERROR(-INDEX(License_Inventory!O:O,SMALL(IF(License_Inventory!O$2:O$199&lt;0,ROW(License_Inventory!O$2:O$199),""),17)),"")</f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tr">
        <f t="array" ref="A21">IFERROR(INDEX(License_Inventory!C:C,SMALL(IF(License_Inventory!O$2:O$199&lt;0,ROW(License_Inventory!O$2:O$199),""),18)),"")</f>
        <v/>
      </c>
      <c r="B21" s="2" t="str">
        <f t="array" ref="B21">IFERROR(INDEX(License_Inventory!B:B,SMALL(IF(License_Inventory!O$2:O$199&lt;0,ROW(License_Inventory!O$2:O$199),""),18)),"")</f>
        <v/>
      </c>
      <c r="C21" s="2" t="str">
        <f t="array" ref="C21">IFERROR(INDEX(License_Inventory!E:E,SMALL(IF(License_Inventory!O$2:O$199&lt;0,ROW(License_Inventory!O$2:O$199),""),18)),"")</f>
        <v/>
      </c>
      <c r="D21" s="2" t="str">
        <f t="array" ref="D21">IFERROR(INDEX(License_Inventory!H:H,SMALL(IF(License_Inventory!O$2:O$199&lt;0,ROW(License_Inventory!O$2:O$199),""),18)),"")</f>
        <v/>
      </c>
      <c r="E21" s="2" t="str">
        <f t="array" ref="E21">IFERROR(INDEX(License_Inventory!M:M,SMALL(IF(License_Inventory!O$2:O$199&lt;0,ROW(License_Inventory!O$2:O$199),""),18)),"")</f>
        <v/>
      </c>
      <c r="F21" s="2" t="str">
        <f t="array" ref="F21">IFERROR(INDEX(License_Inventory!I:I,SMALL(IF(License_Inventory!O$2:O$199&lt;0,ROW(License_Inventory!O$2:O$199),""),18)),"")</f>
        <v/>
      </c>
      <c r="G21" s="2" t="str">
        <f t="array" ref="G21">IFERROR(INDEX(License_Inventory!J:J,SMALL(IF(License_Inventory!O$2:O$199&lt;0,ROW(License_Inventory!O$2:O$199),""),18)),"")</f>
        <v/>
      </c>
      <c r="H21" s="2" t="str">
        <f t="array" ref="H21">IFERROR(-INDEX(License_Inventory!O:O,SMALL(IF(License_Inventory!O$2:O$199&lt;0,ROW(License_Inventory!O$2:O$199),""),18)),"")</f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tr">
        <f t="array" ref="A22">IFERROR(INDEX(License_Inventory!C:C,SMALL(IF(License_Inventory!O$2:O$199&lt;0,ROW(License_Inventory!O$2:O$199),""),19)),"")</f>
        <v/>
      </c>
      <c r="B22" s="2" t="str">
        <f t="array" ref="B22">IFERROR(INDEX(License_Inventory!B:B,SMALL(IF(License_Inventory!O$2:O$199&lt;0,ROW(License_Inventory!O$2:O$199),""),19)),"")</f>
        <v/>
      </c>
      <c r="C22" s="2" t="str">
        <f t="array" ref="C22">IFERROR(INDEX(License_Inventory!E:E,SMALL(IF(License_Inventory!O$2:O$199&lt;0,ROW(License_Inventory!O$2:O$199),""),19)),"")</f>
        <v/>
      </c>
      <c r="D22" s="2" t="str">
        <f t="array" ref="D22">IFERROR(INDEX(License_Inventory!H:H,SMALL(IF(License_Inventory!O$2:O$199&lt;0,ROW(License_Inventory!O$2:O$199),""),19)),"")</f>
        <v/>
      </c>
      <c r="E22" s="2" t="str">
        <f t="array" ref="E22">IFERROR(INDEX(License_Inventory!M:M,SMALL(IF(License_Inventory!O$2:O$199&lt;0,ROW(License_Inventory!O$2:O$199),""),19)),"")</f>
        <v/>
      </c>
      <c r="F22" s="2" t="str">
        <f t="array" ref="F22">IFERROR(INDEX(License_Inventory!I:I,SMALL(IF(License_Inventory!O$2:O$199&lt;0,ROW(License_Inventory!O$2:O$199),""),19)),"")</f>
        <v/>
      </c>
      <c r="G22" s="2" t="str">
        <f t="array" ref="G22">IFERROR(INDEX(License_Inventory!J:J,SMALL(IF(License_Inventory!O$2:O$199&lt;0,ROW(License_Inventory!O$2:O$199),""),19)),"")</f>
        <v/>
      </c>
      <c r="H22" s="2" t="str">
        <f t="array" ref="H22">IFERROR(-INDEX(License_Inventory!O:O,SMALL(IF(License_Inventory!O$2:O$199&lt;0,ROW(License_Inventory!O$2:O$199),""),19)),"")</f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tr">
        <f t="array" ref="A23">IFERROR(INDEX(License_Inventory!C:C,SMALL(IF(License_Inventory!O$2:O$199&lt;0,ROW(License_Inventory!O$2:O$199),""),20)),"")</f>
        <v/>
      </c>
      <c r="B23" s="2" t="str">
        <f t="array" ref="B23">IFERROR(INDEX(License_Inventory!B:B,SMALL(IF(License_Inventory!O$2:O$199&lt;0,ROW(License_Inventory!O$2:O$199),""),20)),"")</f>
        <v/>
      </c>
      <c r="C23" s="2" t="str">
        <f t="array" ref="C23">IFERROR(INDEX(License_Inventory!E:E,SMALL(IF(License_Inventory!O$2:O$199&lt;0,ROW(License_Inventory!O$2:O$199),""),20)),"")</f>
        <v/>
      </c>
      <c r="D23" s="2" t="str">
        <f t="array" ref="D23">IFERROR(INDEX(License_Inventory!H:H,SMALL(IF(License_Inventory!O$2:O$199&lt;0,ROW(License_Inventory!O$2:O$199),""),20)),"")</f>
        <v/>
      </c>
      <c r="E23" s="2" t="str">
        <f t="array" ref="E23">IFERROR(INDEX(License_Inventory!M:M,SMALL(IF(License_Inventory!O$2:O$199&lt;0,ROW(License_Inventory!O$2:O$199),""),20)),"")</f>
        <v/>
      </c>
      <c r="F23" s="2" t="str">
        <f t="array" ref="F23">IFERROR(INDEX(License_Inventory!I:I,SMALL(IF(License_Inventory!O$2:O$199&lt;0,ROW(License_Inventory!O$2:O$199),""),20)),"")</f>
        <v/>
      </c>
      <c r="G23" s="2" t="str">
        <f t="array" ref="G23">IFERROR(INDEX(License_Inventory!J:J,SMALL(IF(License_Inventory!O$2:O$199&lt;0,ROW(License_Inventory!O$2:O$199),""),20)),"")</f>
        <v/>
      </c>
      <c r="H23" s="2" t="str">
        <f t="array" ref="H23">IFERROR(-INDEX(License_Inventory!O:O,SMALL(IF(License_Inventory!O$2:O$199&lt;0,ROW(License_Inventory!O$2:O$199),""),20)),"")</f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tr">
        <f t="array" ref="A24">IFERROR(INDEX(License_Inventory!C:C,SMALL(IF(License_Inventory!O$2:O$199&lt;0,ROW(License_Inventory!O$2:O$199),""),21)),"")</f>
        <v/>
      </c>
      <c r="B24" s="2" t="str">
        <f t="array" ref="B24">IFERROR(INDEX(License_Inventory!B:B,SMALL(IF(License_Inventory!O$2:O$199&lt;0,ROW(License_Inventory!O$2:O$199),""),21)),"")</f>
        <v/>
      </c>
      <c r="C24" s="2" t="str">
        <f t="array" ref="C24">IFERROR(INDEX(License_Inventory!E:E,SMALL(IF(License_Inventory!O$2:O$199&lt;0,ROW(License_Inventory!O$2:O$199),""),21)),"")</f>
        <v/>
      </c>
      <c r="D24" s="2" t="str">
        <f t="array" ref="D24">IFERROR(INDEX(License_Inventory!H:H,SMALL(IF(License_Inventory!O$2:O$199&lt;0,ROW(License_Inventory!O$2:O$199),""),21)),"")</f>
        <v/>
      </c>
      <c r="E24" s="2" t="str">
        <f t="array" ref="E24">IFERROR(INDEX(License_Inventory!M:M,SMALL(IF(License_Inventory!O$2:O$199&lt;0,ROW(License_Inventory!O$2:O$199),""),21)),"")</f>
        <v/>
      </c>
      <c r="F24" s="2" t="str">
        <f t="array" ref="F24">IFERROR(INDEX(License_Inventory!I:I,SMALL(IF(License_Inventory!O$2:O$199&lt;0,ROW(License_Inventory!O$2:O$199),""),21)),"")</f>
        <v/>
      </c>
      <c r="G24" s="2" t="str">
        <f t="array" ref="G24">IFERROR(INDEX(License_Inventory!J:J,SMALL(IF(License_Inventory!O$2:O$199&lt;0,ROW(License_Inventory!O$2:O$199),""),21)),"")</f>
        <v/>
      </c>
      <c r="H24" s="2" t="str">
        <f t="array" ref="H24">IFERROR(-INDEX(License_Inventory!O:O,SMALL(IF(License_Inventory!O$2:O$199&lt;0,ROW(License_Inventory!O$2:O$199),""),21)),"")</f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tr">
        <f t="array" ref="A25">IFERROR(INDEX(License_Inventory!C:C,SMALL(IF(License_Inventory!O$2:O$199&lt;0,ROW(License_Inventory!O$2:O$199),""),22)),"")</f>
        <v/>
      </c>
      <c r="B25" s="2" t="str">
        <f t="array" ref="B25">IFERROR(INDEX(License_Inventory!B:B,SMALL(IF(License_Inventory!O$2:O$199&lt;0,ROW(License_Inventory!O$2:O$199),""),22)),"")</f>
        <v/>
      </c>
      <c r="C25" s="2" t="str">
        <f t="array" ref="C25">IFERROR(INDEX(License_Inventory!E:E,SMALL(IF(License_Inventory!O$2:O$199&lt;0,ROW(License_Inventory!O$2:O$199),""),22)),"")</f>
        <v/>
      </c>
      <c r="D25" s="2" t="str">
        <f t="array" ref="D25">IFERROR(INDEX(License_Inventory!H:H,SMALL(IF(License_Inventory!O$2:O$199&lt;0,ROW(License_Inventory!O$2:O$199),""),22)),"")</f>
        <v/>
      </c>
      <c r="E25" s="2" t="str">
        <f t="array" ref="E25">IFERROR(INDEX(License_Inventory!M:M,SMALL(IF(License_Inventory!O$2:O$199&lt;0,ROW(License_Inventory!O$2:O$199),""),22)),"")</f>
        <v/>
      </c>
      <c r="F25" s="2" t="str">
        <f t="array" ref="F25">IFERROR(INDEX(License_Inventory!I:I,SMALL(IF(License_Inventory!O$2:O$199&lt;0,ROW(License_Inventory!O$2:O$199),""),22)),"")</f>
        <v/>
      </c>
      <c r="G25" s="2" t="str">
        <f t="array" ref="G25">IFERROR(INDEX(License_Inventory!J:J,SMALL(IF(License_Inventory!O$2:O$199&lt;0,ROW(License_Inventory!O$2:O$199),""),22)),"")</f>
        <v/>
      </c>
      <c r="H25" s="2" t="str">
        <f t="array" ref="H25">IFERROR(-INDEX(License_Inventory!O:O,SMALL(IF(License_Inventory!O$2:O$199&lt;0,ROW(License_Inventory!O$2:O$199),""),22)),"")</f>
        <v/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tr">
        <f t="array" ref="A26">IFERROR(INDEX(License_Inventory!C:C,SMALL(IF(License_Inventory!O$2:O$199&lt;0,ROW(License_Inventory!O$2:O$199),""),23)),"")</f>
        <v/>
      </c>
      <c r="B26" s="2" t="str">
        <f t="array" ref="B26">IFERROR(INDEX(License_Inventory!B:B,SMALL(IF(License_Inventory!O$2:O$199&lt;0,ROW(License_Inventory!O$2:O$199),""),23)),"")</f>
        <v/>
      </c>
      <c r="C26" s="2" t="str">
        <f t="array" ref="C26">IFERROR(INDEX(License_Inventory!E:E,SMALL(IF(License_Inventory!O$2:O$199&lt;0,ROW(License_Inventory!O$2:O$199),""),23)),"")</f>
        <v/>
      </c>
      <c r="D26" s="2" t="str">
        <f t="array" ref="D26">IFERROR(INDEX(License_Inventory!H:H,SMALL(IF(License_Inventory!O$2:O$199&lt;0,ROW(License_Inventory!O$2:O$199),""),23)),"")</f>
        <v/>
      </c>
      <c r="E26" s="2" t="str">
        <f t="array" ref="E26">IFERROR(INDEX(License_Inventory!M:M,SMALL(IF(License_Inventory!O$2:O$199&lt;0,ROW(License_Inventory!O$2:O$199),""),23)),"")</f>
        <v/>
      </c>
      <c r="F26" s="2" t="str">
        <f t="array" ref="F26">IFERROR(INDEX(License_Inventory!I:I,SMALL(IF(License_Inventory!O$2:O$199&lt;0,ROW(License_Inventory!O$2:O$199),""),23)),"")</f>
        <v/>
      </c>
      <c r="G26" s="2" t="str">
        <f t="array" ref="G26">IFERROR(INDEX(License_Inventory!J:J,SMALL(IF(License_Inventory!O$2:O$199&lt;0,ROW(License_Inventory!O$2:O$199),""),23)),"")</f>
        <v/>
      </c>
      <c r="H26" s="2" t="str">
        <f t="array" ref="H26">IFERROR(-INDEX(License_Inventory!O:O,SMALL(IF(License_Inventory!O$2:O$199&lt;0,ROW(License_Inventory!O$2:O$199),""),23)),"")</f>
        <v/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tr">
        <f t="array" ref="A27">IFERROR(INDEX(License_Inventory!C:C,SMALL(IF(License_Inventory!O$2:O$199&lt;0,ROW(License_Inventory!O$2:O$199),""),24)),"")</f>
        <v/>
      </c>
      <c r="B27" s="2" t="str">
        <f t="array" ref="B27">IFERROR(INDEX(License_Inventory!B:B,SMALL(IF(License_Inventory!O$2:O$199&lt;0,ROW(License_Inventory!O$2:O$199),""),24)),"")</f>
        <v/>
      </c>
      <c r="C27" s="2" t="str">
        <f t="array" ref="C27">IFERROR(INDEX(License_Inventory!E:E,SMALL(IF(License_Inventory!O$2:O$199&lt;0,ROW(License_Inventory!O$2:O$199),""),24)),"")</f>
        <v/>
      </c>
      <c r="D27" s="2" t="str">
        <f t="array" ref="D27">IFERROR(INDEX(License_Inventory!H:H,SMALL(IF(License_Inventory!O$2:O$199&lt;0,ROW(License_Inventory!O$2:O$199),""),24)),"")</f>
        <v/>
      </c>
      <c r="E27" s="2" t="str">
        <f t="array" ref="E27">IFERROR(INDEX(License_Inventory!M:M,SMALL(IF(License_Inventory!O$2:O$199&lt;0,ROW(License_Inventory!O$2:O$199),""),24)),"")</f>
        <v/>
      </c>
      <c r="F27" s="2" t="str">
        <f t="array" ref="F27">IFERROR(INDEX(License_Inventory!I:I,SMALL(IF(License_Inventory!O$2:O$199&lt;0,ROW(License_Inventory!O$2:O$199),""),24)),"")</f>
        <v/>
      </c>
      <c r="G27" s="2" t="str">
        <f t="array" ref="G27">IFERROR(INDEX(License_Inventory!J:J,SMALL(IF(License_Inventory!O$2:O$199&lt;0,ROW(License_Inventory!O$2:O$199),""),24)),"")</f>
        <v/>
      </c>
      <c r="H27" s="2" t="str">
        <f t="array" ref="H27">IFERROR(-INDEX(License_Inventory!O:O,SMALL(IF(License_Inventory!O$2:O$199&lt;0,ROW(License_Inventory!O$2:O$199),""),24)),"")</f>
        <v/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tr">
        <f t="array" ref="A28">IFERROR(INDEX(License_Inventory!C:C,SMALL(IF(License_Inventory!O$2:O$199&lt;0,ROW(License_Inventory!O$2:O$199),""),25)),"")</f>
        <v/>
      </c>
      <c r="B28" s="2" t="str">
        <f t="array" ref="B28">IFERROR(INDEX(License_Inventory!B:B,SMALL(IF(License_Inventory!O$2:O$199&lt;0,ROW(License_Inventory!O$2:O$199),""),25)),"")</f>
        <v/>
      </c>
      <c r="C28" s="2" t="str">
        <f t="array" ref="C28">IFERROR(INDEX(License_Inventory!E:E,SMALL(IF(License_Inventory!O$2:O$199&lt;0,ROW(License_Inventory!O$2:O$199),""),25)),"")</f>
        <v/>
      </c>
      <c r="D28" s="2" t="str">
        <f t="array" ref="D28">IFERROR(INDEX(License_Inventory!H:H,SMALL(IF(License_Inventory!O$2:O$199&lt;0,ROW(License_Inventory!O$2:O$199),""),25)),"")</f>
        <v/>
      </c>
      <c r="E28" s="2" t="str">
        <f t="array" ref="E28">IFERROR(INDEX(License_Inventory!M:M,SMALL(IF(License_Inventory!O$2:O$199&lt;0,ROW(License_Inventory!O$2:O$199),""),25)),"")</f>
        <v/>
      </c>
      <c r="F28" s="2" t="str">
        <f t="array" ref="F28">IFERROR(INDEX(License_Inventory!I:I,SMALL(IF(License_Inventory!O$2:O$199&lt;0,ROW(License_Inventory!O$2:O$199),""),25)),"")</f>
        <v/>
      </c>
      <c r="G28" s="2" t="str">
        <f t="array" ref="G28">IFERROR(INDEX(License_Inventory!J:J,SMALL(IF(License_Inventory!O$2:O$199&lt;0,ROW(License_Inventory!O$2:O$199),""),25)),"")</f>
        <v/>
      </c>
      <c r="H28" s="2" t="str">
        <f t="array" ref="H28">IFERROR(-INDEX(License_Inventory!O:O,SMALL(IF(License_Inventory!O$2:O$199&lt;0,ROW(License_Inventory!O$2:O$199),""),25)),"")</f>
        <v/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tr">
        <f t="array" ref="A29">IFERROR(INDEX(License_Inventory!C:C,SMALL(IF(License_Inventory!O$2:O$199&lt;0,ROW(License_Inventory!O$2:O$199),""),26)),"")</f>
        <v/>
      </c>
      <c r="B29" s="2" t="str">
        <f t="array" ref="B29">IFERROR(INDEX(License_Inventory!B:B,SMALL(IF(License_Inventory!O$2:O$199&lt;0,ROW(License_Inventory!O$2:O$199),""),26)),"")</f>
        <v/>
      </c>
      <c r="C29" s="2" t="str">
        <f t="array" ref="C29">IFERROR(INDEX(License_Inventory!E:E,SMALL(IF(License_Inventory!O$2:O$199&lt;0,ROW(License_Inventory!O$2:O$199),""),26)),"")</f>
        <v/>
      </c>
      <c r="D29" s="2" t="str">
        <f t="array" ref="D29">IFERROR(INDEX(License_Inventory!H:H,SMALL(IF(License_Inventory!O$2:O$199&lt;0,ROW(License_Inventory!O$2:O$199),""),26)),"")</f>
        <v/>
      </c>
      <c r="E29" s="2" t="str">
        <f t="array" ref="E29">IFERROR(INDEX(License_Inventory!M:M,SMALL(IF(License_Inventory!O$2:O$199&lt;0,ROW(License_Inventory!O$2:O$199),""),26)),"")</f>
        <v/>
      </c>
      <c r="F29" s="2" t="str">
        <f t="array" ref="F29">IFERROR(INDEX(License_Inventory!I:I,SMALL(IF(License_Inventory!O$2:O$199&lt;0,ROW(License_Inventory!O$2:O$199),""),26)),"")</f>
        <v/>
      </c>
      <c r="G29" s="2" t="str">
        <f t="array" ref="G29">IFERROR(INDEX(License_Inventory!J:J,SMALL(IF(License_Inventory!O$2:O$199&lt;0,ROW(License_Inventory!O$2:O$199),""),26)),"")</f>
        <v/>
      </c>
      <c r="H29" s="2" t="str">
        <f t="array" ref="H29">IFERROR(-INDEX(License_Inventory!O:O,SMALL(IF(License_Inventory!O$2:O$199&lt;0,ROW(License_Inventory!O$2:O$199),""),26)),"")</f>
        <v/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tr">
        <f t="array" ref="A30">IFERROR(INDEX(License_Inventory!C:C,SMALL(IF(License_Inventory!O$2:O$199&lt;0,ROW(License_Inventory!O$2:O$199),""),27)),"")</f>
        <v/>
      </c>
      <c r="B30" s="2" t="str">
        <f t="array" ref="B30">IFERROR(INDEX(License_Inventory!B:B,SMALL(IF(License_Inventory!O$2:O$199&lt;0,ROW(License_Inventory!O$2:O$199),""),27)),"")</f>
        <v/>
      </c>
      <c r="C30" s="2" t="str">
        <f t="array" ref="C30">IFERROR(INDEX(License_Inventory!E:E,SMALL(IF(License_Inventory!O$2:O$199&lt;0,ROW(License_Inventory!O$2:O$199),""),27)),"")</f>
        <v/>
      </c>
      <c r="D30" s="2" t="str">
        <f t="array" ref="D30">IFERROR(INDEX(License_Inventory!H:H,SMALL(IF(License_Inventory!O$2:O$199&lt;0,ROW(License_Inventory!O$2:O$199),""),27)),"")</f>
        <v/>
      </c>
      <c r="E30" s="2" t="str">
        <f t="array" ref="E30">IFERROR(INDEX(License_Inventory!M:M,SMALL(IF(License_Inventory!O$2:O$199&lt;0,ROW(License_Inventory!O$2:O$199),""),27)),"")</f>
        <v/>
      </c>
      <c r="F30" s="2" t="str">
        <f t="array" ref="F30">IFERROR(INDEX(License_Inventory!I:I,SMALL(IF(License_Inventory!O$2:O$199&lt;0,ROW(License_Inventory!O$2:O$199),""),27)),"")</f>
        <v/>
      </c>
      <c r="G30" s="2" t="str">
        <f t="array" ref="G30">IFERROR(INDEX(License_Inventory!J:J,SMALL(IF(License_Inventory!O$2:O$199&lt;0,ROW(License_Inventory!O$2:O$199),""),27)),"")</f>
        <v/>
      </c>
      <c r="H30" s="2" t="str">
        <f t="array" ref="H30">IFERROR(-INDEX(License_Inventory!O:O,SMALL(IF(License_Inventory!O$2:O$199&lt;0,ROW(License_Inventory!O$2:O$199),""),27)),"")</f>
        <v/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tr">
        <f t="array" ref="A31">IFERROR(INDEX(License_Inventory!C:C,SMALL(IF(License_Inventory!O$2:O$199&lt;0,ROW(License_Inventory!O$2:O$199),""),28)),"")</f>
        <v/>
      </c>
      <c r="B31" s="2" t="str">
        <f t="array" ref="B31">IFERROR(INDEX(License_Inventory!B:B,SMALL(IF(License_Inventory!O$2:O$199&lt;0,ROW(License_Inventory!O$2:O$199),""),28)),"")</f>
        <v/>
      </c>
      <c r="C31" s="2" t="str">
        <f t="array" ref="C31">IFERROR(INDEX(License_Inventory!E:E,SMALL(IF(License_Inventory!O$2:O$199&lt;0,ROW(License_Inventory!O$2:O$199),""),28)),"")</f>
        <v/>
      </c>
      <c r="D31" s="2" t="str">
        <f t="array" ref="D31">IFERROR(INDEX(License_Inventory!H:H,SMALL(IF(License_Inventory!O$2:O$199&lt;0,ROW(License_Inventory!O$2:O$199),""),28)),"")</f>
        <v/>
      </c>
      <c r="E31" s="2" t="str">
        <f t="array" ref="E31">IFERROR(INDEX(License_Inventory!M:M,SMALL(IF(License_Inventory!O$2:O$199&lt;0,ROW(License_Inventory!O$2:O$199),""),28)),"")</f>
        <v/>
      </c>
      <c r="F31" s="2" t="str">
        <f t="array" ref="F31">IFERROR(INDEX(License_Inventory!I:I,SMALL(IF(License_Inventory!O$2:O$199&lt;0,ROW(License_Inventory!O$2:O$199),""),28)),"")</f>
        <v/>
      </c>
      <c r="G31" s="2" t="str">
        <f t="array" ref="G31">IFERROR(INDEX(License_Inventory!J:J,SMALL(IF(License_Inventory!O$2:O$199&lt;0,ROW(License_Inventory!O$2:O$199),""),28)),"")</f>
        <v/>
      </c>
      <c r="H31" s="2" t="str">
        <f t="array" ref="H31">IFERROR(-INDEX(License_Inventory!O:O,SMALL(IF(License_Inventory!O$2:O$199&lt;0,ROW(License_Inventory!O$2:O$199),""),28)),"")</f>
        <v/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tr">
        <f t="array" ref="A32">IFERROR(INDEX(License_Inventory!C:C,SMALL(IF(License_Inventory!O$2:O$199&lt;0,ROW(License_Inventory!O$2:O$199),""),29)),"")</f>
        <v/>
      </c>
      <c r="B32" s="2" t="str">
        <f t="array" ref="B32">IFERROR(INDEX(License_Inventory!B:B,SMALL(IF(License_Inventory!O$2:O$199&lt;0,ROW(License_Inventory!O$2:O$199),""),29)),"")</f>
        <v/>
      </c>
      <c r="C32" s="2" t="str">
        <f t="array" ref="C32">IFERROR(INDEX(License_Inventory!E:E,SMALL(IF(License_Inventory!O$2:O$199&lt;0,ROW(License_Inventory!O$2:O$199),""),29)),"")</f>
        <v/>
      </c>
      <c r="D32" s="2" t="str">
        <f t="array" ref="D32">IFERROR(INDEX(License_Inventory!H:H,SMALL(IF(License_Inventory!O$2:O$199&lt;0,ROW(License_Inventory!O$2:O$199),""),29)),"")</f>
        <v/>
      </c>
      <c r="E32" s="2" t="str">
        <f t="array" ref="E32">IFERROR(INDEX(License_Inventory!M:M,SMALL(IF(License_Inventory!O$2:O$199&lt;0,ROW(License_Inventory!O$2:O$199),""),29)),"")</f>
        <v/>
      </c>
      <c r="F32" s="2" t="str">
        <f t="array" ref="F32">IFERROR(INDEX(License_Inventory!I:I,SMALL(IF(License_Inventory!O$2:O$199&lt;0,ROW(License_Inventory!O$2:O$199),""),29)),"")</f>
        <v/>
      </c>
      <c r="G32" s="2" t="str">
        <f t="array" ref="G32">IFERROR(INDEX(License_Inventory!J:J,SMALL(IF(License_Inventory!O$2:O$199&lt;0,ROW(License_Inventory!O$2:O$199),""),29)),"")</f>
        <v/>
      </c>
      <c r="H32" s="2" t="str">
        <f t="array" ref="H32">IFERROR(-INDEX(License_Inventory!O:O,SMALL(IF(License_Inventory!O$2:O$199&lt;0,ROW(License_Inventory!O$2:O$199),""),29)),"")</f>
        <v/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tr">
        <f t="array" ref="A33">IFERROR(INDEX(License_Inventory!C:C,SMALL(IF(License_Inventory!O$2:O$199&lt;0,ROW(License_Inventory!O$2:O$199),""),30)),"")</f>
        <v/>
      </c>
      <c r="B33" s="2" t="str">
        <f t="array" ref="B33">IFERROR(INDEX(License_Inventory!B:B,SMALL(IF(License_Inventory!O$2:O$199&lt;0,ROW(License_Inventory!O$2:O$199),""),30)),"")</f>
        <v/>
      </c>
      <c r="C33" s="2" t="str">
        <f t="array" ref="C33">IFERROR(INDEX(License_Inventory!E:E,SMALL(IF(License_Inventory!O$2:O$199&lt;0,ROW(License_Inventory!O$2:O$199),""),30)),"")</f>
        <v/>
      </c>
      <c r="D33" s="2" t="str">
        <f t="array" ref="D33">IFERROR(INDEX(License_Inventory!H:H,SMALL(IF(License_Inventory!O$2:O$199&lt;0,ROW(License_Inventory!O$2:O$199),""),30)),"")</f>
        <v/>
      </c>
      <c r="E33" s="2" t="str">
        <f t="array" ref="E33">IFERROR(INDEX(License_Inventory!M:M,SMALL(IF(License_Inventory!O$2:O$199&lt;0,ROW(License_Inventory!O$2:O$199),""),30)),"")</f>
        <v/>
      </c>
      <c r="F33" s="2" t="str">
        <f t="array" ref="F33">IFERROR(INDEX(License_Inventory!I:I,SMALL(IF(License_Inventory!O$2:O$199&lt;0,ROW(License_Inventory!O$2:O$199),""),30)),"")</f>
        <v/>
      </c>
      <c r="G33" s="2" t="str">
        <f t="array" ref="G33">IFERROR(INDEX(License_Inventory!J:J,SMALL(IF(License_Inventory!O$2:O$199&lt;0,ROW(License_Inventory!O$2:O$199),""),30)),"")</f>
        <v/>
      </c>
      <c r="H33" s="2" t="str">
        <f t="array" ref="H33">IFERROR(-INDEX(License_Inventory!O:O,SMALL(IF(License_Inventory!O$2:O$199&lt;0,ROW(License_Inventory!O$2:O$199),""),30)),"")</f>
        <v/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tr">
        <f t="array" ref="A34">IFERROR(INDEX(License_Inventory!C:C,SMALL(IF(License_Inventory!O$2:O$199&lt;0,ROW(License_Inventory!O$2:O$199),""),31)),"")</f>
        <v/>
      </c>
      <c r="B34" s="2" t="str">
        <f t="array" ref="B34">IFERROR(INDEX(License_Inventory!B:B,SMALL(IF(License_Inventory!O$2:O$199&lt;0,ROW(License_Inventory!O$2:O$199),""),31)),"")</f>
        <v/>
      </c>
      <c r="C34" s="2" t="str">
        <f t="array" ref="C34">IFERROR(INDEX(License_Inventory!E:E,SMALL(IF(License_Inventory!O$2:O$199&lt;0,ROW(License_Inventory!O$2:O$199),""),31)),"")</f>
        <v/>
      </c>
      <c r="D34" s="2" t="str">
        <f t="array" ref="D34">IFERROR(INDEX(License_Inventory!H:H,SMALL(IF(License_Inventory!O$2:O$199&lt;0,ROW(License_Inventory!O$2:O$199),""),31)),"")</f>
        <v/>
      </c>
      <c r="E34" s="2" t="str">
        <f t="array" ref="E34">IFERROR(INDEX(License_Inventory!M:M,SMALL(IF(License_Inventory!O$2:O$199&lt;0,ROW(License_Inventory!O$2:O$199),""),31)),"")</f>
        <v/>
      </c>
      <c r="F34" s="2" t="str">
        <f t="array" ref="F34">IFERROR(INDEX(License_Inventory!I:I,SMALL(IF(License_Inventory!O$2:O$199&lt;0,ROW(License_Inventory!O$2:O$199),""),31)),"")</f>
        <v/>
      </c>
      <c r="G34" s="2" t="str">
        <f t="array" ref="G34">IFERROR(INDEX(License_Inventory!J:J,SMALL(IF(License_Inventory!O$2:O$199&lt;0,ROW(License_Inventory!O$2:O$199),""),31)),"")</f>
        <v/>
      </c>
      <c r="H34" s="2" t="str">
        <f t="array" ref="H34">IFERROR(-INDEX(License_Inventory!O:O,SMALL(IF(License_Inventory!O$2:O$199&lt;0,ROW(License_Inventory!O$2:O$199),""),31)),"")</f>
        <v/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tr">
        <f t="array" ref="A35">IFERROR(INDEX(License_Inventory!C:C,SMALL(IF(License_Inventory!O$2:O$199&lt;0,ROW(License_Inventory!O$2:O$199),""),32)),"")</f>
        <v/>
      </c>
      <c r="B35" s="2" t="str">
        <f t="array" ref="B35">IFERROR(INDEX(License_Inventory!B:B,SMALL(IF(License_Inventory!O$2:O$199&lt;0,ROW(License_Inventory!O$2:O$199),""),32)),"")</f>
        <v/>
      </c>
      <c r="C35" s="2" t="str">
        <f t="array" ref="C35">IFERROR(INDEX(License_Inventory!E:E,SMALL(IF(License_Inventory!O$2:O$199&lt;0,ROW(License_Inventory!O$2:O$199),""),32)),"")</f>
        <v/>
      </c>
      <c r="D35" s="2" t="str">
        <f t="array" ref="D35">IFERROR(INDEX(License_Inventory!H:H,SMALL(IF(License_Inventory!O$2:O$199&lt;0,ROW(License_Inventory!O$2:O$199),""),32)),"")</f>
        <v/>
      </c>
      <c r="E35" s="2" t="str">
        <f t="array" ref="E35">IFERROR(INDEX(License_Inventory!M:M,SMALL(IF(License_Inventory!O$2:O$199&lt;0,ROW(License_Inventory!O$2:O$199),""),32)),"")</f>
        <v/>
      </c>
      <c r="F35" s="2" t="str">
        <f t="array" ref="F35">IFERROR(INDEX(License_Inventory!I:I,SMALL(IF(License_Inventory!O$2:O$199&lt;0,ROW(License_Inventory!O$2:O$199),""),32)),"")</f>
        <v/>
      </c>
      <c r="G35" s="2" t="str">
        <f t="array" ref="G35">IFERROR(INDEX(License_Inventory!J:J,SMALL(IF(License_Inventory!O$2:O$199&lt;0,ROW(License_Inventory!O$2:O$199),""),32)),"")</f>
        <v/>
      </c>
      <c r="H35" s="2" t="str">
        <f t="array" ref="H35">IFERROR(-INDEX(License_Inventory!O:O,SMALL(IF(License_Inventory!O$2:O$199&lt;0,ROW(License_Inventory!O$2:O$199),""),32)),"")</f>
        <v/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tr">
        <f t="array" ref="A36">IFERROR(INDEX(License_Inventory!C:C,SMALL(IF(License_Inventory!O$2:O$199&lt;0,ROW(License_Inventory!O$2:O$199),""),33)),"")</f>
        <v/>
      </c>
      <c r="B36" s="2" t="str">
        <f t="array" ref="B36">IFERROR(INDEX(License_Inventory!B:B,SMALL(IF(License_Inventory!O$2:O$199&lt;0,ROW(License_Inventory!O$2:O$199),""),33)),"")</f>
        <v/>
      </c>
      <c r="C36" s="2" t="str">
        <f t="array" ref="C36">IFERROR(INDEX(License_Inventory!E:E,SMALL(IF(License_Inventory!O$2:O$199&lt;0,ROW(License_Inventory!O$2:O$199),""),33)),"")</f>
        <v/>
      </c>
      <c r="D36" s="2" t="str">
        <f t="array" ref="D36">IFERROR(INDEX(License_Inventory!H:H,SMALL(IF(License_Inventory!O$2:O$199&lt;0,ROW(License_Inventory!O$2:O$199),""),33)),"")</f>
        <v/>
      </c>
      <c r="E36" s="2" t="str">
        <f t="array" ref="E36">IFERROR(INDEX(License_Inventory!M:M,SMALL(IF(License_Inventory!O$2:O$199&lt;0,ROW(License_Inventory!O$2:O$199),""),33)),"")</f>
        <v/>
      </c>
      <c r="F36" s="2" t="str">
        <f t="array" ref="F36">IFERROR(INDEX(License_Inventory!I:I,SMALL(IF(License_Inventory!O$2:O$199&lt;0,ROW(License_Inventory!O$2:O$199),""),33)),"")</f>
        <v/>
      </c>
      <c r="G36" s="2" t="str">
        <f t="array" ref="G36">IFERROR(INDEX(License_Inventory!J:J,SMALL(IF(License_Inventory!O$2:O$199&lt;0,ROW(License_Inventory!O$2:O$199),""),33)),"")</f>
        <v/>
      </c>
      <c r="H36" s="2" t="str">
        <f t="array" ref="H36">IFERROR(-INDEX(License_Inventory!O:O,SMALL(IF(License_Inventory!O$2:O$199&lt;0,ROW(License_Inventory!O$2:O$199),""),33)),"")</f>
        <v/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tr">
        <f t="array" ref="A37">IFERROR(INDEX(License_Inventory!C:C,SMALL(IF(License_Inventory!O$2:O$199&lt;0,ROW(License_Inventory!O$2:O$199),""),34)),"")</f>
        <v/>
      </c>
      <c r="B37" s="2" t="str">
        <f t="array" ref="B37">IFERROR(INDEX(License_Inventory!B:B,SMALL(IF(License_Inventory!O$2:O$199&lt;0,ROW(License_Inventory!O$2:O$199),""),34)),"")</f>
        <v/>
      </c>
      <c r="C37" s="2" t="str">
        <f t="array" ref="C37">IFERROR(INDEX(License_Inventory!E:E,SMALL(IF(License_Inventory!O$2:O$199&lt;0,ROW(License_Inventory!O$2:O$199),""),34)),"")</f>
        <v/>
      </c>
      <c r="D37" s="2" t="str">
        <f t="array" ref="D37">IFERROR(INDEX(License_Inventory!H:H,SMALL(IF(License_Inventory!O$2:O$199&lt;0,ROW(License_Inventory!O$2:O$199),""),34)),"")</f>
        <v/>
      </c>
      <c r="E37" s="2" t="str">
        <f t="array" ref="E37">IFERROR(INDEX(License_Inventory!M:M,SMALL(IF(License_Inventory!O$2:O$199&lt;0,ROW(License_Inventory!O$2:O$199),""),34)),"")</f>
        <v/>
      </c>
      <c r="F37" s="2" t="str">
        <f t="array" ref="F37">IFERROR(INDEX(License_Inventory!I:I,SMALL(IF(License_Inventory!O$2:O$199&lt;0,ROW(License_Inventory!O$2:O$199),""),34)),"")</f>
        <v/>
      </c>
      <c r="G37" s="2" t="str">
        <f t="array" ref="G37">IFERROR(INDEX(License_Inventory!J:J,SMALL(IF(License_Inventory!O$2:O$199&lt;0,ROW(License_Inventory!O$2:O$199),""),34)),"")</f>
        <v/>
      </c>
      <c r="H37" s="2" t="str">
        <f t="array" ref="H37">IFERROR(-INDEX(License_Inventory!O:O,SMALL(IF(License_Inventory!O$2:O$199&lt;0,ROW(License_Inventory!O$2:O$199),""),34)),"")</f>
        <v/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tr">
        <f t="array" ref="A38">IFERROR(INDEX(License_Inventory!C:C,SMALL(IF(License_Inventory!O$2:O$199&lt;0,ROW(License_Inventory!O$2:O$199),""),35)),"")</f>
        <v/>
      </c>
      <c r="B38" s="2" t="str">
        <f t="array" ref="B38">IFERROR(INDEX(License_Inventory!B:B,SMALL(IF(License_Inventory!O$2:O$199&lt;0,ROW(License_Inventory!O$2:O$199),""),35)),"")</f>
        <v/>
      </c>
      <c r="C38" s="2" t="str">
        <f t="array" ref="C38">IFERROR(INDEX(License_Inventory!E:E,SMALL(IF(License_Inventory!O$2:O$199&lt;0,ROW(License_Inventory!O$2:O$199),""),35)),"")</f>
        <v/>
      </c>
      <c r="D38" s="2" t="str">
        <f t="array" ref="D38">IFERROR(INDEX(License_Inventory!H:H,SMALL(IF(License_Inventory!O$2:O$199&lt;0,ROW(License_Inventory!O$2:O$199),""),35)),"")</f>
        <v/>
      </c>
      <c r="E38" s="2" t="str">
        <f t="array" ref="E38">IFERROR(INDEX(License_Inventory!M:M,SMALL(IF(License_Inventory!O$2:O$199&lt;0,ROW(License_Inventory!O$2:O$199),""),35)),"")</f>
        <v/>
      </c>
      <c r="F38" s="2" t="str">
        <f t="array" ref="F38">IFERROR(INDEX(License_Inventory!I:I,SMALL(IF(License_Inventory!O$2:O$199&lt;0,ROW(License_Inventory!O$2:O$199),""),35)),"")</f>
        <v/>
      </c>
      <c r="G38" s="2" t="str">
        <f t="array" ref="G38">IFERROR(INDEX(License_Inventory!J:J,SMALL(IF(License_Inventory!O$2:O$199&lt;0,ROW(License_Inventory!O$2:O$199),""),35)),"")</f>
        <v/>
      </c>
      <c r="H38" s="2" t="str">
        <f t="array" ref="H38">IFERROR(-INDEX(License_Inventory!O:O,SMALL(IF(License_Inventory!O$2:O$199&lt;0,ROW(License_Inventory!O$2:O$199),""),35)),"")</f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tr">
        <f t="array" ref="A39">IFERROR(INDEX(License_Inventory!C:C,SMALL(IF(License_Inventory!O$2:O$199&lt;0,ROW(License_Inventory!O$2:O$199),""),36)),"")</f>
        <v/>
      </c>
      <c r="B39" s="2" t="str">
        <f t="array" ref="B39">IFERROR(INDEX(License_Inventory!B:B,SMALL(IF(License_Inventory!O$2:O$199&lt;0,ROW(License_Inventory!O$2:O$199),""),36)),"")</f>
        <v/>
      </c>
      <c r="C39" s="2" t="str">
        <f t="array" ref="C39">IFERROR(INDEX(License_Inventory!E:E,SMALL(IF(License_Inventory!O$2:O$199&lt;0,ROW(License_Inventory!O$2:O$199),""),36)),"")</f>
        <v/>
      </c>
      <c r="D39" s="2" t="str">
        <f t="array" ref="D39">IFERROR(INDEX(License_Inventory!H:H,SMALL(IF(License_Inventory!O$2:O$199&lt;0,ROW(License_Inventory!O$2:O$199),""),36)),"")</f>
        <v/>
      </c>
      <c r="E39" s="2" t="str">
        <f t="array" ref="E39">IFERROR(INDEX(License_Inventory!M:M,SMALL(IF(License_Inventory!O$2:O$199&lt;0,ROW(License_Inventory!O$2:O$199),""),36)),"")</f>
        <v/>
      </c>
      <c r="F39" s="2" t="str">
        <f t="array" ref="F39">IFERROR(INDEX(License_Inventory!I:I,SMALL(IF(License_Inventory!O$2:O$199&lt;0,ROW(License_Inventory!O$2:O$199),""),36)),"")</f>
        <v/>
      </c>
      <c r="G39" s="2" t="str">
        <f t="array" ref="G39">IFERROR(INDEX(License_Inventory!J:J,SMALL(IF(License_Inventory!O$2:O$199&lt;0,ROW(License_Inventory!O$2:O$199),""),36)),"")</f>
        <v/>
      </c>
      <c r="H39" s="2" t="str">
        <f t="array" ref="H39">IFERROR(-INDEX(License_Inventory!O:O,SMALL(IF(License_Inventory!O$2:O$199&lt;0,ROW(License_Inventory!O$2:O$199),""),36)),"")</f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tr">
        <f t="array" ref="A40">IFERROR(INDEX(License_Inventory!C:C,SMALL(IF(License_Inventory!O$2:O$199&lt;0,ROW(License_Inventory!O$2:O$199),""),37)),"")</f>
        <v/>
      </c>
      <c r="B40" s="2" t="str">
        <f t="array" ref="B40">IFERROR(INDEX(License_Inventory!B:B,SMALL(IF(License_Inventory!O$2:O$199&lt;0,ROW(License_Inventory!O$2:O$199),""),37)),"")</f>
        <v/>
      </c>
      <c r="C40" s="2" t="str">
        <f t="array" ref="C40">IFERROR(INDEX(License_Inventory!E:E,SMALL(IF(License_Inventory!O$2:O$199&lt;0,ROW(License_Inventory!O$2:O$199),""),37)),"")</f>
        <v/>
      </c>
      <c r="D40" s="2" t="str">
        <f t="array" ref="D40">IFERROR(INDEX(License_Inventory!H:H,SMALL(IF(License_Inventory!O$2:O$199&lt;0,ROW(License_Inventory!O$2:O$199),""),37)),"")</f>
        <v/>
      </c>
      <c r="E40" s="2" t="str">
        <f t="array" ref="E40">IFERROR(INDEX(License_Inventory!M:M,SMALL(IF(License_Inventory!O$2:O$199&lt;0,ROW(License_Inventory!O$2:O$199),""),37)),"")</f>
        <v/>
      </c>
      <c r="F40" s="2" t="str">
        <f t="array" ref="F40">IFERROR(INDEX(License_Inventory!I:I,SMALL(IF(License_Inventory!O$2:O$199&lt;0,ROW(License_Inventory!O$2:O$199),""),37)),"")</f>
        <v/>
      </c>
      <c r="G40" s="2" t="str">
        <f t="array" ref="G40">IFERROR(INDEX(License_Inventory!J:J,SMALL(IF(License_Inventory!O$2:O$199&lt;0,ROW(License_Inventory!O$2:O$199),""),37)),"")</f>
        <v/>
      </c>
      <c r="H40" s="2" t="str">
        <f t="array" ref="H40">IFERROR(-INDEX(License_Inventory!O:O,SMALL(IF(License_Inventory!O$2:O$199&lt;0,ROW(License_Inventory!O$2:O$199),""),37)),"")</f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tr">
        <f t="array" ref="A41">IFERROR(INDEX(License_Inventory!C:C,SMALL(IF(License_Inventory!O$2:O$199&lt;0,ROW(License_Inventory!O$2:O$199),""),38)),"")</f>
        <v/>
      </c>
      <c r="B41" s="2" t="str">
        <f t="array" ref="B41">IFERROR(INDEX(License_Inventory!B:B,SMALL(IF(License_Inventory!O$2:O$199&lt;0,ROW(License_Inventory!O$2:O$199),""),38)),"")</f>
        <v/>
      </c>
      <c r="C41" s="2" t="str">
        <f t="array" ref="C41">IFERROR(INDEX(License_Inventory!E:E,SMALL(IF(License_Inventory!O$2:O$199&lt;0,ROW(License_Inventory!O$2:O$199),""),38)),"")</f>
        <v/>
      </c>
      <c r="D41" s="2" t="str">
        <f t="array" ref="D41">IFERROR(INDEX(License_Inventory!H:H,SMALL(IF(License_Inventory!O$2:O$199&lt;0,ROW(License_Inventory!O$2:O$199),""),38)),"")</f>
        <v/>
      </c>
      <c r="E41" s="2" t="str">
        <f t="array" ref="E41">IFERROR(INDEX(License_Inventory!M:M,SMALL(IF(License_Inventory!O$2:O$199&lt;0,ROW(License_Inventory!O$2:O$199),""),38)),"")</f>
        <v/>
      </c>
      <c r="F41" s="2" t="str">
        <f t="array" ref="F41">IFERROR(INDEX(License_Inventory!I:I,SMALL(IF(License_Inventory!O$2:O$199&lt;0,ROW(License_Inventory!O$2:O$199),""),38)),"")</f>
        <v/>
      </c>
      <c r="G41" s="2" t="str">
        <f t="array" ref="G41">IFERROR(INDEX(License_Inventory!J:J,SMALL(IF(License_Inventory!O$2:O$199&lt;0,ROW(License_Inventory!O$2:O$199),""),38)),"")</f>
        <v/>
      </c>
      <c r="H41" s="2" t="str">
        <f t="array" ref="H41">IFERROR(-INDEX(License_Inventory!O:O,SMALL(IF(License_Inventory!O$2:O$199&lt;0,ROW(License_Inventory!O$2:O$199),""),38)),"")</f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tr">
        <f t="array" ref="A42">IFERROR(INDEX(License_Inventory!C:C,SMALL(IF(License_Inventory!O$2:O$199&lt;0,ROW(License_Inventory!O$2:O$199),""),39)),"")</f>
        <v/>
      </c>
      <c r="B42" s="2" t="str">
        <f t="array" ref="B42">IFERROR(INDEX(License_Inventory!B:B,SMALL(IF(License_Inventory!O$2:O$199&lt;0,ROW(License_Inventory!O$2:O$199),""),39)),"")</f>
        <v/>
      </c>
      <c r="C42" s="2" t="str">
        <f t="array" ref="C42">IFERROR(INDEX(License_Inventory!E:E,SMALL(IF(License_Inventory!O$2:O$199&lt;0,ROW(License_Inventory!O$2:O$199),""),39)),"")</f>
        <v/>
      </c>
      <c r="D42" s="2" t="str">
        <f t="array" ref="D42">IFERROR(INDEX(License_Inventory!H:H,SMALL(IF(License_Inventory!O$2:O$199&lt;0,ROW(License_Inventory!O$2:O$199),""),39)),"")</f>
        <v/>
      </c>
      <c r="E42" s="2" t="str">
        <f t="array" ref="E42">IFERROR(INDEX(License_Inventory!M:M,SMALL(IF(License_Inventory!O$2:O$199&lt;0,ROW(License_Inventory!O$2:O$199),""),39)),"")</f>
        <v/>
      </c>
      <c r="F42" s="2" t="str">
        <f t="array" ref="F42">IFERROR(INDEX(License_Inventory!I:I,SMALL(IF(License_Inventory!O$2:O$199&lt;0,ROW(License_Inventory!O$2:O$199),""),39)),"")</f>
        <v/>
      </c>
      <c r="G42" s="2" t="str">
        <f t="array" ref="G42">IFERROR(INDEX(License_Inventory!J:J,SMALL(IF(License_Inventory!O$2:O$199&lt;0,ROW(License_Inventory!O$2:O$199),""),39)),"")</f>
        <v/>
      </c>
      <c r="H42" s="2" t="str">
        <f t="array" ref="H42">IFERROR(-INDEX(License_Inventory!O:O,SMALL(IF(License_Inventory!O$2:O$199&lt;0,ROW(License_Inventory!O$2:O$199),""),39)),"")</f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tr">
        <f t="array" ref="A43">IFERROR(INDEX(License_Inventory!C:C,SMALL(IF(License_Inventory!O$2:O$199&lt;0,ROW(License_Inventory!O$2:O$199),""),40)),"")</f>
        <v/>
      </c>
      <c r="B43" s="2" t="str">
        <f t="array" ref="B43">IFERROR(INDEX(License_Inventory!B:B,SMALL(IF(License_Inventory!O$2:O$199&lt;0,ROW(License_Inventory!O$2:O$199),""),40)),"")</f>
        <v/>
      </c>
      <c r="C43" s="2" t="str">
        <f t="array" ref="C43">IFERROR(INDEX(License_Inventory!E:E,SMALL(IF(License_Inventory!O$2:O$199&lt;0,ROW(License_Inventory!O$2:O$199),""),40)),"")</f>
        <v/>
      </c>
      <c r="D43" s="2" t="str">
        <f t="array" ref="D43">IFERROR(INDEX(License_Inventory!H:H,SMALL(IF(License_Inventory!O$2:O$199&lt;0,ROW(License_Inventory!O$2:O$199),""),40)),"")</f>
        <v/>
      </c>
      <c r="E43" s="2" t="str">
        <f t="array" ref="E43">IFERROR(INDEX(License_Inventory!M:M,SMALL(IF(License_Inventory!O$2:O$199&lt;0,ROW(License_Inventory!O$2:O$199),""),40)),"")</f>
        <v/>
      </c>
      <c r="F43" s="2" t="str">
        <f t="array" ref="F43">IFERROR(INDEX(License_Inventory!I:I,SMALL(IF(License_Inventory!O$2:O$199&lt;0,ROW(License_Inventory!O$2:O$199),""),40)),"")</f>
        <v/>
      </c>
      <c r="G43" s="2" t="str">
        <f t="array" ref="G43">IFERROR(INDEX(License_Inventory!J:J,SMALL(IF(License_Inventory!O$2:O$199&lt;0,ROW(License_Inventory!O$2:O$199),""),40)),"")</f>
        <v/>
      </c>
      <c r="H43" s="2" t="str">
        <f t="array" ref="H43">IFERROR(-INDEX(License_Inventory!O:O,SMALL(IF(License_Inventory!O$2:O$199&lt;0,ROW(License_Inventory!O$2:O$199),""),40)),"")</f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tr">
        <f t="array" ref="A44">IFERROR(INDEX(License_Inventory!C:C,SMALL(IF(License_Inventory!O$2:O$199&lt;0,ROW(License_Inventory!O$2:O$199),""),41)),"")</f>
        <v/>
      </c>
      <c r="B44" s="2" t="str">
        <f t="array" ref="B44">IFERROR(INDEX(License_Inventory!B:B,SMALL(IF(License_Inventory!O$2:O$199&lt;0,ROW(License_Inventory!O$2:O$199),""),41)),"")</f>
        <v/>
      </c>
      <c r="C44" s="2" t="str">
        <f t="array" ref="C44">IFERROR(INDEX(License_Inventory!E:E,SMALL(IF(License_Inventory!O$2:O$199&lt;0,ROW(License_Inventory!O$2:O$199),""),41)),"")</f>
        <v/>
      </c>
      <c r="D44" s="2" t="str">
        <f t="array" ref="D44">IFERROR(INDEX(License_Inventory!H:H,SMALL(IF(License_Inventory!O$2:O$199&lt;0,ROW(License_Inventory!O$2:O$199),""),41)),"")</f>
        <v/>
      </c>
      <c r="E44" s="2" t="str">
        <f t="array" ref="E44">IFERROR(INDEX(License_Inventory!M:M,SMALL(IF(License_Inventory!O$2:O$199&lt;0,ROW(License_Inventory!O$2:O$199),""),41)),"")</f>
        <v/>
      </c>
      <c r="F44" s="2" t="str">
        <f t="array" ref="F44">IFERROR(INDEX(License_Inventory!I:I,SMALL(IF(License_Inventory!O$2:O$199&lt;0,ROW(License_Inventory!O$2:O$199),""),41)),"")</f>
        <v/>
      </c>
      <c r="G44" s="2" t="str">
        <f t="array" ref="G44">IFERROR(INDEX(License_Inventory!J:J,SMALL(IF(License_Inventory!O$2:O$199&lt;0,ROW(License_Inventory!O$2:O$199),""),41)),"")</f>
        <v/>
      </c>
      <c r="H44" s="2" t="str">
        <f t="array" ref="H44">IFERROR(-INDEX(License_Inventory!O:O,SMALL(IF(License_Inventory!O$2:O$199&lt;0,ROW(License_Inventory!O$2:O$199),""),41)),"")</f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tr">
        <f t="array" ref="A45">IFERROR(INDEX(License_Inventory!C:C,SMALL(IF(License_Inventory!O$2:O$199&lt;0,ROW(License_Inventory!O$2:O$199),""),42)),"")</f>
        <v/>
      </c>
      <c r="B45" s="2" t="str">
        <f t="array" ref="B45">IFERROR(INDEX(License_Inventory!B:B,SMALL(IF(License_Inventory!O$2:O$199&lt;0,ROW(License_Inventory!O$2:O$199),""),42)),"")</f>
        <v/>
      </c>
      <c r="C45" s="2" t="str">
        <f t="array" ref="C45">IFERROR(INDEX(License_Inventory!E:E,SMALL(IF(License_Inventory!O$2:O$199&lt;0,ROW(License_Inventory!O$2:O$199),""),42)),"")</f>
        <v/>
      </c>
      <c r="D45" s="2" t="str">
        <f t="array" ref="D45">IFERROR(INDEX(License_Inventory!H:H,SMALL(IF(License_Inventory!O$2:O$199&lt;0,ROW(License_Inventory!O$2:O$199),""),42)),"")</f>
        <v/>
      </c>
      <c r="E45" s="2" t="str">
        <f t="array" ref="E45">IFERROR(INDEX(License_Inventory!M:M,SMALL(IF(License_Inventory!O$2:O$199&lt;0,ROW(License_Inventory!O$2:O$199),""),42)),"")</f>
        <v/>
      </c>
      <c r="F45" s="2" t="str">
        <f t="array" ref="F45">IFERROR(INDEX(License_Inventory!I:I,SMALL(IF(License_Inventory!O$2:O$199&lt;0,ROW(License_Inventory!O$2:O$199),""),42)),"")</f>
        <v/>
      </c>
      <c r="G45" s="2" t="str">
        <f t="array" ref="G45">IFERROR(INDEX(License_Inventory!J:J,SMALL(IF(License_Inventory!O$2:O$199&lt;0,ROW(License_Inventory!O$2:O$199),""),42)),"")</f>
        <v/>
      </c>
      <c r="H45" s="2" t="str">
        <f t="array" ref="H45">IFERROR(-INDEX(License_Inventory!O:O,SMALL(IF(License_Inventory!O$2:O$199&lt;0,ROW(License_Inventory!O$2:O$199),""),42)),"")</f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tr">
        <f t="array" ref="A46">IFERROR(INDEX(License_Inventory!C:C,SMALL(IF(License_Inventory!O$2:O$199&lt;0,ROW(License_Inventory!O$2:O$199),""),43)),"")</f>
        <v/>
      </c>
      <c r="B46" s="2" t="str">
        <f t="array" ref="B46">IFERROR(INDEX(License_Inventory!B:B,SMALL(IF(License_Inventory!O$2:O$199&lt;0,ROW(License_Inventory!O$2:O$199),""),43)),"")</f>
        <v/>
      </c>
      <c r="C46" s="2" t="str">
        <f t="array" ref="C46">IFERROR(INDEX(License_Inventory!E:E,SMALL(IF(License_Inventory!O$2:O$199&lt;0,ROW(License_Inventory!O$2:O$199),""),43)),"")</f>
        <v/>
      </c>
      <c r="D46" s="2" t="str">
        <f t="array" ref="D46">IFERROR(INDEX(License_Inventory!H:H,SMALL(IF(License_Inventory!O$2:O$199&lt;0,ROW(License_Inventory!O$2:O$199),""),43)),"")</f>
        <v/>
      </c>
      <c r="E46" s="2" t="str">
        <f t="array" ref="E46">IFERROR(INDEX(License_Inventory!M:M,SMALL(IF(License_Inventory!O$2:O$199&lt;0,ROW(License_Inventory!O$2:O$199),""),43)),"")</f>
        <v/>
      </c>
      <c r="F46" s="2" t="str">
        <f t="array" ref="F46">IFERROR(INDEX(License_Inventory!I:I,SMALL(IF(License_Inventory!O$2:O$199&lt;0,ROW(License_Inventory!O$2:O$199),""),43)),"")</f>
        <v/>
      </c>
      <c r="G46" s="2" t="str">
        <f t="array" ref="G46">IFERROR(INDEX(License_Inventory!J:J,SMALL(IF(License_Inventory!O$2:O$199&lt;0,ROW(License_Inventory!O$2:O$199),""),43)),"")</f>
        <v/>
      </c>
      <c r="H46" s="2" t="str">
        <f t="array" ref="H46">IFERROR(-INDEX(License_Inventory!O:O,SMALL(IF(License_Inventory!O$2:O$199&lt;0,ROW(License_Inventory!O$2:O$199),""),43)),"")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tr">
        <f t="array" ref="A47">IFERROR(INDEX(License_Inventory!C:C,SMALL(IF(License_Inventory!O$2:O$199&lt;0,ROW(License_Inventory!O$2:O$199),""),44)),"")</f>
        <v/>
      </c>
      <c r="B47" s="2" t="str">
        <f t="array" ref="B47">IFERROR(INDEX(License_Inventory!B:B,SMALL(IF(License_Inventory!O$2:O$199&lt;0,ROW(License_Inventory!O$2:O$199),""),44)),"")</f>
        <v/>
      </c>
      <c r="C47" s="2" t="str">
        <f t="array" ref="C47">IFERROR(INDEX(License_Inventory!E:E,SMALL(IF(License_Inventory!O$2:O$199&lt;0,ROW(License_Inventory!O$2:O$199),""),44)),"")</f>
        <v/>
      </c>
      <c r="D47" s="2" t="str">
        <f t="array" ref="D47">IFERROR(INDEX(License_Inventory!H:H,SMALL(IF(License_Inventory!O$2:O$199&lt;0,ROW(License_Inventory!O$2:O$199),""),44)),"")</f>
        <v/>
      </c>
      <c r="E47" s="2" t="str">
        <f t="array" ref="E47">IFERROR(INDEX(License_Inventory!M:M,SMALL(IF(License_Inventory!O$2:O$199&lt;0,ROW(License_Inventory!O$2:O$199),""),44)),"")</f>
        <v/>
      </c>
      <c r="F47" s="2" t="str">
        <f t="array" ref="F47">IFERROR(INDEX(License_Inventory!I:I,SMALL(IF(License_Inventory!O$2:O$199&lt;0,ROW(License_Inventory!O$2:O$199),""),44)),"")</f>
        <v/>
      </c>
      <c r="G47" s="2" t="str">
        <f t="array" ref="G47">IFERROR(INDEX(License_Inventory!J:J,SMALL(IF(License_Inventory!O$2:O$199&lt;0,ROW(License_Inventory!O$2:O$199),""),44)),"")</f>
        <v/>
      </c>
      <c r="H47" s="2" t="str">
        <f t="array" ref="H47">IFERROR(-INDEX(License_Inventory!O:O,SMALL(IF(License_Inventory!O$2:O$199&lt;0,ROW(License_Inventory!O$2:O$199),""),44)),"")</f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tr">
        <f t="array" ref="A48">IFERROR(INDEX(License_Inventory!C:C,SMALL(IF(License_Inventory!O$2:O$199&lt;0,ROW(License_Inventory!O$2:O$199),""),45)),"")</f>
        <v/>
      </c>
      <c r="B48" s="2" t="str">
        <f t="array" ref="B48">IFERROR(INDEX(License_Inventory!B:B,SMALL(IF(License_Inventory!O$2:O$199&lt;0,ROW(License_Inventory!O$2:O$199),""),45)),"")</f>
        <v/>
      </c>
      <c r="C48" s="2" t="str">
        <f t="array" ref="C48">IFERROR(INDEX(License_Inventory!E:E,SMALL(IF(License_Inventory!O$2:O$199&lt;0,ROW(License_Inventory!O$2:O$199),""),45)),"")</f>
        <v/>
      </c>
      <c r="D48" s="2" t="str">
        <f t="array" ref="D48">IFERROR(INDEX(License_Inventory!H:H,SMALL(IF(License_Inventory!O$2:O$199&lt;0,ROW(License_Inventory!O$2:O$199),""),45)),"")</f>
        <v/>
      </c>
      <c r="E48" s="2" t="str">
        <f t="array" ref="E48">IFERROR(INDEX(License_Inventory!M:M,SMALL(IF(License_Inventory!O$2:O$199&lt;0,ROW(License_Inventory!O$2:O$199),""),45)),"")</f>
        <v/>
      </c>
      <c r="F48" s="2" t="str">
        <f t="array" ref="F48">IFERROR(INDEX(License_Inventory!I:I,SMALL(IF(License_Inventory!O$2:O$199&lt;0,ROW(License_Inventory!O$2:O$199),""),45)),"")</f>
        <v/>
      </c>
      <c r="G48" s="2" t="str">
        <f t="array" ref="G48">IFERROR(INDEX(License_Inventory!J:J,SMALL(IF(License_Inventory!O$2:O$199&lt;0,ROW(License_Inventory!O$2:O$199),""),45)),"")</f>
        <v/>
      </c>
      <c r="H48" s="2" t="str">
        <f t="array" ref="H48">IFERROR(-INDEX(License_Inventory!O:O,SMALL(IF(License_Inventory!O$2:O$199&lt;0,ROW(License_Inventory!O$2:O$199),""),45)),"")</f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tr">
        <f t="array" ref="A49">IFERROR(INDEX(License_Inventory!C:C,SMALL(IF(License_Inventory!O$2:O$199&lt;0,ROW(License_Inventory!O$2:O$199),""),46)),"")</f>
        <v/>
      </c>
      <c r="B49" s="2" t="str">
        <f t="array" ref="B49">IFERROR(INDEX(License_Inventory!B:B,SMALL(IF(License_Inventory!O$2:O$199&lt;0,ROW(License_Inventory!O$2:O$199),""),46)),"")</f>
        <v/>
      </c>
      <c r="C49" s="2" t="str">
        <f t="array" ref="C49">IFERROR(INDEX(License_Inventory!E:E,SMALL(IF(License_Inventory!O$2:O$199&lt;0,ROW(License_Inventory!O$2:O$199),""),46)),"")</f>
        <v/>
      </c>
      <c r="D49" s="2" t="str">
        <f t="array" ref="D49">IFERROR(INDEX(License_Inventory!H:H,SMALL(IF(License_Inventory!O$2:O$199&lt;0,ROW(License_Inventory!O$2:O$199),""),46)),"")</f>
        <v/>
      </c>
      <c r="E49" s="2" t="str">
        <f t="array" ref="E49">IFERROR(INDEX(License_Inventory!M:M,SMALL(IF(License_Inventory!O$2:O$199&lt;0,ROW(License_Inventory!O$2:O$199),""),46)),"")</f>
        <v/>
      </c>
      <c r="F49" s="2" t="str">
        <f t="array" ref="F49">IFERROR(INDEX(License_Inventory!I:I,SMALL(IF(License_Inventory!O$2:O$199&lt;0,ROW(License_Inventory!O$2:O$199),""),46)),"")</f>
        <v/>
      </c>
      <c r="G49" s="2" t="str">
        <f t="array" ref="G49">IFERROR(INDEX(License_Inventory!J:J,SMALL(IF(License_Inventory!O$2:O$199&lt;0,ROW(License_Inventory!O$2:O$199),""),46)),"")</f>
        <v/>
      </c>
      <c r="H49" s="2" t="str">
        <f t="array" ref="H49">IFERROR(-INDEX(License_Inventory!O:O,SMALL(IF(License_Inventory!O$2:O$199&lt;0,ROW(License_Inventory!O$2:O$199),""),46)),"")</f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paperSize="9" orientation="portrait"/>
  <drawing r:id="rId1"/>
</worksheet>
</file>